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0.xml.rels" ContentType="application/vnd.openxmlformats-package.relationships+xml"/>
  <Override PartName="/xl/worksheets/_rels/sheet19.xml.rels" ContentType="application/vnd.openxmlformats-package.relationships+xml"/>
  <Override PartName="/xl/worksheets/_rels/sheet20.xml.rels" ContentType="application/vnd.openxmlformats-package.relationships+xml"/>
  <Override PartName="/xl/worksheets/_rels/sheet18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17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ex" sheetId="1" state="visible" r:id="rId3"/>
    <sheet name="Search" sheetId="2" state="visible" r:id="rId4"/>
    <sheet name="ALL ITEMS" sheetId="3" state="visible" r:id="rId5"/>
    <sheet name="Settings" sheetId="4" state="visible" r:id="rId6"/>
    <sheet name="01 Aluminium" sheetId="5" state="visible" r:id="rId7"/>
    <sheet name="02 Glass" sheetId="6" state="visible" r:id="rId8"/>
    <sheet name="03 Glass Processing" sheetId="7" state="visible" r:id="rId9"/>
    <sheet name="04 Mirrors" sheetId="8" state="visible" r:id="rId10"/>
    <sheet name="05 Door &amp; Window HW" sheetId="9" state="visible" r:id="rId11"/>
    <sheet name="06 Glass Fittings HW" sheetId="10" state="visible" r:id="rId12"/>
    <sheet name="07 Balustrade HW" sheetId="11" state="visible" r:id="rId13"/>
    <sheet name="08 Sealants &amp; Fixings" sheetId="12" state="visible" r:id="rId14"/>
    <sheet name="09 Cladding &amp; ACP" sheetId="13" state="visible" r:id="rId15"/>
    <sheet name="10 Mild Steel" sheetId="14" state="visible" r:id="rId16"/>
    <sheet name="11 Stainless Steel" sheetId="15" state="visible" r:id="rId17"/>
    <sheet name="12 Auto Doors &amp; Shutters" sheetId="16" state="visible" r:id="rId18"/>
    <sheet name="13 Coating &amp; Finishing" sheetId="17" state="visible" r:id="rId19"/>
    <sheet name="14 Labour &amp; Equipment" sheetId="18" state="visible" r:id="rId20"/>
    <sheet name="15 System Rates S&amp;I" sheetId="19" state="visible" r:id="rId21"/>
    <sheet name="Suppliers" sheetId="20" state="visible" r:id="rId22"/>
    <sheet name="Rate Log" sheetId="21" state="visible" r:id="rId23"/>
  </sheets>
  <definedNames>
    <definedName function="false" hidden="false" localSheetId="4" name="_xlnm.Print_Titles" vbProcedure="false">'01 Aluminium'!$4:$4</definedName>
    <definedName function="false" hidden="true" localSheetId="4" name="_xlnm._FilterDatabase" vbProcedure="false">'01 Aluminium'!$A$4:$R$72</definedName>
    <definedName function="false" hidden="false" localSheetId="5" name="_xlnm.Print_Titles" vbProcedure="false">'02 Glass'!$4:$4</definedName>
    <definedName function="false" hidden="true" localSheetId="5" name="_xlnm._FilterDatabase" vbProcedure="false">'02 Glass'!$A$4:$R$73</definedName>
    <definedName function="false" hidden="false" localSheetId="6" name="_xlnm.Print_Titles" vbProcedure="false">'03 Glass Processing'!$4:$4</definedName>
    <definedName function="false" hidden="true" localSheetId="6" name="_xlnm._FilterDatabase" vbProcedure="false">'03 Glass Processing'!$A$4:$R$42</definedName>
    <definedName function="false" hidden="false" localSheetId="7" name="_xlnm.Print_Titles" vbProcedure="false">'04 Mirrors'!$4:$4</definedName>
    <definedName function="false" hidden="true" localSheetId="7" name="_xlnm._FilterDatabase" vbProcedure="false">'04 Mirrors'!$A$4:$R$36</definedName>
    <definedName function="false" hidden="false" localSheetId="8" name="_xlnm.Print_Titles" vbProcedure="false">'05 Door &amp; Window HW'!$4:$4</definedName>
    <definedName function="false" hidden="true" localSheetId="8" name="_xlnm._FilterDatabase" vbProcedure="false">'05 Door &amp; Window HW'!$A$4:$R$57</definedName>
    <definedName function="false" hidden="false" localSheetId="9" name="_xlnm.Print_Titles" vbProcedure="false">'06 Glass Fittings HW'!$4:$4</definedName>
    <definedName function="false" hidden="true" localSheetId="9" name="_xlnm._FilterDatabase" vbProcedure="false">'06 Glass Fittings HW'!$A$4:$R$49</definedName>
    <definedName function="false" hidden="false" localSheetId="10" name="_xlnm.Print_Titles" vbProcedure="false">'07 Balustrade HW'!$4:$4</definedName>
    <definedName function="false" hidden="true" localSheetId="10" name="_xlnm._FilterDatabase" vbProcedure="false">'07 Balustrade HW'!$A$4:$R$42</definedName>
    <definedName function="false" hidden="false" localSheetId="11" name="_xlnm.Print_Titles" vbProcedure="false">'08 Sealants &amp; Fixings'!$4:$4</definedName>
    <definedName function="false" hidden="true" localSheetId="11" name="_xlnm._FilterDatabase" vbProcedure="false">'08 Sealants &amp; Fixings'!$A$4:$R$65</definedName>
    <definedName function="false" hidden="false" localSheetId="12" name="_xlnm.Print_Titles" vbProcedure="false">'09 Cladding &amp; ACP'!$4:$4</definedName>
    <definedName function="false" hidden="true" localSheetId="12" name="_xlnm._FilterDatabase" vbProcedure="false">'09 Cladding &amp; ACP'!$A$4:$R$36</definedName>
    <definedName function="false" hidden="false" localSheetId="13" name="_xlnm.Print_Titles" vbProcedure="false">'10 Mild Steel'!$4:$4</definedName>
    <definedName function="false" hidden="true" localSheetId="13" name="_xlnm._FilterDatabase" vbProcedure="false">'10 Mild Steel'!$A$4:$R$82</definedName>
    <definedName function="false" hidden="false" localSheetId="14" name="_xlnm.Print_Titles" vbProcedure="false">'11 Stainless Steel'!$4:$4</definedName>
    <definedName function="false" hidden="true" localSheetId="14" name="_xlnm._FilterDatabase" vbProcedure="false">'11 Stainless Steel'!$A$4:$R$61</definedName>
    <definedName function="false" hidden="false" localSheetId="15" name="_xlnm.Print_Titles" vbProcedure="false">'12 Auto Doors &amp; Shutters'!$4:$4</definedName>
    <definedName function="false" hidden="true" localSheetId="15" name="_xlnm._FilterDatabase" vbProcedure="false">'12 Auto Doors &amp; Shutters'!$A$4:$R$37</definedName>
    <definedName function="false" hidden="false" localSheetId="16" name="_xlnm.Print_Titles" vbProcedure="false">'13 Coating &amp; Finishing'!$4:$4</definedName>
    <definedName function="false" hidden="true" localSheetId="16" name="_xlnm._FilterDatabase" vbProcedure="false">'13 Coating &amp; Finishing'!$A$4:$R$36</definedName>
    <definedName function="false" hidden="false" localSheetId="17" name="_xlnm.Print_Titles" vbProcedure="false">'14 Labour &amp; Equipment'!$4:$4</definedName>
    <definedName function="false" hidden="true" localSheetId="17" name="_xlnm._FilterDatabase" vbProcedure="false">'14 Labour &amp; Equipment'!$A$4:$R$59</definedName>
    <definedName function="false" hidden="false" localSheetId="18" name="_xlnm.Print_Titles" vbProcedure="false">'15 System Rates S&amp;I'!$4:$4</definedName>
    <definedName function="false" hidden="true" localSheetId="18" name="_xlnm._FilterDatabase" vbProcedure="false">'15 System Rates S&amp;I'!$A$4:$R$75</definedName>
    <definedName function="false" hidden="true" localSheetId="2" name="_xlnm._FilterDatabase" vbProcedure="false">'ALL ITEMS'!$A$2:$L$764</definedName>
    <definedName function="false" hidden="false" localSheetId="0" name="_xlnm.Print_Area" vbProcedure="false">Index!$A$1:$H$49</definedName>
    <definedName function="false" hidden="false" localSheetId="1" name="_xlnm.Print_Area" vbProcedure="false">Search!$A$1:$L$309</definedName>
    <definedName function="false" hidden="true" localSheetId="19" name="_xlnm._FilterDatabase" vbProcedure="false">Suppliers!$A$3:$K$45</definedName>
    <definedName function="false" hidden="false" name="AL_ANOD" vbProcedure="false">Settings!$C$10</definedName>
    <definedName function="false" hidden="false" name="AL_MILL" vbProcedure="false">Settings!$C$8</definedName>
    <definedName function="false" hidden="false" name="AL_PC" vbProcedure="false">Settings!$C$9</definedName>
    <definedName function="false" hidden="false" name="AL_PVDF" vbProcedure="false">Settings!$C$11</definedName>
    <definedName function="false" hidden="false" name="AL_TB" vbProcedure="false">Settings!$C$13</definedName>
    <definedName function="false" hidden="false" name="AL_WOOD" vbProcedure="false">Settings!$C$12</definedName>
    <definedName function="false" hidden="false" name="GI_KG" vbProcedure="false">Settings!$C$16</definedName>
    <definedName function="false" hidden="false" name="MS_KG" vbProcedure="false">Settings!$C$14</definedName>
    <definedName function="false" hidden="false" name="MS_PLATE" vbProcedure="false">Settings!$C$15</definedName>
    <definedName function="false" hidden="false" name="OHP" vbProcedure="false">Settings!$C$7</definedName>
    <definedName function="false" hidden="false" name="SS304" vbProcedure="false">Settings!$C$17</definedName>
    <definedName function="false" hidden="false" name="SS316" vbProcedure="false">Settings!$C$18</definedName>
    <definedName function="false" hidden="false" name="SS_MIRROR" vbProcedure="false">Settings!$C$19</definedName>
    <definedName function="false" hidden="false" name="VAT" vbProcedure="false">Settings!$C$6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<sst xmlns="http://schemas.openxmlformats.org/spreadsheetml/2006/main" count="5412" uniqueCount="2250">
  <si>
    <t xml:space="preserve">MATERIAL PRICE LIST &amp; RATE DATABASE</t>
  </si>
  <si>
    <t xml:space="preserve">Saeed Al Siraj Glass &amp; Aluminium Works L.L.C.  |  Estimation Department  |  Aluminium, Glass, MS &amp; SS Works</t>
  </si>
  <si>
    <t xml:space="preserve">Rate validity / last reviewed:</t>
  </si>
  <si>
    <t xml:space="preserve">VAT:</t>
  </si>
  <si>
    <t xml:space="preserve">Default O&amp;P:</t>
  </si>
  <si>
    <t xml:space="preserve">Total items:</t>
  </si>
  <si>
    <t xml:space="preserve">No.</t>
  </si>
  <si>
    <t xml:space="preserve">Category</t>
  </si>
  <si>
    <t xml:space="preserve">Code</t>
  </si>
  <si>
    <t xml:space="preserve">Scope / Contents</t>
  </si>
  <si>
    <t xml:space="preserve">Items</t>
  </si>
  <si>
    <t xml:space="preserve">Open</t>
  </si>
  <si>
    <t xml:space="preserve">Sheet</t>
  </si>
  <si>
    <t xml:space="preserve">All Categories</t>
  </si>
  <si>
    <t xml:space="preserve">Aluminium Profiles &amp; Systems</t>
  </si>
  <si>
    <t xml:space="preserve">AL</t>
  </si>
  <si>
    <t xml:space="preserve">Extrusions by kg, standard sections, window/door/curtain wall/pergola profiles</t>
  </si>
  <si>
    <t xml:space="preserve">01 Aluminium</t>
  </si>
  <si>
    <t xml:space="preserve">Glass - Float, Tempered, Laminated &amp; DGU</t>
  </si>
  <si>
    <t xml:space="preserve">GL</t>
  </si>
  <si>
    <t xml:space="preserve">Clear, tinted, reflective, tempered, laminated, insulated, low-E, low-iron, fire-rated</t>
  </si>
  <si>
    <t xml:space="preserve">02 Glass</t>
  </si>
  <si>
    <t xml:space="preserve">Glass Processing &amp; Fabrication Charges</t>
  </si>
  <si>
    <t xml:space="preserve">GP</t>
  </si>
  <si>
    <t xml:space="preserve">Edge work, holes, cut-outs, bevelling, sand-blasting, film, cutting &amp; handling</t>
  </si>
  <si>
    <t xml:space="preserve">03 Glass Processing</t>
  </si>
  <si>
    <t xml:space="preserve">Mirrors</t>
  </si>
  <si>
    <t xml:space="preserve">MR</t>
  </si>
  <si>
    <t xml:space="preserve">Silver, coloured, safety-backed, bevelled, LED &amp; framed mirrors</t>
  </si>
  <si>
    <t xml:space="preserve">04 Mirrors</t>
  </si>
  <si>
    <t xml:space="preserve">Hardware - Doors &amp; Windows</t>
  </si>
  <si>
    <t xml:space="preserve">HW</t>
  </si>
  <si>
    <t xml:space="preserve">Floor springs, closers, locks, handles, hinges, rollers, friction stays, multipoint locks</t>
  </si>
  <si>
    <t xml:space="preserve">05 Door &amp; Window HW</t>
  </si>
  <si>
    <t xml:space="preserve">Glass Fittings - Partition, Shower &amp; Spider</t>
  </si>
  <si>
    <t xml:space="preserve">GF</t>
  </si>
  <si>
    <t xml:space="preserve">Patch fittings, shower hinges, clamps, spider / routel, sliding glass systems</t>
  </si>
  <si>
    <t xml:space="preserve">06 Glass Fittings HW</t>
  </si>
  <si>
    <t xml:space="preserve">Balustrade &amp; Handrail Components</t>
  </si>
  <si>
    <t xml:space="preserve">BH</t>
  </si>
  <si>
    <t xml:space="preserve">SS posts, glass clamps, spigots, standoffs, handrail brackets &amp; end caps</t>
  </si>
  <si>
    <t xml:space="preserve">07 Balustrade HW</t>
  </si>
  <si>
    <t xml:space="preserve">Sealants, Gaskets, Fixings &amp; Consumables</t>
  </si>
  <si>
    <t xml:space="preserve">SF</t>
  </si>
  <si>
    <t xml:space="preserve">Silicones, foams, EPDM, tapes, anchors, screws, brackets, shims, tools &amp; consumables</t>
  </si>
  <si>
    <t xml:space="preserve">08 Sealants &amp; Fixings</t>
  </si>
  <si>
    <t xml:space="preserve">Cladding, ACP &amp; Facade Panels</t>
  </si>
  <si>
    <t xml:space="preserve">CL</t>
  </si>
  <si>
    <t xml:space="preserve">ACP, solid aluminium, perforated, louvered and HPL panels</t>
  </si>
  <si>
    <t xml:space="preserve">09 Cladding &amp; ACP</t>
  </si>
  <si>
    <t xml:space="preserve">Mild Steel (MS) - Sections, Plates &amp; Sheets</t>
  </si>
  <si>
    <t xml:space="preserve">MS</t>
  </si>
  <si>
    <t xml:space="preserve">SHS, RHS, angles, channels, beams, flats, rounds, pipes, plates, GI sheets, grating</t>
  </si>
  <si>
    <t xml:space="preserve">10 Mild Steel</t>
  </si>
  <si>
    <t xml:space="preserve">Stainless Steel (SS) - Tubes, Sheets &amp; Drains</t>
  </si>
  <si>
    <t xml:space="preserve">SS</t>
  </si>
  <si>
    <t xml:space="preserve">SS 304 / 316 round, square &amp; rectangular tubes, sheets, flats, rods, linear drains</t>
  </si>
  <si>
    <t xml:space="preserve">11 Stainless Steel</t>
  </si>
  <si>
    <t xml:space="preserve">Automatic Doors, Operators &amp; Shutters</t>
  </si>
  <si>
    <t xml:space="preserve">AD</t>
  </si>
  <si>
    <t xml:space="preserve">Sliding / swing operators, sensors, access control, rolling shutters</t>
  </si>
  <si>
    <t xml:space="preserve">12 Auto Doors &amp; Shutters</t>
  </si>
  <si>
    <t xml:space="preserve">Coating, Finishing &amp; Treatment Services</t>
  </si>
  <si>
    <t xml:space="preserve">CF</t>
  </si>
  <si>
    <t xml:space="preserve">Powder coating, anodizing, PVDF, galvanizing, painting, polishing (job-work rates)</t>
  </si>
  <si>
    <t xml:space="preserve">13 Coating &amp; Finishing</t>
  </si>
  <si>
    <t xml:space="preserve">Labour, Equipment, Transport &amp; Misc. Costs</t>
  </si>
  <si>
    <t xml:space="preserve">LB</t>
  </si>
  <si>
    <t xml:space="preserve">Manpower day rates, access equipment, cranes, transport, scaffolding, testing</t>
  </si>
  <si>
    <t xml:space="preserve">14 Labour &amp; Equipment</t>
  </si>
  <si>
    <t xml:space="preserve">Finished Systems - Budget Supply &amp; Install Rates</t>
  </si>
  <si>
    <t xml:space="preserve">SI</t>
  </si>
  <si>
    <t xml:space="preserve">All-in budget rates for quick estimates (material + fabrication + installation)</t>
  </si>
  <si>
    <t xml:space="preserve">15 System Rates S&amp;I</t>
  </si>
  <si>
    <t xml:space="preserve">TOTAL</t>
  </si>
  <si>
    <t xml:space="preserve">HOW TO USE</t>
  </si>
  <si>
    <t xml:space="preserve">1.  FIND: Go to 'Search' - type any keyword (size, brand, item) - results with rates appear instantly.</t>
  </si>
  <si>
    <t xml:space="preserve">2.  BROWSE: Click 'Open' above to go to a category sheet. Use the filter arrows on the header row.</t>
  </si>
  <si>
    <t xml:space="preserve">3.  UPDATE RATE: Type the new Basic Rate (blue) in the category sheet, set Rate Status, Supplier, Quote Ref &amp; Date, then log it in 'Rate Log'.</t>
  </si>
  <si>
    <t xml:space="preserve">4.  ADD ITEM: Use the yellow spare rows at the bottom of each category sheet - the code, net, selling &amp; VAT rates fill in automatically.</t>
  </si>
  <si>
    <t xml:space="preserve">5.  MARKET CHANGE: Change aluminium / steel / SS rate per kg, VAT or O&amp;P in 'Settings' - all linked rates (green) update automatically.</t>
  </si>
  <si>
    <t xml:space="preserve">6.  NET COST RATE = Basic Rate x (1 + Wastage %).  SELLING = Net Cost x (1 + O&amp;P).  SELLING incl. VAT = Selling x (1 + VAT).</t>
  </si>
  <si>
    <t xml:space="preserve">LEGEND</t>
  </si>
  <si>
    <t xml:space="preserve">Blue text</t>
  </si>
  <si>
    <t xml:space="preserve">Input / editable value</t>
  </si>
  <si>
    <t xml:space="preserve">Black text</t>
  </si>
  <si>
    <t xml:space="preserve">Formula - do not overwrite</t>
  </si>
  <si>
    <t xml:space="preserve">Green text</t>
  </si>
  <si>
    <t xml:space="preserve">Linked to Settings / another sheet</t>
  </si>
  <si>
    <t xml:space="preserve">Indicative</t>
  </si>
  <si>
    <t xml:space="preserve">Budget market rate - confirm before final quote</t>
  </si>
  <si>
    <t xml:space="preserve">Quoted</t>
  </si>
  <si>
    <t xml:space="preserve">Rate taken from a supplier quotation</t>
  </si>
  <si>
    <t xml:space="preserve">Verified</t>
  </si>
  <si>
    <t xml:space="preserve">Rate confirmed by recent purchase / LPO</t>
  </si>
  <si>
    <t xml:space="preserve">Obsolete</t>
  </si>
  <si>
    <t xml:space="preserve">Item no longer used (shown struck-through)</t>
  </si>
  <si>
    <t xml:space="preserve">UNITS</t>
  </si>
  <si>
    <t xml:space="preserve">m2 = square metre  |  lm = linear metre  |  kg = kilogram  |  nos = numbers  |  set / pair / pkt / box / roll  |  ltr = litre  |  day / hr / month / trip  |  ls = lump sum  |  % = percentage</t>
  </si>
  <si>
    <t xml:space="preserve">DISCLAIMER: Rates are indicative UAE market budget rates (Oct-2026) for estimation reference. Always confirm with current supplier quotations, project specification and quantities before submitting a final quotation.</t>
  </si>
  <si>
    <t xml:space="preserve">QUICK MATERIAL SEARCH</t>
  </si>
  <si>
    <t xml:space="preserve">Type one or more words in any order (e.g. aluminium sheet, 12 tempered, floor spring, 316 tube, DGU low e) - every word must match the start of a word. Pick a category if needed. Results update instantly.</t>
  </si>
  <si>
    <t xml:space="preserve">Search keyword:</t>
  </si>
  <si>
    <t xml:space="preserve">aluminium sheet</t>
  </si>
  <si>
    <t xml:space="preserve">Tip: clear the keyword to list a whole category.</t>
  </si>
  <si>
    <t xml:space="preserve">Category:</t>
  </si>
  <si>
    <t xml:space="preserve">Max 300 results shown - refine keyword if needed.</t>
  </si>
  <si>
    <t xml:space="preserve">Items found:</t>
  </si>
  <si>
    <t xml:space="preserve">Words matched:</t>
  </si>
  <si>
    <t xml:space="preserve">#</t>
  </si>
  <si>
    <t xml:space="preserve">Item Code</t>
  </si>
  <si>
    <t xml:space="preserve">Item Description</t>
  </si>
  <si>
    <t xml:space="preserve">Specification / Size</t>
  </si>
  <si>
    <t xml:space="preserve">Finish / Colour</t>
  </si>
  <si>
    <t xml:space="preserve">Brand / Origin</t>
  </si>
  <si>
    <t xml:space="preserve">Unit</t>
  </si>
  <si>
    <t xml:space="preserve">Net Cost (AED)</t>
  </si>
  <si>
    <t xml:space="preserve">Selling (AED)</t>
  </si>
  <si>
    <t xml:space="preserve">Selling incl. VAT</t>
  </si>
  <si>
    <t xml:space="preserve">Rate Status</t>
  </si>
  <si>
    <t xml:space="preserve">ALL ITEMS - MASTER LIST (auto-linked from category sheets; do not edit here)</t>
  </si>
  <si>
    <t xml:space="preserve">Sub-Category</t>
  </si>
  <si>
    <t xml:space="preserve">Search key</t>
  </si>
  <si>
    <t xml:space="preserve">SETTINGS &amp; BASE RATES</t>
  </si>
  <si>
    <t xml:space="preserve">Change the yellow cells - every linked rate in the workbook updates automatically.</t>
  </si>
  <si>
    <t xml:space="preserve">Parameter</t>
  </si>
  <si>
    <t xml:space="preserve">Value</t>
  </si>
  <si>
    <t xml:space="preserve">Name (used in formulas)</t>
  </si>
  <si>
    <t xml:space="preserve">Note</t>
  </si>
  <si>
    <t xml:space="preserve">VAT (UAE)</t>
  </si>
  <si>
    <t xml:space="preserve">%</t>
  </si>
  <si>
    <t xml:space="preserve">VAT</t>
  </si>
  <si>
    <t xml:space="preserve">Federal VAT rate</t>
  </si>
  <si>
    <t xml:space="preserve">Overhead &amp; Profit (default)</t>
  </si>
  <si>
    <t xml:space="preserve">OHP</t>
  </si>
  <si>
    <t xml:space="preserve">Applied to Net Cost to get Selling Rate</t>
  </si>
  <si>
    <t xml:space="preserve">Aluminium extrusion - mill finish</t>
  </si>
  <si>
    <t xml:space="preserve">AED/kg</t>
  </si>
  <si>
    <t xml:space="preserve">AL_MILL</t>
  </si>
  <si>
    <t xml:space="preserve">6063-T5/T6, local extruder</t>
  </si>
  <si>
    <t xml:space="preserve">Add for powder coating</t>
  </si>
  <si>
    <t xml:space="preserve">AL_PC</t>
  </si>
  <si>
    <t xml:space="preserve">Qualicoat approved, standard RAL</t>
  </si>
  <si>
    <t xml:space="preserve">Add for anodizing</t>
  </si>
  <si>
    <t xml:space="preserve">AL_ANOD</t>
  </si>
  <si>
    <t xml:space="preserve">15-20 micron</t>
  </si>
  <si>
    <t xml:space="preserve">Add for PVDF coating</t>
  </si>
  <si>
    <t xml:space="preserve">AL_PVDF</t>
  </si>
  <si>
    <t xml:space="preserve">2/3-coat Kynar 500</t>
  </si>
  <si>
    <t xml:space="preserve">Add for wood-grain finish</t>
  </si>
  <si>
    <t xml:space="preserve">AL_WOOD</t>
  </si>
  <si>
    <t xml:space="preserve">Sublimation over powder coat</t>
  </si>
  <si>
    <t xml:space="preserve">Add for thermal-break (polyamide)</t>
  </si>
  <si>
    <t xml:space="preserve">AL_TB</t>
  </si>
  <si>
    <t xml:space="preserve">Crimped polyamide strips</t>
  </si>
  <si>
    <t xml:space="preserve">MS structural sections</t>
  </si>
  <si>
    <t xml:space="preserve">MS_KG</t>
  </si>
  <si>
    <t xml:space="preserve">SHS/RHS/angle/channel/beam, black</t>
  </si>
  <si>
    <t xml:space="preserve">MS plates &amp; sheets</t>
  </si>
  <si>
    <t xml:space="preserve">MS_PLATE</t>
  </si>
  <si>
    <t xml:space="preserve">S275/S355, cut-to-size extra</t>
  </si>
  <si>
    <t xml:space="preserve">GI sheets / pre-galvanized</t>
  </si>
  <si>
    <t xml:space="preserve">GI_KG</t>
  </si>
  <si>
    <t xml:space="preserve">Z275</t>
  </si>
  <si>
    <t xml:space="preserve">SS 304 tubes / sheets (hairline)</t>
  </si>
  <si>
    <t xml:space="preserve">SS304</t>
  </si>
  <si>
    <t xml:space="preserve">Grade 304, #4 hairline</t>
  </si>
  <si>
    <t xml:space="preserve">SS 316 tubes / sheets (hairline)</t>
  </si>
  <si>
    <t xml:space="preserve">SS316</t>
  </si>
  <si>
    <t xml:space="preserve">Grade 316/316L, marine/external</t>
  </si>
  <si>
    <t xml:space="preserve">Add for SS mirror finish (#8)</t>
  </si>
  <si>
    <t xml:space="preserve">SS_MIRROR</t>
  </si>
  <si>
    <t xml:space="preserve">Over hairline rate</t>
  </si>
  <si>
    <t xml:space="preserve">Rate validity / last reviewed</t>
  </si>
  <si>
    <t xml:space="preserve">09-Oct-2026</t>
  </si>
  <si>
    <t xml:space="preserve">Currency</t>
  </si>
  <si>
    <t xml:space="preserve">AED</t>
  </si>
  <si>
    <t xml:space="preserve">Note: all base rates are INDICATIVE UAE market budget rates (Oct-2026) for estimation reference only. Confirm with current supplier quotations before final pricing.</t>
  </si>
  <si>
    <t xml:space="preserve">01.  ALUMINIUM PROFILES &amp; SYSTEMS</t>
  </si>
  <si>
    <t xml:space="preserve">Scope: Extrusions by kg, standard sections, window/door/curtain wall/pergola profiles</t>
  </si>
  <si>
    <t xml:space="preserve">Items:</t>
  </si>
  <si>
    <t xml:space="preserve">Blue = input   |   Black = formula   |   Yellow rows at bottom = spare for new items</t>
  </si>
  <si>
    <t xml:space="preserve">Basic Rate
(AED)</t>
  </si>
  <si>
    <t xml:space="preserve">Wastage
%</t>
  </si>
  <si>
    <t xml:space="preserve">Net Cost Rate
(AED)</t>
  </si>
  <si>
    <t xml:space="preserve">Selling Rate
(AED, +O&amp;P)</t>
  </si>
  <si>
    <t xml:space="preserve">Selling Rate
incl. VAT (AED)</t>
  </si>
  <si>
    <t xml:space="preserve">Supplier</t>
  </si>
  <si>
    <t xml:space="preserve">Quote Ref.</t>
  </si>
  <si>
    <t xml:space="preserve">Rate Date</t>
  </si>
  <si>
    <t xml:space="preserve">Remarks</t>
  </si>
  <si>
    <t xml:space="preserve">Search Tags (extra keywords)</t>
  </si>
  <si>
    <t xml:space="preserve">AL-001</t>
  </si>
  <si>
    <t xml:space="preserve">Extrusions (per kg)</t>
  </si>
  <si>
    <t xml:space="preserve">Aluminium extrusion</t>
  </si>
  <si>
    <t xml:space="preserve">Alloy 6063-T5/T6</t>
  </si>
  <si>
    <t xml:space="preserve">Mill finish</t>
  </si>
  <si>
    <t xml:space="preserve">Gulf Extrusions / Equiv.</t>
  </si>
  <si>
    <t xml:space="preserve">kg</t>
  </si>
  <si>
    <t xml:space="preserve">aluminum alu</t>
  </si>
  <si>
    <t xml:space="preserve">AL-002</t>
  </si>
  <si>
    <t xml:space="preserve">Powder coated (RAL)</t>
  </si>
  <si>
    <t xml:space="preserve">aluminum alu pc</t>
  </si>
  <si>
    <t xml:space="preserve">AL-003</t>
  </si>
  <si>
    <t xml:space="preserve">Anodized 15-20 micron</t>
  </si>
  <si>
    <t xml:space="preserve">AL-004</t>
  </si>
  <si>
    <t xml:space="preserve">PVDF 2/3-coat</t>
  </si>
  <si>
    <t xml:space="preserve">AL-005</t>
  </si>
  <si>
    <t xml:space="preserve">Wood-grain finish</t>
  </si>
  <si>
    <t xml:space="preserve">AL-006</t>
  </si>
  <si>
    <t xml:space="preserve">Thermal-break aluminium extrusion</t>
  </si>
  <si>
    <t xml:space="preserve">With polyamide strips</t>
  </si>
  <si>
    <t xml:space="preserve">Powder coated</t>
  </si>
  <si>
    <t xml:space="preserve">AL-007</t>
  </si>
  <si>
    <t xml:space="preserve">Standard Sections</t>
  </si>
  <si>
    <t xml:space="preserve">Aluminium square tube</t>
  </si>
  <si>
    <t xml:space="preserve">25 x 25 x 1.5 mm (0.38 kg/m)</t>
  </si>
  <si>
    <t xml:space="preserve">Local</t>
  </si>
  <si>
    <t xml:space="preserve">lm</t>
  </si>
  <si>
    <t xml:space="preserve">25x25 25x25x1.5 1.5mm pipe box aluminum alu pc</t>
  </si>
  <si>
    <t xml:space="preserve">AL-008</t>
  </si>
  <si>
    <t xml:space="preserve">40 x 40 x 2.0 mm (0.82 kg/m)</t>
  </si>
  <si>
    <t xml:space="preserve">40x40 40x40x2.0 40x40x2 2.0mm pipe box aluminum alu pc</t>
  </si>
  <si>
    <t xml:space="preserve">AL-009</t>
  </si>
  <si>
    <t xml:space="preserve">50 x 50 x 2.0 mm (1.04 kg/m)</t>
  </si>
  <si>
    <t xml:space="preserve">50x50 50x50x2.0 50x50x2 2.0mm pipe box aluminum alu pc</t>
  </si>
  <si>
    <t xml:space="preserve">AL-010</t>
  </si>
  <si>
    <t xml:space="preserve">Aluminium rectangular tube</t>
  </si>
  <si>
    <t xml:space="preserve">100 x 50 x 2.5 mm (1.96 kg/m)</t>
  </si>
  <si>
    <t xml:space="preserve">100x50 100x50x2.5 2.5mm pipe box aluminum alu pc</t>
  </si>
  <si>
    <t xml:space="preserve">AL-011</t>
  </si>
  <si>
    <t xml:space="preserve">100 x 50 x 3.0 mm (2.33 kg/m)</t>
  </si>
  <si>
    <t xml:space="preserve">100x50 100x50x3.0 100x50x3 3.0mm pipe box aluminum alu pc</t>
  </si>
  <si>
    <t xml:space="preserve">AL-012</t>
  </si>
  <si>
    <t xml:space="preserve">150 x 50 x 3.0 mm (3.14 kg/m)</t>
  </si>
  <si>
    <t xml:space="preserve">150x50 150x50x3.0 150x50x3 3.0mm pipe box aluminum alu pc</t>
  </si>
  <si>
    <t xml:space="preserve">AL-013</t>
  </si>
  <si>
    <t xml:space="preserve">200 x 50 x 3.0 mm (3.95 kg/m)</t>
  </si>
  <si>
    <t xml:space="preserve">200x50 200x50x3.0 200x50x3 3.0mm pipe box aluminum alu pc</t>
  </si>
  <si>
    <t xml:space="preserve">AL-014</t>
  </si>
  <si>
    <t xml:space="preserve">Aluminium equal angle</t>
  </si>
  <si>
    <t xml:space="preserve">25 x 25 x 2.0 mm (0.26 kg/m)</t>
  </si>
  <si>
    <t xml:space="preserve">25x25 25x25x2.0 25x25x2 2.0mm aluminum alu pc angle l</t>
  </si>
  <si>
    <t xml:space="preserve">AL-015</t>
  </si>
  <si>
    <t xml:space="preserve">50 x 50 x 3.0 mm (0.79 kg/m)</t>
  </si>
  <si>
    <t xml:space="preserve">50x50 50x50x3.0 50x50x3 3.0mm aluminum alu pc angle l</t>
  </si>
  <si>
    <t xml:space="preserve">AL-016</t>
  </si>
  <si>
    <t xml:space="preserve">Aluminium flat bar</t>
  </si>
  <si>
    <t xml:space="preserve">50 x 5 mm (0.68 kg/m)</t>
  </si>
  <si>
    <t xml:space="preserve">50x5 5mm aluminum alu pc patti strip</t>
  </si>
  <si>
    <t xml:space="preserve">AL-017</t>
  </si>
  <si>
    <t xml:space="preserve">100 x 6 mm (1.62 kg/m)</t>
  </si>
  <si>
    <t xml:space="preserve">100x6 6mm aluminum alu pc patti strip</t>
  </si>
  <si>
    <t xml:space="preserve">AL-018</t>
  </si>
  <si>
    <t xml:space="preserve">Aluminium U-channel for glass</t>
  </si>
  <si>
    <t xml:space="preserve">For 10-12 mm glass (0.45 kg/m)</t>
  </si>
  <si>
    <t xml:space="preserve">Powder coated / anodized</t>
  </si>
  <si>
    <t xml:space="preserve">12mm aluminum alu pc stainless steel</t>
  </si>
  <si>
    <t xml:space="preserve">AL-019</t>
  </si>
  <si>
    <t xml:space="preserve">Aluminium heavy U-channel (frameless partition)</t>
  </si>
  <si>
    <t xml:space="preserve">40 x 40 mm (0.90 kg/m)</t>
  </si>
  <si>
    <t xml:space="preserve">Anodized / PC</t>
  </si>
  <si>
    <t xml:space="preserve">40x40 40mm aluminum alu stainless steel</t>
  </si>
  <si>
    <t xml:space="preserve">AL-020</t>
  </si>
  <si>
    <t xml:space="preserve">Sliding Window System</t>
  </si>
  <si>
    <t xml:space="preserve">Sliding window outer frame - 2 track</t>
  </si>
  <si>
    <t xml:space="preserve">Non-thermal (approx. 1.25 kg/m)</t>
  </si>
  <si>
    <t xml:space="preserve">pc</t>
  </si>
  <si>
    <t xml:space="preserve">AL-021</t>
  </si>
  <si>
    <t xml:space="preserve">Sliding window outer frame - 3 track</t>
  </si>
  <si>
    <t xml:space="preserve">Non-thermal (approx. 1.75 kg/m)</t>
  </si>
  <si>
    <t xml:space="preserve">AL-022</t>
  </si>
  <si>
    <t xml:space="preserve">Sliding sash profile</t>
  </si>
  <si>
    <t xml:space="preserve">Approx. 0.95 kg/m</t>
  </si>
  <si>
    <t xml:space="preserve">AL-023</t>
  </si>
  <si>
    <t xml:space="preserve">Sliding interlock profile</t>
  </si>
  <si>
    <t xml:space="preserve">Approx. 0.75 kg/m</t>
  </si>
  <si>
    <t xml:space="preserve">AL-024</t>
  </si>
  <si>
    <t xml:space="preserve">Thermal-break sliding frame</t>
  </si>
  <si>
    <t xml:space="preserve">Approx. 2.40 kg/m</t>
  </si>
  <si>
    <t xml:space="preserve">AL-025</t>
  </si>
  <si>
    <t xml:space="preserve">Lift &amp; slide door frame (TB)</t>
  </si>
  <si>
    <t xml:space="preserve">Approx. 3.80 kg/m</t>
  </si>
  <si>
    <t xml:space="preserve">AL-026</t>
  </si>
  <si>
    <t xml:space="preserve">Casement / Hinged System</t>
  </si>
  <si>
    <t xml:space="preserve">Casement window frame</t>
  </si>
  <si>
    <t xml:space="preserve">AL-027</t>
  </si>
  <si>
    <t xml:space="preserve">Casement window sash</t>
  </si>
  <si>
    <t xml:space="preserve">Approx. 1.05 kg/m</t>
  </si>
  <si>
    <t xml:space="preserve">AL-028</t>
  </si>
  <si>
    <t xml:space="preserve">Window mullion / transom</t>
  </si>
  <si>
    <t xml:space="preserve">Approx. 1.30 kg/m</t>
  </si>
  <si>
    <t xml:space="preserve">AL-029</t>
  </si>
  <si>
    <t xml:space="preserve">Thermal-break casement frame</t>
  </si>
  <si>
    <t xml:space="preserve">Approx. 1.50 kg/m</t>
  </si>
  <si>
    <t xml:space="preserve">AL-030</t>
  </si>
  <si>
    <t xml:space="preserve">Hinged door frame</t>
  </si>
  <si>
    <t xml:space="preserve">Approx. 1.60 kg/m</t>
  </si>
  <si>
    <t xml:space="preserve">AL-031</t>
  </si>
  <si>
    <t xml:space="preserve">Hinged door leaf (stile)</t>
  </si>
  <si>
    <t xml:space="preserve">Approx. 2.10 kg/m</t>
  </si>
  <si>
    <t xml:space="preserve">AL-032</t>
  </si>
  <si>
    <t xml:space="preserve">Door bottom rail (deep)</t>
  </si>
  <si>
    <t xml:space="preserve">Approx. 2.80 kg/m</t>
  </si>
  <si>
    <t xml:space="preserve">AL-033</t>
  </si>
  <si>
    <t xml:space="preserve">Glazing bead</t>
  </si>
  <si>
    <t xml:space="preserve">Approx. 0.25 kg/m</t>
  </si>
  <si>
    <t xml:space="preserve">AL-034</t>
  </si>
  <si>
    <t xml:space="preserve">Curtain Wall System</t>
  </si>
  <si>
    <t xml:space="preserve">Curtain wall mullion - 150 mm deep</t>
  </si>
  <si>
    <t xml:space="preserve">Stick system (approx. 3.80 kg/m)</t>
  </si>
  <si>
    <t xml:space="preserve">150mm pc</t>
  </si>
  <si>
    <t xml:space="preserve">AL-035</t>
  </si>
  <si>
    <t xml:space="preserve">Curtain wall mullion - 180 mm deep</t>
  </si>
  <si>
    <t xml:space="preserve">Stick system (approx. 4.60 kg/m)</t>
  </si>
  <si>
    <t xml:space="preserve">180mm pc</t>
  </si>
  <si>
    <t xml:space="preserve">AL-036</t>
  </si>
  <si>
    <t xml:space="preserve">Curtain wall mullion - 200 mm deep</t>
  </si>
  <si>
    <t xml:space="preserve">Stick system (approx. 5.40 kg/m)</t>
  </si>
  <si>
    <t xml:space="preserve">200mm pc</t>
  </si>
  <si>
    <t xml:space="preserve">AL-037</t>
  </si>
  <si>
    <t xml:space="preserve">Curtain wall transom - 120 mm</t>
  </si>
  <si>
    <t xml:space="preserve">120mm pc</t>
  </si>
  <si>
    <t xml:space="preserve">AL-038</t>
  </si>
  <si>
    <t xml:space="preserve">Pressure plate</t>
  </si>
  <si>
    <t xml:space="preserve">Approx. 0.55 kg/m</t>
  </si>
  <si>
    <t xml:space="preserve">AL-039</t>
  </si>
  <si>
    <t xml:space="preserve">Snap-on cover cap</t>
  </si>
  <si>
    <t xml:space="preserve">Approx. 0.45 kg/m</t>
  </si>
  <si>
    <t xml:space="preserve">Powder coated / PVDF</t>
  </si>
  <si>
    <t xml:space="preserve">AL-040</t>
  </si>
  <si>
    <t xml:space="preserve">Unitized frame profile (male/female)</t>
  </si>
  <si>
    <t xml:space="preserve">Approx. 4.80 kg/m</t>
  </si>
  <si>
    <t xml:space="preserve">PVDF</t>
  </si>
  <si>
    <t xml:space="preserve">AL-041</t>
  </si>
  <si>
    <t xml:space="preserve">Structural glazing (SSG) carrier frame</t>
  </si>
  <si>
    <t xml:space="preserve">Approx. 0.85 kg/m</t>
  </si>
  <si>
    <t xml:space="preserve">AL-042</t>
  </si>
  <si>
    <t xml:space="preserve">Pergola / Louver / Skylight</t>
  </si>
  <si>
    <t xml:space="preserve">Pergola main beam</t>
  </si>
  <si>
    <t xml:space="preserve">150 x 50 x 3 mm (3.14 kg/m)</t>
  </si>
  <si>
    <t xml:space="preserve">Powder coated / wood-grain</t>
  </si>
  <si>
    <t xml:space="preserve">150x50 150x50x3 3mm pc louvre shade</t>
  </si>
  <si>
    <t xml:space="preserve">AL-043</t>
  </si>
  <si>
    <t xml:space="preserve">Pergola rafter / slat</t>
  </si>
  <si>
    <t xml:space="preserve">100x50 100x50x2.5 2.5mm pc louvre shade</t>
  </si>
  <si>
    <t xml:space="preserve">AL-044</t>
  </si>
  <si>
    <t xml:space="preserve">Bioclimatic pergola louver blade</t>
  </si>
  <si>
    <t xml:space="preserve">Approx. 2.60 kg/m</t>
  </si>
  <si>
    <t xml:space="preserve">Local / Imported</t>
  </si>
  <si>
    <t xml:space="preserve">pc louvre shade</t>
  </si>
  <si>
    <t xml:space="preserve">AL-045</t>
  </si>
  <si>
    <t xml:space="preserve">Louver blade - Z type 100 mm</t>
  </si>
  <si>
    <t xml:space="preserve">100mm pc louvre shade</t>
  </si>
  <si>
    <t xml:space="preserve">AL-046</t>
  </si>
  <si>
    <t xml:space="preserve">Louver blade - aerofoil 200 mm</t>
  </si>
  <si>
    <t xml:space="preserve">Approx. 2.30 kg/m</t>
  </si>
  <si>
    <t xml:space="preserve">200mm pc louvre shade</t>
  </si>
  <si>
    <t xml:space="preserve">AL-047</t>
  </si>
  <si>
    <t xml:space="preserve">Skylight rafter profile</t>
  </si>
  <si>
    <t xml:space="preserve">Approx. 3.20 kg/m</t>
  </si>
  <si>
    <t xml:space="preserve">AL-048</t>
  </si>
  <si>
    <t xml:space="preserve">Balustrade / Handrail</t>
  </si>
  <si>
    <t xml:space="preserve">Glass balustrade base shoe profile</t>
  </si>
  <si>
    <t xml:space="preserve">Heavy duty, for 12-21.52 mm glass (6.8 kg/m)</t>
  </si>
  <si>
    <t xml:space="preserve">21.52mm railing handrail balustrade stainless steel</t>
  </si>
  <si>
    <t xml:space="preserve">AL-049</t>
  </si>
  <si>
    <t xml:space="preserve">Aluminium handrail - oval / round</t>
  </si>
  <si>
    <t xml:space="preserve">Approx. 0.90 kg/m</t>
  </si>
  <si>
    <t xml:space="preserve">aluminum alu pc railing handrail balustrade</t>
  </si>
  <si>
    <t xml:space="preserve">AL-050</t>
  </si>
  <si>
    <t xml:space="preserve">Glass top cap (U-cap) profile</t>
  </si>
  <si>
    <t xml:space="preserve">For 12-17.52 mm glass (0.55 kg/m)</t>
  </si>
  <si>
    <t xml:space="preserve">17.52mm railing handrail balustrade stainless steel</t>
  </si>
  <si>
    <t xml:space="preserve">AL-051</t>
  </si>
  <si>
    <t xml:space="preserve">Sheet &amp; Panel</t>
  </si>
  <si>
    <t xml:space="preserve">Aluminium flat sheet</t>
  </si>
  <si>
    <t xml:space="preserve">2.0 mm, 1250 x 2500</t>
  </si>
  <si>
    <t xml:space="preserve">m2</t>
  </si>
  <si>
    <t xml:space="preserve">1250x2500 2.0mm aluminum alu</t>
  </si>
  <si>
    <t xml:space="preserve">AL-052</t>
  </si>
  <si>
    <t xml:space="preserve">3.0 mm, 1250 x 2500</t>
  </si>
  <si>
    <t xml:space="preserve">1250x2500 3.0mm aluminum alu</t>
  </si>
  <si>
    <t xml:space="preserve">AL-053</t>
  </si>
  <si>
    <t xml:space="preserve">Aluminium chequered plate</t>
  </si>
  <si>
    <t xml:space="preserve">3.0 mm tread</t>
  </si>
  <si>
    <t xml:space="preserve">3.0mm aluminum alu checker anti slip</t>
  </si>
  <si>
    <t xml:space="preserve">02.  GLASS - FLOAT, TEMPERED, LAMINATED &amp; DGU</t>
  </si>
  <si>
    <t xml:space="preserve">Scope: Clear, tinted, reflective, tempered, laminated, insulated, low-E, low-iron, fire-rated</t>
  </si>
  <si>
    <t xml:space="preserve">GL-001</t>
  </si>
  <si>
    <t xml:space="preserve">Annealed Float</t>
  </si>
  <si>
    <t xml:space="preserve">Clear float glass</t>
  </si>
  <si>
    <t xml:space="preserve">4 mm</t>
  </si>
  <si>
    <t xml:space="preserve">Clear</t>
  </si>
  <si>
    <t xml:space="preserve">Emirates Float / Guardian</t>
  </si>
  <si>
    <t xml:space="preserve">4mm stainless steel</t>
  </si>
  <si>
    <t xml:space="preserve">GL-002</t>
  </si>
  <si>
    <t xml:space="preserve">6 mm</t>
  </si>
  <si>
    <t xml:space="preserve">6mm stainless steel</t>
  </si>
  <si>
    <t xml:space="preserve">GL-003</t>
  </si>
  <si>
    <t xml:space="preserve">8 mm</t>
  </si>
  <si>
    <t xml:space="preserve">8mm stainless steel</t>
  </si>
  <si>
    <t xml:space="preserve">GL-004</t>
  </si>
  <si>
    <t xml:space="preserve">10 mm</t>
  </si>
  <si>
    <t xml:space="preserve">10mm stainless steel</t>
  </si>
  <si>
    <t xml:space="preserve">GL-005</t>
  </si>
  <si>
    <t xml:space="preserve">12 mm</t>
  </si>
  <si>
    <t xml:space="preserve">12mm stainless steel</t>
  </si>
  <si>
    <t xml:space="preserve">GL-006</t>
  </si>
  <si>
    <t xml:space="preserve">Tinted float glass</t>
  </si>
  <si>
    <t xml:space="preserve">Grey / Bronze / Green</t>
  </si>
  <si>
    <t xml:space="preserve">GL-007</t>
  </si>
  <si>
    <t xml:space="preserve">Reflective glass (hard coat)</t>
  </si>
  <si>
    <t xml:space="preserve">Blue / Grey / Silver</t>
  </si>
  <si>
    <t xml:space="preserve">GL-008</t>
  </si>
  <si>
    <t xml:space="preserve">Tempered</t>
  </si>
  <si>
    <t xml:space="preserve">Clear tempered glass</t>
  </si>
  <si>
    <t xml:space="preserve">6 mm, edges polished</t>
  </si>
  <si>
    <t xml:space="preserve">Local processor</t>
  </si>
  <si>
    <t xml:space="preserve">6mm toughened stainless steel</t>
  </si>
  <si>
    <t xml:space="preserve">GL-009</t>
  </si>
  <si>
    <t xml:space="preserve">8 mm, edges polished</t>
  </si>
  <si>
    <t xml:space="preserve">8mm toughened stainless steel</t>
  </si>
  <si>
    <t xml:space="preserve">GL-010</t>
  </si>
  <si>
    <t xml:space="preserve">10 mm, edges polished</t>
  </si>
  <si>
    <t xml:space="preserve">10mm toughened stainless steel</t>
  </si>
  <si>
    <t xml:space="preserve">GL-011</t>
  </si>
  <si>
    <t xml:space="preserve">12 mm, edges polished</t>
  </si>
  <si>
    <t xml:space="preserve">12mm toughened stainless steel</t>
  </si>
  <si>
    <t xml:space="preserve">GL-012</t>
  </si>
  <si>
    <t xml:space="preserve">15 mm, edges polished</t>
  </si>
  <si>
    <t xml:space="preserve">15mm toughened stainless steel</t>
  </si>
  <si>
    <t xml:space="preserve">GL-013</t>
  </si>
  <si>
    <t xml:space="preserve">19 mm, edges polished</t>
  </si>
  <si>
    <t xml:space="preserve">19mm toughened stainless steel</t>
  </si>
  <si>
    <t xml:space="preserve">GL-014</t>
  </si>
  <si>
    <t xml:space="preserve">Tinted tempered glass</t>
  </si>
  <si>
    <t xml:space="preserve">Grey / Bronze</t>
  </si>
  <si>
    <t xml:space="preserve">GL-015</t>
  </si>
  <si>
    <t xml:space="preserve">Low-iron (extra clear) tempered glass</t>
  </si>
  <si>
    <t xml:space="preserve">Ultra clear</t>
  </si>
  <si>
    <t xml:space="preserve">10mm toughened extra clear ultra stainless steel</t>
  </si>
  <si>
    <t xml:space="preserve">GL-016</t>
  </si>
  <si>
    <t xml:space="preserve">12mm toughened extra clear ultra stainless steel</t>
  </si>
  <si>
    <t xml:space="preserve">GL-017</t>
  </si>
  <si>
    <t xml:space="preserve">Frosted / acid-etched tempered glass</t>
  </si>
  <si>
    <t xml:space="preserve">Satin</t>
  </si>
  <si>
    <t xml:space="preserve">10mm toughened sandblast frosted stainless steel</t>
  </si>
  <si>
    <t xml:space="preserve">GL-018</t>
  </si>
  <si>
    <t xml:space="preserve">12mm toughened sandblast frosted stainless steel</t>
  </si>
  <si>
    <t xml:space="preserve">GL-019</t>
  </si>
  <si>
    <t xml:space="preserve">Fluted / reeded tempered glass</t>
  </si>
  <si>
    <t xml:space="preserve">Fluted</t>
  </si>
  <si>
    <t xml:space="preserve">Imported</t>
  </si>
  <si>
    <t xml:space="preserve">GL-020</t>
  </si>
  <si>
    <t xml:space="preserve">Heat-soak test (HST) - extra</t>
  </si>
  <si>
    <t xml:space="preserve">Any thickness</t>
  </si>
  <si>
    <t xml:space="preserve">-</t>
  </si>
  <si>
    <t xml:space="preserve">toughened stainless steel</t>
  </si>
  <si>
    <t xml:space="preserve">GL-021</t>
  </si>
  <si>
    <t xml:space="preserve">Heat-strengthened glass - extra over tempered</t>
  </si>
  <si>
    <t xml:space="preserve">GL-022</t>
  </si>
  <si>
    <t xml:space="preserve">Laminated</t>
  </si>
  <si>
    <t xml:space="preserve">Clear laminated glass</t>
  </si>
  <si>
    <t xml:space="preserve">6.38 mm (3+0.38 PVB+3)</t>
  </si>
  <si>
    <t xml:space="preserve">6.38mm 3+0.38 lami stainless steel</t>
  </si>
  <si>
    <t xml:space="preserve">GL-023</t>
  </si>
  <si>
    <t xml:space="preserve">8.76 mm (4+0.76+4)</t>
  </si>
  <si>
    <t xml:space="preserve">8.76mm 4+0.76+4 lami stainless steel</t>
  </si>
  <si>
    <t xml:space="preserve">GL-024</t>
  </si>
  <si>
    <t xml:space="preserve">10.76 mm (5+0.76+5)</t>
  </si>
  <si>
    <t xml:space="preserve">10.76mm 5+0.76+5 lami stainless steel</t>
  </si>
  <si>
    <t xml:space="preserve">GL-025</t>
  </si>
  <si>
    <t xml:space="preserve">12.76 mm (6+0.76+6)</t>
  </si>
  <si>
    <t xml:space="preserve">12.76mm 6+0.76+6 lami stainless steel</t>
  </si>
  <si>
    <t xml:space="preserve">GL-026</t>
  </si>
  <si>
    <t xml:space="preserve">Tempered laminated glass</t>
  </si>
  <si>
    <t xml:space="preserve">12.76 mm (6T+0.76 PVB+6T)</t>
  </si>
  <si>
    <t xml:space="preserve">12.76mm toughened lami stainless steel</t>
  </si>
  <si>
    <t xml:space="preserve">GL-027</t>
  </si>
  <si>
    <t xml:space="preserve">17.52 mm (8T+1.52 PVB+8T)</t>
  </si>
  <si>
    <t xml:space="preserve">17.52mm toughened lami stainless steel</t>
  </si>
  <si>
    <t xml:space="preserve">GL-028</t>
  </si>
  <si>
    <t xml:space="preserve">21.52 mm (10T+1.52 PVB+10T)</t>
  </si>
  <si>
    <t xml:space="preserve">21.52mm toughened lami stainless steel</t>
  </si>
  <si>
    <t xml:space="preserve">GL-029</t>
  </si>
  <si>
    <t xml:space="preserve">Tempered laminated glass - SGP interlayer</t>
  </si>
  <si>
    <t xml:space="preserve">21.52 mm (10T+1.52 SGP+10T)</t>
  </si>
  <si>
    <t xml:space="preserve">GL-030</t>
  </si>
  <si>
    <t xml:space="preserve">Laminated glass - frosted / milky PVB</t>
  </si>
  <si>
    <t xml:space="preserve">10.76 mm</t>
  </si>
  <si>
    <t xml:space="preserve">Milky white</t>
  </si>
  <si>
    <t xml:space="preserve">10.76mm lami sandblast stainless steel</t>
  </si>
  <si>
    <t xml:space="preserve">GL-031</t>
  </si>
  <si>
    <t xml:space="preserve">Insulated (DGU)</t>
  </si>
  <si>
    <t xml:space="preserve">Double glazed unit - clear</t>
  </si>
  <si>
    <t xml:space="preserve">6 + 12 air + 6 mm</t>
  </si>
  <si>
    <t xml:space="preserve">6mm 6+12 dgu igu insulated</t>
  </si>
  <si>
    <t xml:space="preserve">GL-032</t>
  </si>
  <si>
    <t xml:space="preserve">Double glazed unit - tinted</t>
  </si>
  <si>
    <t xml:space="preserve">6 tinted + 12 + 6 clear</t>
  </si>
  <si>
    <t xml:space="preserve">Tinted</t>
  </si>
  <si>
    <t xml:space="preserve">12+6 dgu igu insulated</t>
  </si>
  <si>
    <t xml:space="preserve">GL-033</t>
  </si>
  <si>
    <t xml:space="preserve">Double glazed unit - reflective</t>
  </si>
  <si>
    <t xml:space="preserve">6 reflective + 12 + 6 clear</t>
  </si>
  <si>
    <t xml:space="preserve">Reflective</t>
  </si>
  <si>
    <t xml:space="preserve">GL-034</t>
  </si>
  <si>
    <t xml:space="preserve">Double glazed unit - Low-E</t>
  </si>
  <si>
    <t xml:space="preserve">6 HT Low-E + 12 + 6 HT clear</t>
  </si>
  <si>
    <t xml:space="preserve">Low-E soft coat</t>
  </si>
  <si>
    <t xml:space="preserve">Guardian SunGuard / Equiv.</t>
  </si>
  <si>
    <t xml:space="preserve">12+6 dgu igu insulated lowe low e</t>
  </si>
  <si>
    <t xml:space="preserve">GL-035</t>
  </si>
  <si>
    <t xml:space="preserve">Double glazed unit - Low-E with laminated inner</t>
  </si>
  <si>
    <t xml:space="preserve">6 HT Low-E + 12 + 6.38 lam</t>
  </si>
  <si>
    <t xml:space="preserve">12+6.38 dgu igu insulated lami lowe low e</t>
  </si>
  <si>
    <t xml:space="preserve">GL-036</t>
  </si>
  <si>
    <t xml:space="preserve">Double glazed unit - Low-E, argon filled</t>
  </si>
  <si>
    <t xml:space="preserve">8 HT Low-E + 16 argon + 8 HT</t>
  </si>
  <si>
    <t xml:space="preserve">dgu igu insulated lowe low e</t>
  </si>
  <si>
    <t xml:space="preserve">GL-037</t>
  </si>
  <si>
    <t xml:space="preserve">Triple glazed unit</t>
  </si>
  <si>
    <t xml:space="preserve">6 + 12 + 6 + 12 + 6 mm</t>
  </si>
  <si>
    <t xml:space="preserve">Clear / Low-E</t>
  </si>
  <si>
    <t xml:space="preserve">6mm 6+12+6+12+6 tgu insulated lowe low e</t>
  </si>
  <si>
    <t xml:space="preserve">GL-038</t>
  </si>
  <si>
    <t xml:space="preserve">Structural silicone (SSG) DGU - extra</t>
  </si>
  <si>
    <t xml:space="preserve">Structural edge seal</t>
  </si>
  <si>
    <t xml:space="preserve">sealant</t>
  </si>
  <si>
    <t xml:space="preserve">GL-039</t>
  </si>
  <si>
    <t xml:space="preserve">Decorative &amp; Special</t>
  </si>
  <si>
    <t xml:space="preserve">Back-painted (lacquered) tempered glass</t>
  </si>
  <si>
    <t xml:space="preserve">RAL colour</t>
  </si>
  <si>
    <t xml:space="preserve">6mm toughened lacquered painted stainless steel</t>
  </si>
  <si>
    <t xml:space="preserve">GL-040</t>
  </si>
  <si>
    <t xml:space="preserve">10mm toughened lacquered painted stainless steel</t>
  </si>
  <si>
    <t xml:space="preserve">GL-041</t>
  </si>
  <si>
    <t xml:space="preserve">Ceramic frit / spandrel glass</t>
  </si>
  <si>
    <t xml:space="preserve">6 mm HT, opaque</t>
  </si>
  <si>
    <t xml:space="preserve">GL-042</t>
  </si>
  <si>
    <t xml:space="preserve">Digital printed glass</t>
  </si>
  <si>
    <t xml:space="preserve">10 mm tempered</t>
  </si>
  <si>
    <t xml:space="preserve">Custom print</t>
  </si>
  <si>
    <t xml:space="preserve">GL-043</t>
  </si>
  <si>
    <t xml:space="preserve">Smart (switchable PDLC) glass</t>
  </si>
  <si>
    <t xml:space="preserve">12.76 mm laminated</t>
  </si>
  <si>
    <t xml:space="preserve">Switchable</t>
  </si>
  <si>
    <t xml:space="preserve">12.76mm lami stainless steel</t>
  </si>
  <si>
    <t xml:space="preserve">GL-044</t>
  </si>
  <si>
    <t xml:space="preserve">Wired glass</t>
  </si>
  <si>
    <t xml:space="preserve">6.8 mm</t>
  </si>
  <si>
    <t xml:space="preserve">6.8mm stainless steel</t>
  </si>
  <si>
    <t xml:space="preserve">GL-045</t>
  </si>
  <si>
    <t xml:space="preserve">Anti-slip floor glass (laminated)</t>
  </si>
  <si>
    <t xml:space="preserve">21.52 mm, fritted top</t>
  </si>
  <si>
    <t xml:space="preserve">Anti-slip frit</t>
  </si>
  <si>
    <t xml:space="preserve">21.52mm lami stainless steel</t>
  </si>
  <si>
    <t xml:space="preserve">GL-046</t>
  </si>
  <si>
    <t xml:space="preserve">Fire-Rated</t>
  </si>
  <si>
    <t xml:space="preserve">Fire-rated glass - E30 (integrity)</t>
  </si>
  <si>
    <t xml:space="preserve">Approx. 6-8 mm</t>
  </si>
  <si>
    <t xml:space="preserve">Pyrobel / Pyrostop / Equiv.</t>
  </si>
  <si>
    <t xml:space="preserve">8mm fire rated resistant stainless steel</t>
  </si>
  <si>
    <t xml:space="preserve">GL-047</t>
  </si>
  <si>
    <t xml:space="preserve">Fire-rated glass - EI30 (insulated)</t>
  </si>
  <si>
    <t xml:space="preserve">Approx. 16-18 mm</t>
  </si>
  <si>
    <t xml:space="preserve">18mm fire rated resistant stainless steel</t>
  </si>
  <si>
    <t xml:space="preserve">GL-048</t>
  </si>
  <si>
    <t xml:space="preserve">Fire-rated glass - EI60 (insulated)</t>
  </si>
  <si>
    <t xml:space="preserve">Approx. 23-27 mm</t>
  </si>
  <si>
    <t xml:space="preserve">27mm fire rated resistant stainless steel</t>
  </si>
  <si>
    <t xml:space="preserve">GL-049</t>
  </si>
  <si>
    <t xml:space="preserve">Fire-rated glass - EI90/120</t>
  </si>
  <si>
    <t xml:space="preserve">Approx. 37-50 mm</t>
  </si>
  <si>
    <t xml:space="preserve">50mm fire rated resistant stainless steel</t>
  </si>
  <si>
    <t xml:space="preserve">GL-050</t>
  </si>
  <si>
    <t xml:space="preserve">Polycarbonate &amp; Acrylic</t>
  </si>
  <si>
    <t xml:space="preserve">Polycarbonate multiwall sheet</t>
  </si>
  <si>
    <t xml:space="preserve">10 mm twin wall</t>
  </si>
  <si>
    <t xml:space="preserve">Clear / Opal / Bronze</t>
  </si>
  <si>
    <t xml:space="preserve">10mm pc sheet</t>
  </si>
  <si>
    <t xml:space="preserve">GL-051</t>
  </si>
  <si>
    <t xml:space="preserve">16 mm multiwall</t>
  </si>
  <si>
    <t xml:space="preserve">Clear / Opal</t>
  </si>
  <si>
    <t xml:space="preserve">16mm pc sheet</t>
  </si>
  <si>
    <t xml:space="preserve">GL-052</t>
  </si>
  <si>
    <t xml:space="preserve">Polycarbonate solid sheet</t>
  </si>
  <si>
    <t xml:space="preserve">Clear / Bronze</t>
  </si>
  <si>
    <t xml:space="preserve">6mm pc sheet</t>
  </si>
  <si>
    <t xml:space="preserve">GL-053</t>
  </si>
  <si>
    <t xml:space="preserve">GL-054</t>
  </si>
  <si>
    <t xml:space="preserve">Acrylic (PMMA) sheet</t>
  </si>
  <si>
    <t xml:space="preserve">5 mm</t>
  </si>
  <si>
    <t xml:space="preserve">5mm pc sheet</t>
  </si>
  <si>
    <t xml:space="preserve">03.  GLASS PROCESSING &amp; FABRICATION CHARGES</t>
  </si>
  <si>
    <t xml:space="preserve">Scope: Edge work, holes, cut-outs, bevelling, sand-blasting, film, cutting &amp; handling</t>
  </si>
  <si>
    <t xml:space="preserve">GP-001</t>
  </si>
  <si>
    <t xml:space="preserve">Edge Work</t>
  </si>
  <si>
    <t xml:space="preserve">Edge grinding (arris / seamed)</t>
  </si>
  <si>
    <t xml:space="preserve">Up to 12 mm</t>
  </si>
  <si>
    <t xml:space="preserve">12mm</t>
  </si>
  <si>
    <t xml:space="preserve">GP-002</t>
  </si>
  <si>
    <t xml:space="preserve">Flat polished edge</t>
  </si>
  <si>
    <t xml:space="preserve">GP-003</t>
  </si>
  <si>
    <t xml:space="preserve">15-19 mm</t>
  </si>
  <si>
    <t xml:space="preserve">19mm</t>
  </si>
  <si>
    <t xml:space="preserve">GP-004</t>
  </si>
  <si>
    <t xml:space="preserve">Bevelled edge - 10 mm width</t>
  </si>
  <si>
    <t xml:space="preserve">Up to 6 mm mirror / glass</t>
  </si>
  <si>
    <t xml:space="preserve">10mm 6mm glass stainless steel</t>
  </si>
  <si>
    <t xml:space="preserve">GP-005</t>
  </si>
  <si>
    <t xml:space="preserve">Bevelled edge - 25 mm width</t>
  </si>
  <si>
    <t xml:space="preserve">25mm 6mm glass stainless steel</t>
  </si>
  <si>
    <t xml:space="preserve">GP-006</t>
  </si>
  <si>
    <t xml:space="preserve">Pencil / round edge</t>
  </si>
  <si>
    <t xml:space="preserve">GP-007</t>
  </si>
  <si>
    <t xml:space="preserve">Mitre edge (45 degree)</t>
  </si>
  <si>
    <t xml:space="preserve">GP-008</t>
  </si>
  <si>
    <t xml:space="preserve">Holes &amp; Cut-outs</t>
  </si>
  <si>
    <t xml:space="preserve">Hole drilling</t>
  </si>
  <si>
    <t xml:space="preserve">Up to 12 mm glass, dia up to 20 mm</t>
  </si>
  <si>
    <t xml:space="preserve">nos</t>
  </si>
  <si>
    <t xml:space="preserve">12mm 20mm</t>
  </si>
  <si>
    <t xml:space="preserve">GP-009</t>
  </si>
  <si>
    <t xml:space="preserve">Up to 12 mm glass, dia 21-50 mm</t>
  </si>
  <si>
    <t xml:space="preserve">12mm 50mm</t>
  </si>
  <si>
    <t xml:space="preserve">GP-010</t>
  </si>
  <si>
    <t xml:space="preserve">Countersunk hole</t>
  </si>
  <si>
    <t xml:space="preserve">For spider / routel fittings</t>
  </si>
  <si>
    <t xml:space="preserve">GP-011</t>
  </si>
  <si>
    <t xml:space="preserve">Hinge / patch notch cut-out</t>
  </si>
  <si>
    <t xml:space="preserve">Up to 12 mm glass</t>
  </si>
  <si>
    <t xml:space="preserve">GP-012</t>
  </si>
  <si>
    <t xml:space="preserve">Lock / handle cut-out</t>
  </si>
  <si>
    <t xml:space="preserve">12mm door stainless steel</t>
  </si>
  <si>
    <t xml:space="preserve">GP-013</t>
  </si>
  <si>
    <t xml:space="preserve">Socket / switch cut-out</t>
  </si>
  <si>
    <t xml:space="preserve">Up to 6 mm (splash back)</t>
  </si>
  <si>
    <t xml:space="preserve">6mm</t>
  </si>
  <si>
    <t xml:space="preserve">GP-014</t>
  </si>
  <si>
    <t xml:space="preserve">Corner radius / shaped cutting</t>
  </si>
  <si>
    <t xml:space="preserve">Per corner</t>
  </si>
  <si>
    <t xml:space="preserve">GP-015</t>
  </si>
  <si>
    <t xml:space="preserve">Surface Treatment</t>
  </si>
  <si>
    <t xml:space="preserve">Sand-blasting / frosting</t>
  </si>
  <si>
    <t xml:space="preserve">Full sheet</t>
  </si>
  <si>
    <t xml:space="preserve">Frosted</t>
  </si>
  <si>
    <t xml:space="preserve">sandblast</t>
  </si>
  <si>
    <t xml:space="preserve">GP-016</t>
  </si>
  <si>
    <t xml:space="preserve">Sand-blasted design / logo</t>
  </si>
  <si>
    <t xml:space="preserve">As per design</t>
  </si>
  <si>
    <t xml:space="preserve">GP-017</t>
  </si>
  <si>
    <t xml:space="preserve">Frosted vinyl film (manifestation)</t>
  </si>
  <si>
    <t xml:space="preserve">Installed</t>
  </si>
  <si>
    <t xml:space="preserve">3M / Equiv.</t>
  </si>
  <si>
    <t xml:space="preserve">GP-018</t>
  </si>
  <si>
    <t xml:space="preserve">Manifestation strip (safety band)</t>
  </si>
  <si>
    <t xml:space="preserve">100 mm wide, installed</t>
  </si>
  <si>
    <t xml:space="preserve">100mm sandblast</t>
  </si>
  <si>
    <t xml:space="preserve">GP-019</t>
  </si>
  <si>
    <t xml:space="preserve">Solar / safety window film</t>
  </si>
  <si>
    <t xml:space="preserve">Tinted / clear</t>
  </si>
  <si>
    <t xml:space="preserve">3M / Llumar / Equiv.</t>
  </si>
  <si>
    <t xml:space="preserve">GP-020</t>
  </si>
  <si>
    <t xml:space="preserve">Self-cleaning / anti-fingerprint coating</t>
  </si>
  <si>
    <t xml:space="preserve">Applied</t>
  </si>
  <si>
    <t xml:space="preserve">GP-021</t>
  </si>
  <si>
    <t xml:space="preserve">Handling</t>
  </si>
  <si>
    <t xml:space="preserve">Glass cutting charges (customer glass)</t>
  </si>
  <si>
    <t xml:space="preserve">Per cut</t>
  </si>
  <si>
    <t xml:space="preserve">stainless steel</t>
  </si>
  <si>
    <t xml:space="preserve">GP-022</t>
  </si>
  <si>
    <t xml:space="preserve">Oversize glass surcharge</t>
  </si>
  <si>
    <t xml:space="preserve">Above 2.4 x 3.6 m</t>
  </si>
  <si>
    <t xml:space="preserve">2.4x3.6 stainless steel</t>
  </si>
  <si>
    <t xml:space="preserve">GP-023</t>
  </si>
  <si>
    <t xml:space="preserve">Packing / crating (export / long distance)</t>
  </si>
  <si>
    <t xml:space="preserve">Wooden crate</t>
  </si>
  <si>
    <t xml:space="preserve">04.  MIRRORS</t>
  </si>
  <si>
    <t xml:space="preserve">Scope: Silver, coloured, safety-backed, bevelled, LED &amp; framed mirrors</t>
  </si>
  <si>
    <t xml:space="preserve">MR-001</t>
  </si>
  <si>
    <t xml:space="preserve">Silver Mirror</t>
  </si>
  <si>
    <t xml:space="preserve">Silver mirror</t>
  </si>
  <si>
    <t xml:space="preserve">Clear silver</t>
  </si>
  <si>
    <t xml:space="preserve">Guardian / Saint-Gobain / Equiv.</t>
  </si>
  <si>
    <t xml:space="preserve">4mm glass</t>
  </si>
  <si>
    <t xml:space="preserve">MR-002</t>
  </si>
  <si>
    <t xml:space="preserve">5mm glass</t>
  </si>
  <si>
    <t xml:space="preserve">MR-003</t>
  </si>
  <si>
    <t xml:space="preserve">6mm glass</t>
  </si>
  <si>
    <t xml:space="preserve">MR-004</t>
  </si>
  <si>
    <t xml:space="preserve">Copper-free / lead-free silver mirror</t>
  </si>
  <si>
    <t xml:space="preserve">MR-005</t>
  </si>
  <si>
    <t xml:space="preserve">Safety-backed mirror (vinyl film)</t>
  </si>
  <si>
    <t xml:space="preserve">6 mm, Cat. 2 film</t>
  </si>
  <si>
    <t xml:space="preserve">MR-006</t>
  </si>
  <si>
    <t xml:space="preserve">Tempered mirror</t>
  </si>
  <si>
    <t xml:space="preserve">6mm toughened glass</t>
  </si>
  <si>
    <t xml:space="preserve">MR-007</t>
  </si>
  <si>
    <t xml:space="preserve">Coloured Mirror</t>
  </si>
  <si>
    <t xml:space="preserve">Tinted mirror</t>
  </si>
  <si>
    <t xml:space="preserve">Bronze / Grey / Gold</t>
  </si>
  <si>
    <t xml:space="preserve">MR-008</t>
  </si>
  <si>
    <t xml:space="preserve">Antique mirror</t>
  </si>
  <si>
    <t xml:space="preserve">Antique finish</t>
  </si>
  <si>
    <t xml:space="preserve">MR-009</t>
  </si>
  <si>
    <t xml:space="preserve">Two-way (one-way) mirror</t>
  </si>
  <si>
    <t xml:space="preserve">Semi-reflective</t>
  </si>
  <si>
    <t xml:space="preserve">MR-010</t>
  </si>
  <si>
    <t xml:space="preserve">Finished Mirror</t>
  </si>
  <si>
    <t xml:space="preserve">Mirror with 25 mm bevelled edge</t>
  </si>
  <si>
    <t xml:space="preserve">5 mm, fixed with SS clips</t>
  </si>
  <si>
    <t xml:space="preserve">25mm 5mm glass stainless steel</t>
  </si>
  <si>
    <t xml:space="preserve">MR-011</t>
  </si>
  <si>
    <t xml:space="preserve">Mirror with polished edge &amp; adhesive fixing</t>
  </si>
  <si>
    <t xml:space="preserve">MR-012</t>
  </si>
  <si>
    <t xml:space="preserve">LED back-lit mirror with demister</t>
  </si>
  <si>
    <t xml:space="preserve">800 x 1000 mm</t>
  </si>
  <si>
    <t xml:space="preserve">Touch switch</t>
  </si>
  <si>
    <t xml:space="preserve">800x1000 1000mm glass</t>
  </si>
  <si>
    <t xml:space="preserve">MR-013</t>
  </si>
  <si>
    <t xml:space="preserve">Framed mirror - aluminium frame</t>
  </si>
  <si>
    <t xml:space="preserve">Per m2</t>
  </si>
  <si>
    <t xml:space="preserve">aluminum alu pc glass</t>
  </si>
  <si>
    <t xml:space="preserve">MR-014</t>
  </si>
  <si>
    <t xml:space="preserve">Gym / full-height wall mirror</t>
  </si>
  <si>
    <t xml:space="preserve">6 mm on MDF/plywood backing</t>
  </si>
  <si>
    <t xml:space="preserve">MR-015</t>
  </si>
  <si>
    <t xml:space="preserve">Mirror Accessories</t>
  </si>
  <si>
    <t xml:space="preserve">Mirror adhesive (neutral silicone)</t>
  </si>
  <si>
    <t xml:space="preserve">310 ml</t>
  </si>
  <si>
    <t xml:space="preserve">Dow / Sika / Equiv.</t>
  </si>
  <si>
    <t xml:space="preserve">sealant glass</t>
  </si>
  <si>
    <t xml:space="preserve">MR-016</t>
  </si>
  <si>
    <t xml:space="preserve">SS mirror clip / J-channel</t>
  </si>
  <si>
    <t xml:space="preserve">Set</t>
  </si>
  <si>
    <t xml:space="preserve">SS 304</t>
  </si>
  <si>
    <t xml:space="preserve">set</t>
  </si>
  <si>
    <t xml:space="preserve">ss304 sus304 glass stainless steel</t>
  </si>
  <si>
    <t xml:space="preserve">MR-017</t>
  </si>
  <si>
    <t xml:space="preserve">Aluminium J-channel / mirror channel</t>
  </si>
  <si>
    <t xml:space="preserve">Per lm</t>
  </si>
  <si>
    <t xml:space="preserve">Anodized</t>
  </si>
  <si>
    <t xml:space="preserve">aluminum alu glass</t>
  </si>
  <si>
    <t xml:space="preserve">05.  HARDWARE - DOORS &amp; WINDOWS</t>
  </si>
  <si>
    <t xml:space="preserve">Scope: Floor springs, closers, locks, handles, hinges, rollers, friction stays, multipoint locks</t>
  </si>
  <si>
    <t xml:space="preserve">HW-001</t>
  </si>
  <si>
    <t xml:space="preserve">Floor Springs &amp; Closers</t>
  </si>
  <si>
    <t xml:space="preserve">Floor spring</t>
  </si>
  <si>
    <t xml:space="preserve">Up to 150 kg, EN 1-4</t>
  </si>
  <si>
    <t xml:space="preserve">SS cover</t>
  </si>
  <si>
    <t xml:space="preserve">dormakaba BTS 75V / Equiv.</t>
  </si>
  <si>
    <t xml:space="preserve">door stainless steel</t>
  </si>
  <si>
    <t xml:space="preserve">HW-002</t>
  </si>
  <si>
    <t xml:space="preserve">Up to 120 kg</t>
  </si>
  <si>
    <t xml:space="preserve">Local / China</t>
  </si>
  <si>
    <t xml:space="preserve">HW-003</t>
  </si>
  <si>
    <t xml:space="preserve">Overhead door closer</t>
  </si>
  <si>
    <t xml:space="preserve">EN 2-4, with arm</t>
  </si>
  <si>
    <t xml:space="preserve">Silver</t>
  </si>
  <si>
    <t xml:space="preserve">dormakaba TS 83 / Equiv.</t>
  </si>
  <si>
    <t xml:space="preserve">door</t>
  </si>
  <si>
    <t xml:space="preserve">HW-004</t>
  </si>
  <si>
    <t xml:space="preserve">Overhead door closer - slide arm</t>
  </si>
  <si>
    <t xml:space="preserve">EN 1-4</t>
  </si>
  <si>
    <t xml:space="preserve">GEZE TS 4000 / Equiv.</t>
  </si>
  <si>
    <t xml:space="preserve">HW-005</t>
  </si>
  <si>
    <t xml:space="preserve">Concealed door closer</t>
  </si>
  <si>
    <t xml:space="preserve">EN 2-3</t>
  </si>
  <si>
    <t xml:space="preserve">dormakaba ITS 96 / Equiv.</t>
  </si>
  <si>
    <t xml:space="preserve">HW-006</t>
  </si>
  <si>
    <t xml:space="preserve">EN 2-4</t>
  </si>
  <si>
    <t xml:space="preserve">HW-007</t>
  </si>
  <si>
    <t xml:space="preserve">Door stopper - floor mounted</t>
  </si>
  <si>
    <t xml:space="preserve">SS satin</t>
  </si>
  <si>
    <t xml:space="preserve">HW-008</t>
  </si>
  <si>
    <t xml:space="preserve">Locks &amp; Cylinders</t>
  </si>
  <si>
    <t xml:space="preserve">Mortise lock - narrow stile (aluminium door)</t>
  </si>
  <si>
    <t xml:space="preserve">Backset 25/30 mm</t>
  </si>
  <si>
    <t xml:space="preserve">Giesse / CISA / Equiv.</t>
  </si>
  <si>
    <t xml:space="preserve">30mm aluminum alu stainless steel</t>
  </si>
  <si>
    <t xml:space="preserve">HW-009</t>
  </si>
  <si>
    <t xml:space="preserve">Euro profile cylinder</t>
  </si>
  <si>
    <t xml:space="preserve">70 mm, key/key</t>
  </si>
  <si>
    <t xml:space="preserve">Satin nickel</t>
  </si>
  <si>
    <t xml:space="preserve">dormakaba / Equiv.</t>
  </si>
  <si>
    <t xml:space="preserve">70mm</t>
  </si>
  <si>
    <t xml:space="preserve">HW-010</t>
  </si>
  <si>
    <t xml:space="preserve">70 mm, key/thumb-turn</t>
  </si>
  <si>
    <t xml:space="preserve">HW-011</t>
  </si>
  <si>
    <t xml:space="preserve">Multipoint lock (hinged door)</t>
  </si>
  <si>
    <t xml:space="preserve">2-4 locking points</t>
  </si>
  <si>
    <t xml:space="preserve">Giesse / Savio / Equiv.</t>
  </si>
  <si>
    <t xml:space="preserve">HW-012</t>
  </si>
  <si>
    <t xml:space="preserve">Sliding door hook lock</t>
  </si>
  <si>
    <t xml:space="preserve">With cylinder</t>
  </si>
  <si>
    <t xml:space="preserve">Giesse / Equiv.</t>
  </si>
  <si>
    <t xml:space="preserve">HW-013</t>
  </si>
  <si>
    <t xml:space="preserve">Sliding window crescent lock</t>
  </si>
  <si>
    <t xml:space="preserve">Silver / Black</t>
  </si>
  <si>
    <t xml:space="preserve">HW-014</t>
  </si>
  <si>
    <t xml:space="preserve">Electromagnetic lock</t>
  </si>
  <si>
    <t xml:space="preserve">600 lbs, with bracket</t>
  </si>
  <si>
    <t xml:space="preserve">HW-015</t>
  </si>
  <si>
    <t xml:space="preserve">Panic bar (push bar)</t>
  </si>
  <si>
    <t xml:space="preserve">Single door</t>
  </si>
  <si>
    <t xml:space="preserve">SS / Silver</t>
  </si>
  <si>
    <t xml:space="preserve">HW-016</t>
  </si>
  <si>
    <t xml:space="preserve">Handles</t>
  </si>
  <si>
    <t xml:space="preserve">Pull handle - H type</t>
  </si>
  <si>
    <t xml:space="preserve">600 mm, dia 32 mm</t>
  </si>
  <si>
    <t xml:space="preserve">SS 304 satin</t>
  </si>
  <si>
    <t xml:space="preserve">pair</t>
  </si>
  <si>
    <t xml:space="preserve">600mm 32mm ss304 sus304 door stainless steel</t>
  </si>
  <si>
    <t xml:space="preserve">HW-017</t>
  </si>
  <si>
    <t xml:space="preserve">1200 mm, dia 32 mm</t>
  </si>
  <si>
    <t xml:space="preserve">1200mm 32mm ss304 sus304 door stainless steel</t>
  </si>
  <si>
    <t xml:space="preserve">HW-018</t>
  </si>
  <si>
    <t xml:space="preserve">1800 mm, dia 38 mm</t>
  </si>
  <si>
    <t xml:space="preserve">SS 316 satin</t>
  </si>
  <si>
    <t xml:space="preserve">1800mm 38mm ss316 sus316 door stainless steel</t>
  </si>
  <si>
    <t xml:space="preserve">HW-019</t>
  </si>
  <si>
    <t xml:space="preserve">Lever handle set on rose</t>
  </si>
  <si>
    <t xml:space="preserve">Hoppe / Equiv.</t>
  </si>
  <si>
    <t xml:space="preserve">HW-020</t>
  </si>
  <si>
    <t xml:space="preserve">HW-021</t>
  </si>
  <si>
    <t xml:space="preserve">Window handle (casement)</t>
  </si>
  <si>
    <t xml:space="preserve">HW-022</t>
  </si>
  <si>
    <t xml:space="preserve">Sliding door flush handle</t>
  </si>
  <si>
    <t xml:space="preserve">HW-023</t>
  </si>
  <si>
    <t xml:space="preserve">Hinges &amp; Pivots</t>
  </si>
  <si>
    <t xml:space="preserve">Aluminium door hinge (3D adjustable)</t>
  </si>
  <si>
    <t xml:space="preserve">Up to 100 kg</t>
  </si>
  <si>
    <t xml:space="preserve">HW-024</t>
  </si>
  <si>
    <t xml:space="preserve">Butt hinge SS</t>
  </si>
  <si>
    <t xml:space="preserve">100 x 75 x 3 mm</t>
  </si>
  <si>
    <t xml:space="preserve">100x75 100x75x3 3mm ss304 sus304 stainless steel</t>
  </si>
  <si>
    <t xml:space="preserve">HW-025</t>
  </si>
  <si>
    <t xml:space="preserve">Concealed hinge (aluminium door)</t>
  </si>
  <si>
    <t xml:space="preserve">Up to 80 kg</t>
  </si>
  <si>
    <t xml:space="preserve">HW-026</t>
  </si>
  <si>
    <t xml:space="preserve">Pivot set (top &amp; bottom)</t>
  </si>
  <si>
    <t xml:space="preserve">Up to 250 kg</t>
  </si>
  <si>
    <t xml:space="preserve">FritsJurgens / Equiv.</t>
  </si>
  <si>
    <t xml:space="preserve">HW-027</t>
  </si>
  <si>
    <t xml:space="preserve">Window Hardware</t>
  </si>
  <si>
    <t xml:space="preserve">Friction stay</t>
  </si>
  <si>
    <t xml:space="preserve">300-400 mm</t>
  </si>
  <si>
    <t xml:space="preserve">400mm ss304 sus304 stainless steel</t>
  </si>
  <si>
    <t xml:space="preserve">HW-028</t>
  </si>
  <si>
    <t xml:space="preserve">Friction stay - heavy duty</t>
  </si>
  <si>
    <t xml:space="preserve">500-600 mm</t>
  </si>
  <si>
    <t xml:space="preserve">SS 316</t>
  </si>
  <si>
    <t xml:space="preserve">600mm ss316 sus316 stainless steel</t>
  </si>
  <si>
    <t xml:space="preserve">HW-029</t>
  </si>
  <si>
    <t xml:space="preserve">Tilt &amp; turn hardware set</t>
  </si>
  <si>
    <t xml:space="preserve">Per sash</t>
  </si>
  <si>
    <t xml:space="preserve">Roto / Siegenia / Equiv.</t>
  </si>
  <si>
    <t xml:space="preserve">HW-030</t>
  </si>
  <si>
    <t xml:space="preserve">Restrictor / limiter stay</t>
  </si>
  <si>
    <t xml:space="preserve">100 mm opening</t>
  </si>
  <si>
    <t xml:space="preserve">100mm stainless steel</t>
  </si>
  <si>
    <t xml:space="preserve">HW-031</t>
  </si>
  <si>
    <t xml:space="preserve">Sliding window roller</t>
  </si>
  <si>
    <t xml:space="preserve">Single, up to 40 kg</t>
  </si>
  <si>
    <t xml:space="preserve">HW-032</t>
  </si>
  <si>
    <t xml:space="preserve">Sliding door roller - tandem</t>
  </si>
  <si>
    <t xml:space="preserve">Up to 150 kg</t>
  </si>
  <si>
    <t xml:space="preserve">SS bearing</t>
  </si>
  <si>
    <t xml:space="preserve">HW-033</t>
  </si>
  <si>
    <t xml:space="preserve">Lift &amp; slide hardware set</t>
  </si>
  <si>
    <t xml:space="preserve">Per sash, up to 300 kg</t>
  </si>
  <si>
    <t xml:space="preserve">Siegenia / Roto / Equiv.</t>
  </si>
  <si>
    <t xml:space="preserve">HW-034</t>
  </si>
  <si>
    <t xml:space="preserve">Mosquito / insect screen (sliding)</t>
  </si>
  <si>
    <t xml:space="preserve">Aluminium frame + mesh</t>
  </si>
  <si>
    <t xml:space="preserve">PC</t>
  </si>
  <si>
    <t xml:space="preserve">HW-035</t>
  </si>
  <si>
    <t xml:space="preserve">Pleated insect screen</t>
  </si>
  <si>
    <t xml:space="preserve">HW-036</t>
  </si>
  <si>
    <t xml:space="preserve">Weather Seals</t>
  </si>
  <si>
    <t xml:space="preserve">Brush seal (wool pile)</t>
  </si>
  <si>
    <t xml:space="preserve">Grey / Black</t>
  </si>
  <si>
    <t xml:space="preserve">HW-037</t>
  </si>
  <si>
    <t xml:space="preserve">Automatic door bottom seal</t>
  </si>
  <si>
    <t xml:space="preserve">Per door</t>
  </si>
  <si>
    <t xml:space="preserve">HW-038</t>
  </si>
  <si>
    <t xml:space="preserve">Aluminium threshold with seal</t>
  </si>
  <si>
    <t xml:space="preserve">06.  GLASS FITTINGS - PARTITION, SHOWER &amp; SPIDER</t>
  </si>
  <si>
    <t xml:space="preserve">Scope: Patch fittings, shower hinges, clamps, spider / routel, sliding glass systems</t>
  </si>
  <si>
    <t xml:space="preserve">GF-001</t>
  </si>
  <si>
    <t xml:space="preserve">Patch Fittings (Glass Doors)</t>
  </si>
  <si>
    <t xml:space="preserve">Bottom patch fitting</t>
  </si>
  <si>
    <t xml:space="preserve">For 10-12 mm glass</t>
  </si>
  <si>
    <t xml:space="preserve">dormakaba PT 10 / Equiv.</t>
  </si>
  <si>
    <t xml:space="preserve">GF-002</t>
  </si>
  <si>
    <t xml:space="preserve">Top patch fitting</t>
  </si>
  <si>
    <t xml:space="preserve">dormakaba PT 20 / Equiv.</t>
  </si>
  <si>
    <t xml:space="preserve">GF-003</t>
  </si>
  <si>
    <t xml:space="preserve">Top pivot / over-panel fitting</t>
  </si>
  <si>
    <t xml:space="preserve">dormakaba PT 30 / Equiv.</t>
  </si>
  <si>
    <t xml:space="preserve">GF-004</t>
  </si>
  <si>
    <t xml:space="preserve">Corner lock patch with strike</t>
  </si>
  <si>
    <t xml:space="preserve">dormakaba PT 40 / Equiv.</t>
  </si>
  <si>
    <t xml:space="preserve">GF-005</t>
  </si>
  <si>
    <t xml:space="preserve">Patch fitting set (top, bottom, lock, strike)</t>
  </si>
  <si>
    <t xml:space="preserve">Complete door set</t>
  </si>
  <si>
    <t xml:space="preserve">GF-006</t>
  </si>
  <si>
    <t xml:space="preserve">Transom / side-panel connector</t>
  </si>
  <si>
    <t xml:space="preserve">Glass-to-glass</t>
  </si>
  <si>
    <t xml:space="preserve">GF-007</t>
  </si>
  <si>
    <t xml:space="preserve">Shower Fittings</t>
  </si>
  <si>
    <t xml:space="preserve">Shower hinge 90 deg - glass to wall</t>
  </si>
  <si>
    <t xml:space="preserve">For 8-10 mm glass</t>
  </si>
  <si>
    <t xml:space="preserve">SS 304 chrome / satin</t>
  </si>
  <si>
    <t xml:space="preserve">10mm ss304 sus304 bathroom stainless steel</t>
  </si>
  <si>
    <t xml:space="preserve">GF-008</t>
  </si>
  <si>
    <t xml:space="preserve">Shower hinge 180 deg - glass to glass</t>
  </si>
  <si>
    <t xml:space="preserve">GF-009</t>
  </si>
  <si>
    <t xml:space="preserve">Shower hinge 135 deg - glass to glass</t>
  </si>
  <si>
    <t xml:space="preserve">GF-010</t>
  </si>
  <si>
    <t xml:space="preserve">Shower hinge - premium</t>
  </si>
  <si>
    <t xml:space="preserve">Chrome / gold / black</t>
  </si>
  <si>
    <t xml:space="preserve">dormakaba / Häfele / Equiv.</t>
  </si>
  <si>
    <t xml:space="preserve">10mm bathroom stainless steel</t>
  </si>
  <si>
    <t xml:space="preserve">GF-011</t>
  </si>
  <si>
    <t xml:space="preserve">Shower door knob / pull handle</t>
  </si>
  <si>
    <t xml:space="preserve">300 mm back-to-back</t>
  </si>
  <si>
    <t xml:space="preserve">SS chrome / satin</t>
  </si>
  <si>
    <t xml:space="preserve">300mm door bathroom stainless steel</t>
  </si>
  <si>
    <t xml:space="preserve">GF-012</t>
  </si>
  <si>
    <t xml:space="preserve">Glass-to-wall clamp (L / flat)</t>
  </si>
  <si>
    <t xml:space="preserve">SS chrome</t>
  </si>
  <si>
    <t xml:space="preserve">GF-013</t>
  </si>
  <si>
    <t xml:space="preserve">Glass-to-glass clamp (90/180 deg)</t>
  </si>
  <si>
    <t xml:space="preserve">GF-014</t>
  </si>
  <si>
    <t xml:space="preserve">Support bar / stabilizer bar with fittings</t>
  </si>
  <si>
    <t xml:space="preserve">Up to 1000 mm</t>
  </si>
  <si>
    <t xml:space="preserve">1000mm bathroom stainless steel</t>
  </si>
  <si>
    <t xml:space="preserve">GF-015</t>
  </si>
  <si>
    <t xml:space="preserve">Sliding shower kit (barn type)</t>
  </si>
  <si>
    <t xml:space="preserve">Up to 1500 mm, 8-10 mm glass</t>
  </si>
  <si>
    <t xml:space="preserve">SS satin / black</t>
  </si>
  <si>
    <t xml:space="preserve">1500mm 10mm bathroom stainless steel</t>
  </si>
  <si>
    <t xml:space="preserve">GF-016</t>
  </si>
  <si>
    <t xml:space="preserve">Shower seal / drip strip (PVC)</t>
  </si>
  <si>
    <t xml:space="preserve">bathroom</t>
  </si>
  <si>
    <t xml:space="preserve">GF-017</t>
  </si>
  <si>
    <t xml:space="preserve">Magnetic seal profile</t>
  </si>
  <si>
    <t xml:space="preserve">GF-018</t>
  </si>
  <si>
    <t xml:space="preserve">Partition Hardware</t>
  </si>
  <si>
    <t xml:space="preserve">Sliding glass door track system</t>
  </si>
  <si>
    <t xml:space="preserve">Up to 80 kg, 2 m track</t>
  </si>
  <si>
    <t xml:space="preserve">dormakaba MUTO / Equiv.</t>
  </si>
  <si>
    <t xml:space="preserve">GF-019</t>
  </si>
  <si>
    <t xml:space="preserve">GF-020</t>
  </si>
  <si>
    <t xml:space="preserve">Soft-close damper (sliding)</t>
  </si>
  <si>
    <t xml:space="preserve">Per damper</t>
  </si>
  <si>
    <t xml:space="preserve">GF-021</t>
  </si>
  <si>
    <t xml:space="preserve">Floor guide for sliding glass</t>
  </si>
  <si>
    <t xml:space="preserve">GF-022</t>
  </si>
  <si>
    <t xml:space="preserve">Stacking / folding glass partition hardware</t>
  </si>
  <si>
    <t xml:space="preserve">Per panel</t>
  </si>
  <si>
    <t xml:space="preserve">dormakaba HSW / Equiv.</t>
  </si>
  <si>
    <t xml:space="preserve">panel</t>
  </si>
  <si>
    <t xml:space="preserve">GF-023</t>
  </si>
  <si>
    <t xml:space="preserve">Glass door lock (centre / floor)</t>
  </si>
  <si>
    <t xml:space="preserve">GF-024</t>
  </si>
  <si>
    <t xml:space="preserve">Spider &amp; Point-Fixed</t>
  </si>
  <si>
    <t xml:space="preserve">Spider fitting - 4 arm</t>
  </si>
  <si>
    <t xml:space="preserve">SS 316, 200-250 mm c/c</t>
  </si>
  <si>
    <t xml:space="preserve">250mm ss316 sus316 stainless steel</t>
  </si>
  <si>
    <t xml:space="preserve">GF-025</t>
  </si>
  <si>
    <t xml:space="preserve">Spider fitting - 2 arm</t>
  </si>
  <si>
    <t xml:space="preserve">ss316 sus316 stainless steel</t>
  </si>
  <si>
    <t xml:space="preserve">GF-026</t>
  </si>
  <si>
    <t xml:space="preserve">Spider fitting - 1 arm</t>
  </si>
  <si>
    <t xml:space="preserve">GF-027</t>
  </si>
  <si>
    <t xml:space="preserve">Routel / articulated bolt</t>
  </si>
  <si>
    <t xml:space="preserve">Countersunk, for 12-21.52 mm glass</t>
  </si>
  <si>
    <t xml:space="preserve">21.52mm ss316 sus316 fixing fastener stainless steel</t>
  </si>
  <si>
    <t xml:space="preserve">GF-028</t>
  </si>
  <si>
    <t xml:space="preserve">Glass fin bracket</t>
  </si>
  <si>
    <t xml:space="preserve">GF-029</t>
  </si>
  <si>
    <t xml:space="preserve">Glass canopy rod / tie-rod set</t>
  </si>
  <si>
    <t xml:space="preserve">SS 316, adjustable</t>
  </si>
  <si>
    <t xml:space="preserve">ss316 sus316 shade stainless steel</t>
  </si>
  <si>
    <t xml:space="preserve">GF-030</t>
  </si>
  <si>
    <t xml:space="preserve">Glass canopy bracket / gripper</t>
  </si>
  <si>
    <t xml:space="preserve">07.  BALUSTRADE &amp; HANDRAIL COMPONENTS</t>
  </si>
  <si>
    <t xml:space="preserve">Scope: SS posts, glass clamps, spigots, standoffs, handrail brackets &amp; end caps</t>
  </si>
  <si>
    <t xml:space="preserve">BH-001</t>
  </si>
  <si>
    <t xml:space="preserve">Posts</t>
  </si>
  <si>
    <t xml:space="preserve">SS balustrade post with glass clamps</t>
  </si>
  <si>
    <t xml:space="preserve">Dia 50.8 mm, 1000-1100 mm H</t>
  </si>
  <si>
    <t xml:space="preserve">50.8mm 1100mm ss304 sus304 railing handrail stainless steel</t>
  </si>
  <si>
    <t xml:space="preserve">BH-002</t>
  </si>
  <si>
    <t xml:space="preserve">50.8mm 1100mm ss316 sus316 railing handrail stainless steel</t>
  </si>
  <si>
    <t xml:space="preserve">BH-003</t>
  </si>
  <si>
    <t xml:space="preserve">SS square post with glass clamps</t>
  </si>
  <si>
    <t xml:space="preserve">40 x 40 mm, 1000-1100 mm H</t>
  </si>
  <si>
    <t xml:space="preserve">40x40 40mm 1100mm ss304 sus304 stainless steel</t>
  </si>
  <si>
    <t xml:space="preserve">BH-004</t>
  </si>
  <si>
    <t xml:space="preserve">SS post with wire / rod infill holes</t>
  </si>
  <si>
    <t xml:space="preserve">Dia 50.8 mm, 5 holes</t>
  </si>
  <si>
    <t xml:space="preserve">50.8mm ss316 sus316 stainless steel</t>
  </si>
  <si>
    <t xml:space="preserve">BH-005</t>
  </si>
  <si>
    <t xml:space="preserve">Glass Clamps &amp; Spigots</t>
  </si>
  <si>
    <t xml:space="preserve">Glass clamp - round / flat back</t>
  </si>
  <si>
    <t xml:space="preserve">For 8-12 mm glass</t>
  </si>
  <si>
    <t xml:space="preserve">12mm ss304 sus304 stainless steel</t>
  </si>
  <si>
    <t xml:space="preserve">BH-006</t>
  </si>
  <si>
    <t xml:space="preserve">12mm ss316 sus316 stainless steel</t>
  </si>
  <si>
    <t xml:space="preserve">BH-007</t>
  </si>
  <si>
    <t xml:space="preserve">Glass spigot - core drilled</t>
  </si>
  <si>
    <t xml:space="preserve">For 12-17.52 mm glass</t>
  </si>
  <si>
    <t xml:space="preserve">SS 2205 duplex</t>
  </si>
  <si>
    <t xml:space="preserve">17.52mm stainless steel</t>
  </si>
  <si>
    <t xml:space="preserve">BH-008</t>
  </si>
  <si>
    <t xml:space="preserve">Glass spigot - base plate</t>
  </si>
  <si>
    <t xml:space="preserve">17.52mm ss316 sus316 stainless steel</t>
  </si>
  <si>
    <t xml:space="preserve">BH-009</t>
  </si>
  <si>
    <t xml:space="preserve">Glass standoff / point fixing</t>
  </si>
  <si>
    <t xml:space="preserve">Dia 50 mm, for 12-17.52 mm glass</t>
  </si>
  <si>
    <t xml:space="preserve">50mm 17.52mm ss316 sus316 stainless steel</t>
  </si>
  <si>
    <t xml:space="preserve">BH-010</t>
  </si>
  <si>
    <t xml:space="preserve">Base shoe wedge / gasket kit</t>
  </si>
  <si>
    <t xml:space="preserve">EPDM / PVC</t>
  </si>
  <si>
    <t xml:space="preserve">rubber epdm stainless steel</t>
  </si>
  <si>
    <t xml:space="preserve">BH-011</t>
  </si>
  <si>
    <t xml:space="preserve">Base shoe end cap</t>
  </si>
  <si>
    <t xml:space="preserve">Aluminium / SS cladding</t>
  </si>
  <si>
    <t xml:space="preserve">aluminum alu stainless steel</t>
  </si>
  <si>
    <t xml:space="preserve">BH-012</t>
  </si>
  <si>
    <t xml:space="preserve">Base shoe SS cladding / cover</t>
  </si>
  <si>
    <t xml:space="preserve">ss304 sus304 stainless steel</t>
  </si>
  <si>
    <t xml:space="preserve">BH-013</t>
  </si>
  <si>
    <t xml:space="preserve">Handrail Fittings</t>
  </si>
  <si>
    <t xml:space="preserve">Handrail bracket - wall mounted</t>
  </si>
  <si>
    <t xml:space="preserve">For dia 42-50 mm</t>
  </si>
  <si>
    <t xml:space="preserve">50mm ss304 sus304 railing balustrade stainless steel</t>
  </si>
  <si>
    <t xml:space="preserve">BH-014</t>
  </si>
  <si>
    <t xml:space="preserve">50mm ss316 sus316 railing balustrade stainless steel</t>
  </si>
  <si>
    <t xml:space="preserve">BH-015</t>
  </si>
  <si>
    <t xml:space="preserve">Glass-mounted handrail bracket</t>
  </si>
  <si>
    <t xml:space="preserve">For 10-17.52 mm glass</t>
  </si>
  <si>
    <t xml:space="preserve">17.52mm ss316 sus316 railing balustrade stainless steel</t>
  </si>
  <si>
    <t xml:space="preserve">BH-016</t>
  </si>
  <si>
    <t xml:space="preserve">Handrail end cap / bend / elbow</t>
  </si>
  <si>
    <t xml:space="preserve">Dia 50.8 mm</t>
  </si>
  <si>
    <t xml:space="preserve">50.8mm ss304 sus304 railing balustrade stainless steel</t>
  </si>
  <si>
    <t xml:space="preserve">BH-017</t>
  </si>
  <si>
    <t xml:space="preserve">Handrail slotted top rail (glass cap)</t>
  </si>
  <si>
    <t xml:space="preserve">Dia 50.8 mm, 24 mm slot</t>
  </si>
  <si>
    <t xml:space="preserve">50.8mm 24mm ss304 sus304 railing balustrade stainless steel</t>
  </si>
  <si>
    <t xml:space="preserve">BH-018</t>
  </si>
  <si>
    <t xml:space="preserve">50.8mm 24mm ss316 sus316 railing balustrade stainless steel</t>
  </si>
  <si>
    <t xml:space="preserve">BH-019</t>
  </si>
  <si>
    <t xml:space="preserve">Wire &amp; Rod Infill</t>
  </si>
  <si>
    <t xml:space="preserve">SS wire rope</t>
  </si>
  <si>
    <t xml:space="preserve">Dia 4 mm, 7x7</t>
  </si>
  <si>
    <t xml:space="preserve">7x7 4mm ss316 sus316 stainless steel</t>
  </si>
  <si>
    <t xml:space="preserve">BH-020</t>
  </si>
  <si>
    <t xml:space="preserve">Wire rope tensioner / end fitting</t>
  </si>
  <si>
    <t xml:space="preserve">BH-021</t>
  </si>
  <si>
    <t xml:space="preserve">SS cross bar / rod</t>
  </si>
  <si>
    <t xml:space="preserve">Dia 12 mm</t>
  </si>
  <si>
    <t xml:space="preserve">BH-022</t>
  </si>
  <si>
    <t xml:space="preserve">Cross bar holder</t>
  </si>
  <si>
    <t xml:space="preserve">BH-023</t>
  </si>
  <si>
    <t xml:space="preserve">SS perforated / mesh infill panel</t>
  </si>
  <si>
    <t xml:space="preserve">1.5 mm</t>
  </si>
  <si>
    <t xml:space="preserve">1.5mm ss304 sus304 stainless steel</t>
  </si>
  <si>
    <t xml:space="preserve">08.  SEALANTS, GASKETS, FIXINGS &amp; CONSUMABLES</t>
  </si>
  <si>
    <t xml:space="preserve">Scope: Silicones, foams, EPDM, tapes, anchors, screws, brackets, shims, tools &amp; consumables</t>
  </si>
  <si>
    <t xml:space="preserve">SF-001</t>
  </si>
  <si>
    <t xml:space="preserve">Silicone Sealants</t>
  </si>
  <si>
    <t xml:space="preserve">Structural silicone sealant (2-part)</t>
  </si>
  <si>
    <t xml:space="preserve">Per kg (base + curing agent)</t>
  </si>
  <si>
    <t xml:space="preserve">Black</t>
  </si>
  <si>
    <t xml:space="preserve">Dow DOWSIL 993 / Equiv.</t>
  </si>
  <si>
    <t xml:space="preserve">sealant silicone</t>
  </si>
  <si>
    <t xml:space="preserve">SF-002</t>
  </si>
  <si>
    <t xml:space="preserve">Structural silicone sealant (1-part)</t>
  </si>
  <si>
    <t xml:space="preserve">600 ml sausage</t>
  </si>
  <si>
    <t xml:space="preserve">Dow DOWSIL 795 / 895</t>
  </si>
  <si>
    <t xml:space="preserve">SF-003</t>
  </si>
  <si>
    <t xml:space="preserve">Weatherproofing silicone sealant</t>
  </si>
  <si>
    <t xml:space="preserve">Colour as req.</t>
  </si>
  <si>
    <t xml:space="preserve">Dow DOWSIL 791 / 991</t>
  </si>
  <si>
    <t xml:space="preserve">SF-004</t>
  </si>
  <si>
    <t xml:space="preserve">300 ml cartridge</t>
  </si>
  <si>
    <t xml:space="preserve">Dow / Sika / GE</t>
  </si>
  <si>
    <t xml:space="preserve">SF-005</t>
  </si>
  <si>
    <t xml:space="preserve">Neutral cure general silicone</t>
  </si>
  <si>
    <t xml:space="preserve">Clear / White / Black</t>
  </si>
  <si>
    <t xml:space="preserve">GE / Local</t>
  </si>
  <si>
    <t xml:space="preserve">SF-006</t>
  </si>
  <si>
    <t xml:space="preserve">Anti-fungal sanitary silicone (shower)</t>
  </si>
  <si>
    <t xml:space="preserve">Clear / White</t>
  </si>
  <si>
    <t xml:space="preserve">sealant silicone bathroom</t>
  </si>
  <si>
    <t xml:space="preserve">SF-007</t>
  </si>
  <si>
    <t xml:space="preserve">Insulating glass (IG) secondary sealant</t>
  </si>
  <si>
    <t xml:space="preserve">Per kg</t>
  </si>
  <si>
    <t xml:space="preserve">Dow DOWSIL 3362 / Equiv.</t>
  </si>
  <si>
    <t xml:space="preserve">sealant silicone stainless steel</t>
  </si>
  <si>
    <t xml:space="preserve">SF-008</t>
  </si>
  <si>
    <t xml:space="preserve">Other Sealants &amp; Adhesives</t>
  </si>
  <si>
    <t xml:space="preserve">Polyurethane (PU) sealant</t>
  </si>
  <si>
    <t xml:space="preserve">Grey</t>
  </si>
  <si>
    <t xml:space="preserve">Sika Sikaflex / Equiv.</t>
  </si>
  <si>
    <t xml:space="preserve">silicone</t>
  </si>
  <si>
    <t xml:space="preserve">SF-009</t>
  </si>
  <si>
    <t xml:space="preserve">PU expanding foam</t>
  </si>
  <si>
    <t xml:space="preserve">750 ml</t>
  </si>
  <si>
    <t xml:space="preserve">SF-010</t>
  </si>
  <si>
    <t xml:space="preserve">Fire-rated sealant (intumescent / acrylic)</t>
  </si>
  <si>
    <t xml:space="preserve">White / Grey</t>
  </si>
  <si>
    <t xml:space="preserve">Hilti / Sika / Equiv.</t>
  </si>
  <si>
    <t xml:space="preserve">silicone fire rated resistant</t>
  </si>
  <si>
    <t xml:space="preserve">SF-011</t>
  </si>
  <si>
    <t xml:space="preserve">Fire-rated PU foam</t>
  </si>
  <si>
    <t xml:space="preserve">Hilti / Equiv.</t>
  </si>
  <si>
    <t xml:space="preserve">SF-012</t>
  </si>
  <si>
    <t xml:space="preserve">Chemical anchor resin</t>
  </si>
  <si>
    <t xml:space="preserve">330-410 ml</t>
  </si>
  <si>
    <t xml:space="preserve">Hilti HIT-RE / Fischer / Equiv.</t>
  </si>
  <si>
    <t xml:space="preserve">silicone fixing fastener bolt</t>
  </si>
  <si>
    <t xml:space="preserve">SF-013</t>
  </si>
  <si>
    <t xml:space="preserve">Primer / cleaner (silicone)</t>
  </si>
  <si>
    <t xml:space="preserve">1 litre</t>
  </si>
  <si>
    <t xml:space="preserve">Dow / Sika</t>
  </si>
  <si>
    <t xml:space="preserve">ltr</t>
  </si>
  <si>
    <t xml:space="preserve">SF-014</t>
  </si>
  <si>
    <t xml:space="preserve">Masking tape</t>
  </si>
  <si>
    <t xml:space="preserve">48 mm x 50 m</t>
  </si>
  <si>
    <t xml:space="preserve">roll</t>
  </si>
  <si>
    <t xml:space="preserve">48mm silicone</t>
  </si>
  <si>
    <t xml:space="preserve">SF-015</t>
  </si>
  <si>
    <t xml:space="preserve">Gaskets &amp; Tapes</t>
  </si>
  <si>
    <t xml:space="preserve">EPDM glazing gasket (wedge)</t>
  </si>
  <si>
    <t xml:space="preserve">rubber epdm</t>
  </si>
  <si>
    <t xml:space="preserve">SF-016</t>
  </si>
  <si>
    <t xml:space="preserve">EPDM curtain wall gasket</t>
  </si>
  <si>
    <t xml:space="preserve">SF-017</t>
  </si>
  <si>
    <t xml:space="preserve">Silicone gasket (high performance)</t>
  </si>
  <si>
    <t xml:space="preserve">sealant rubber epdm</t>
  </si>
  <si>
    <t xml:space="preserve">SF-018</t>
  </si>
  <si>
    <t xml:space="preserve">Backer rod (closed-cell PE)</t>
  </si>
  <si>
    <t xml:space="preserve">Dia 10-25 mm</t>
  </si>
  <si>
    <t xml:space="preserve">25mm rubber epdm</t>
  </si>
  <si>
    <t xml:space="preserve">SF-019</t>
  </si>
  <si>
    <t xml:space="preserve">Double-sided structural glazing tape</t>
  </si>
  <si>
    <t xml:space="preserve">3M VHB / Norton / Equiv.</t>
  </si>
  <si>
    <t xml:space="preserve">SF-020</t>
  </si>
  <si>
    <t xml:space="preserve">Foam spacer tape (SSG)</t>
  </si>
  <si>
    <t xml:space="preserve">Norton / Equiv.</t>
  </si>
  <si>
    <t xml:space="preserve">SF-021</t>
  </si>
  <si>
    <t xml:space="preserve">Butyl / EPDM waterproofing membrane</t>
  </si>
  <si>
    <t xml:space="preserve">150-300 mm wide</t>
  </si>
  <si>
    <t xml:space="preserve">300mm rubber epdm</t>
  </si>
  <si>
    <t xml:space="preserve">SF-022</t>
  </si>
  <si>
    <t xml:space="preserve">Setting block (EPDM / silicone)</t>
  </si>
  <si>
    <t xml:space="preserve">100 x 25 mm</t>
  </si>
  <si>
    <t xml:space="preserve">100x25 25mm sealant rubber epdm</t>
  </si>
  <si>
    <t xml:space="preserve">SF-023</t>
  </si>
  <si>
    <t xml:space="preserve">Glazing shims / packers (assorted)</t>
  </si>
  <si>
    <t xml:space="preserve">Packet</t>
  </si>
  <si>
    <t xml:space="preserve">pkt</t>
  </si>
  <si>
    <t xml:space="preserve">rubber epdm mild steel</t>
  </si>
  <si>
    <t xml:space="preserve">SF-024</t>
  </si>
  <si>
    <t xml:space="preserve">Anchors &amp; Fasteners</t>
  </si>
  <si>
    <t xml:space="preserve">Mechanical anchor bolt (wedge)</t>
  </si>
  <si>
    <t xml:space="preserve">M10 x 100</t>
  </si>
  <si>
    <t xml:space="preserve">Zinc plated</t>
  </si>
  <si>
    <t xml:space="preserve">Hilti HST3 / Fischer / Equiv.</t>
  </si>
  <si>
    <t xml:space="preserve">10x100 fixing fastener bolt</t>
  </si>
  <si>
    <t xml:space="preserve">SF-025</t>
  </si>
  <si>
    <t xml:space="preserve">M12 x 120</t>
  </si>
  <si>
    <t xml:space="preserve">12x120 fixing fastener bolt</t>
  </si>
  <si>
    <t xml:space="preserve">SF-026</t>
  </si>
  <si>
    <t xml:space="preserve">SS anchor bolt</t>
  </si>
  <si>
    <t xml:space="preserve">Hilti / Fischer / Equiv.</t>
  </si>
  <si>
    <t xml:space="preserve">10x100 ss316 sus316 fixing fastener bolt stainless steel</t>
  </si>
  <si>
    <t xml:space="preserve">SF-027</t>
  </si>
  <si>
    <t xml:space="preserve">Chemical anchor stud with nut &amp; washer</t>
  </si>
  <si>
    <t xml:space="preserve">M12 x 160</t>
  </si>
  <si>
    <t xml:space="preserve">HDG / SS 316</t>
  </si>
  <si>
    <t xml:space="preserve">12x160 ss316 sus316 fixing fastener bolt stainless steel</t>
  </si>
  <si>
    <t xml:space="preserve">SF-028</t>
  </si>
  <si>
    <t xml:space="preserve">Frame fixing (nylon plug + screw)</t>
  </si>
  <si>
    <t xml:space="preserve">10 x 100 mm</t>
  </si>
  <si>
    <t xml:space="preserve">Fischer / Local</t>
  </si>
  <si>
    <t xml:space="preserve">10x100 100mm fixing fastener bolt</t>
  </si>
  <si>
    <t xml:space="preserve">SF-029</t>
  </si>
  <si>
    <t xml:space="preserve">Self-drilling screw</t>
  </si>
  <si>
    <t xml:space="preserve">4.8 x 19 / 25 mm</t>
  </si>
  <si>
    <t xml:space="preserve">SS 410 / Zinc</t>
  </si>
  <si>
    <t xml:space="preserve">box</t>
  </si>
  <si>
    <t xml:space="preserve">4.8x19 25mm fixing fastener bolt stainless steel</t>
  </si>
  <si>
    <t xml:space="preserve">SF-030</t>
  </si>
  <si>
    <t xml:space="preserve">SS self-tapping screw (assorted)</t>
  </si>
  <si>
    <t xml:space="preserve">Box of 500</t>
  </si>
  <si>
    <t xml:space="preserve">ss304 sus304 fixing fastener bolt stainless steel</t>
  </si>
  <si>
    <t xml:space="preserve">SF-031</t>
  </si>
  <si>
    <t xml:space="preserve">SS bolt, nut &amp; washer set</t>
  </si>
  <si>
    <t xml:space="preserve">M10 x 50</t>
  </si>
  <si>
    <t xml:space="preserve">10x50 ss304 sus304 fixing fastener bolt stainless steel</t>
  </si>
  <si>
    <t xml:space="preserve">SF-032</t>
  </si>
  <si>
    <t xml:space="preserve">M12 x 60</t>
  </si>
  <si>
    <t xml:space="preserve">12x60 ss316 sus316 fixing fastener bolt stainless steel</t>
  </si>
  <si>
    <t xml:space="preserve">SF-033</t>
  </si>
  <si>
    <t xml:space="preserve">Pop rivet (aluminium / SS)</t>
  </si>
  <si>
    <t xml:space="preserve">Box of 1000</t>
  </si>
  <si>
    <t xml:space="preserve">aluminum alu fixing fastener bolt</t>
  </si>
  <si>
    <t xml:space="preserve">SF-034</t>
  </si>
  <si>
    <t xml:space="preserve">Brackets &amp; Embeds</t>
  </si>
  <si>
    <t xml:space="preserve">Curtain wall bracket (aluminium)</t>
  </si>
  <si>
    <t xml:space="preserve">Approx. 1.5 kg, with serrated plate</t>
  </si>
  <si>
    <t xml:space="preserve">SF-035</t>
  </si>
  <si>
    <t xml:space="preserve">MS galvanized bracket / cleat</t>
  </si>
  <si>
    <t xml:space="preserve">Approx. 2 kg</t>
  </si>
  <si>
    <t xml:space="preserve">HDG</t>
  </si>
  <si>
    <t xml:space="preserve">Local fabrication</t>
  </si>
  <si>
    <t xml:space="preserve">galvanised gi mild steel</t>
  </si>
  <si>
    <t xml:space="preserve">SF-036</t>
  </si>
  <si>
    <t xml:space="preserve">Cast-in channel (Halfen type) with T-bolts</t>
  </si>
  <si>
    <t xml:space="preserve">Halfen / Jordahl / Equiv.</t>
  </si>
  <si>
    <t xml:space="preserve">fixing fastener</t>
  </si>
  <si>
    <t xml:space="preserve">SF-037</t>
  </si>
  <si>
    <t xml:space="preserve">Corner cleat / joint connector (aluminium)</t>
  </si>
  <si>
    <t xml:space="preserve">SF-038</t>
  </si>
  <si>
    <t xml:space="preserve">Isolation pad / separator (PVC/neoprene)</t>
  </si>
  <si>
    <t xml:space="preserve">Per nos</t>
  </si>
  <si>
    <t xml:space="preserve">SF-039</t>
  </si>
  <si>
    <t xml:space="preserve">Consumables</t>
  </si>
  <si>
    <t xml:space="preserve">Cutting disc</t>
  </si>
  <si>
    <t xml:space="preserve">14 inch (aluminium / steel)</t>
  </si>
  <si>
    <t xml:space="preserve">SF-040</t>
  </si>
  <si>
    <t xml:space="preserve">Grinding / flap disc</t>
  </si>
  <si>
    <t xml:space="preserve">4.5 inch</t>
  </si>
  <si>
    <t xml:space="preserve">SF-041</t>
  </si>
  <si>
    <t xml:space="preserve">Welding electrode (E6013)</t>
  </si>
  <si>
    <t xml:space="preserve">2.5 / 3.2 mm, 5 kg pkt</t>
  </si>
  <si>
    <t xml:space="preserve">ESAB / Equiv.</t>
  </si>
  <si>
    <t xml:space="preserve">3.2mm</t>
  </si>
  <si>
    <t xml:space="preserve">SF-042</t>
  </si>
  <si>
    <t xml:space="preserve">TIG filler rod SS 308L / 316L</t>
  </si>
  <si>
    <t xml:space="preserve">SF-043</t>
  </si>
  <si>
    <t xml:space="preserve">Argon gas cylinder refill</t>
  </si>
  <si>
    <t xml:space="preserve">Per cylinder</t>
  </si>
  <si>
    <t xml:space="preserve">SF-044</t>
  </si>
  <si>
    <t xml:space="preserve">Drill bits (HSS / masonry assorted)</t>
  </si>
  <si>
    <t xml:space="preserve">Bosch / Equiv.</t>
  </si>
  <si>
    <t xml:space="preserve">SF-045</t>
  </si>
  <si>
    <t xml:space="preserve">Protective film for aluminium</t>
  </si>
  <si>
    <t xml:space="preserve">SF-046</t>
  </si>
  <si>
    <t xml:space="preserve">Cleaning materials (IPA, cloth, etc.)</t>
  </si>
  <si>
    <t xml:space="preserve">Lump sum per project</t>
  </si>
  <si>
    <t xml:space="preserve">ls</t>
  </si>
  <si>
    <t xml:space="preserve">09.  CLADDING, ACP &amp; FACADE PANELS</t>
  </si>
  <si>
    <t xml:space="preserve">Scope: ACP, solid aluminium, perforated, louvered and HPL panels</t>
  </si>
  <si>
    <t xml:space="preserve">CL-001</t>
  </si>
  <si>
    <t xml:space="preserve">ACP Sheets</t>
  </si>
  <si>
    <t xml:space="preserve">Aluminium composite panel (ACP)</t>
  </si>
  <si>
    <t xml:space="preserve">4 mm, 0.3 mm skin, non-FR</t>
  </si>
  <si>
    <t xml:space="preserve">Alubond / Alucobond / Equiv.</t>
  </si>
  <si>
    <t xml:space="preserve">4mm 0.3mm aluminum alu acp cladding</t>
  </si>
  <si>
    <t xml:space="preserve">CL-002</t>
  </si>
  <si>
    <t xml:space="preserve">Aluminium composite panel - fire rated FR (B1)</t>
  </si>
  <si>
    <t xml:space="preserve">4 mm, 0.5 mm skin</t>
  </si>
  <si>
    <t xml:space="preserve">4mm 0.5mm aluminum alu acp cladding fire-rated</t>
  </si>
  <si>
    <t xml:space="preserve">CL-003</t>
  </si>
  <si>
    <t xml:space="preserve">Aluminium composite panel - A2 non-combustible</t>
  </si>
  <si>
    <t xml:space="preserve">4mm 0.5mm aluminum alu acp cladding</t>
  </si>
  <si>
    <t xml:space="preserve">CL-004</t>
  </si>
  <si>
    <t xml:space="preserve">ACP - special finish (wood / stone / mirror / metallic)</t>
  </si>
  <si>
    <t xml:space="preserve">4 mm, FR</t>
  </si>
  <si>
    <t xml:space="preserve">Special</t>
  </si>
  <si>
    <t xml:space="preserve">Alubond / Equiv.</t>
  </si>
  <si>
    <t xml:space="preserve">CL-005</t>
  </si>
  <si>
    <t xml:space="preserve">Solid Aluminium Panels</t>
  </si>
  <si>
    <t xml:space="preserve">Solid aluminium panel</t>
  </si>
  <si>
    <t xml:space="preserve">2.0 mm</t>
  </si>
  <si>
    <t xml:space="preserve">2.0mm aluminum alu</t>
  </si>
  <si>
    <t xml:space="preserve">CL-006</t>
  </si>
  <si>
    <t xml:space="preserve">3.0 mm</t>
  </si>
  <si>
    <t xml:space="preserve">3.0mm aluminum alu</t>
  </si>
  <si>
    <t xml:space="preserve">CL-007</t>
  </si>
  <si>
    <t xml:space="preserve">Perforated aluminium panel</t>
  </si>
  <si>
    <t xml:space="preserve">3.0 mm, pattern as approved</t>
  </si>
  <si>
    <t xml:space="preserve">CL-008</t>
  </si>
  <si>
    <t xml:space="preserve">CNC laser-cut decorative screen</t>
  </si>
  <si>
    <t xml:space="preserve">3.0 mm, custom design</t>
  </si>
  <si>
    <t xml:space="preserve">CL-009</t>
  </si>
  <si>
    <t xml:space="preserve">Aluminium honeycomb panel</t>
  </si>
  <si>
    <t xml:space="preserve">20-25 mm</t>
  </si>
  <si>
    <t xml:space="preserve">25mm aluminum alu</t>
  </si>
  <si>
    <t xml:space="preserve">CL-010</t>
  </si>
  <si>
    <t xml:space="preserve">Aluminium corrugated / profiled sheet</t>
  </si>
  <si>
    <t xml:space="preserve">0.7 mm</t>
  </si>
  <si>
    <t xml:space="preserve">PC / PVDF</t>
  </si>
  <si>
    <t xml:space="preserve">0.7mm aluminum alu</t>
  </si>
  <si>
    <t xml:space="preserve">CL-011</t>
  </si>
  <si>
    <t xml:space="preserve">Sub-Frame &amp; Accessories</t>
  </si>
  <si>
    <t xml:space="preserve">ACP sub-frame (aluminium angles / tubes)</t>
  </si>
  <si>
    <t xml:space="preserve">Per m2 of cladding</t>
  </si>
  <si>
    <t xml:space="preserve">CL-012</t>
  </si>
  <si>
    <t xml:space="preserve">GI sub-frame (Omega / Z channel)</t>
  </si>
  <si>
    <t xml:space="preserve">Galvanized</t>
  </si>
  <si>
    <t xml:space="preserve">galvanised gi galvanized</t>
  </si>
  <si>
    <t xml:space="preserve">CL-013</t>
  </si>
  <si>
    <t xml:space="preserve">Rockwool insulation behind cladding</t>
  </si>
  <si>
    <t xml:space="preserve">50 mm, 100 kg/m3, foil faced</t>
  </si>
  <si>
    <t xml:space="preserve">Rockwool / Equiv.</t>
  </si>
  <si>
    <t xml:space="preserve">50mm insulation</t>
  </si>
  <si>
    <t xml:space="preserve">CL-014</t>
  </si>
  <si>
    <t xml:space="preserve">Breather / vapour membrane</t>
  </si>
  <si>
    <t xml:space="preserve">CL-015</t>
  </si>
  <si>
    <t xml:space="preserve">Other Panels</t>
  </si>
  <si>
    <t xml:space="preserve">HPL exterior cladding panel</t>
  </si>
  <si>
    <t xml:space="preserve">Wood / colour</t>
  </si>
  <si>
    <t xml:space="preserve">Trespa / Fundermax / Equiv.</t>
  </si>
  <si>
    <t xml:space="preserve">8mm</t>
  </si>
  <si>
    <t xml:space="preserve">CL-016</t>
  </si>
  <si>
    <t xml:space="preserve">Fibre cement board</t>
  </si>
  <si>
    <t xml:space="preserve">8-12 mm</t>
  </si>
  <si>
    <t xml:space="preserve">CL-017</t>
  </si>
  <si>
    <t xml:space="preserve">Metal mesh / expanded metal facade</t>
  </si>
  <si>
    <t xml:space="preserve">Aluminium / SS</t>
  </si>
  <si>
    <t xml:space="preserve">10.  MILD STEEL (MS) - SECTIONS, PLATES &amp; SHEETS</t>
  </si>
  <si>
    <t xml:space="preserve">Scope: SHS, RHS, angles, channels, beams, flats, rounds, pipes, plates, GI sheets, grating</t>
  </si>
  <si>
    <t xml:space="preserve">MS-001</t>
  </si>
  <si>
    <t xml:space="preserve">SHS (Square Hollow)</t>
  </si>
  <si>
    <t xml:space="preserve">MS square hollow section</t>
  </si>
  <si>
    <t xml:space="preserve">25 x 25 x 1.5 mm (1.06 kg/m)</t>
  </si>
  <si>
    <t xml:space="preserve">25x25 25x25x1.5 1.5mm shs tube pipe box mild steel</t>
  </si>
  <si>
    <t xml:space="preserve">MS-002</t>
  </si>
  <si>
    <t xml:space="preserve">40 x 40 x 2.0 mm (2.31 kg/m)</t>
  </si>
  <si>
    <t xml:space="preserve">40x40 40x40x2.0 40x40x2 2.0mm shs tube pipe box mild steel</t>
  </si>
  <si>
    <t xml:space="preserve">MS-003</t>
  </si>
  <si>
    <t xml:space="preserve">50 x 50 x 3.0 mm (4.25 kg/m)</t>
  </si>
  <si>
    <t xml:space="preserve">50x50 50x50x3.0 50x50x3 3.0mm shs tube pipe box mild steel</t>
  </si>
  <si>
    <t xml:space="preserve">MS-004</t>
  </si>
  <si>
    <t xml:space="preserve">60 x 60 x 3.0 mm (5.19 kg/m)</t>
  </si>
  <si>
    <t xml:space="preserve">60x60 60x60x3.0 60x60x3 3.0mm shs tube pipe box mild steel</t>
  </si>
  <si>
    <t xml:space="preserve">MS-005</t>
  </si>
  <si>
    <t xml:space="preserve">75 x 75 x 3.0 mm (6.71 kg/m)</t>
  </si>
  <si>
    <t xml:space="preserve">75x75 75x75x3.0 75x75x3 3.0mm shs tube pipe box mild steel</t>
  </si>
  <si>
    <t xml:space="preserve">MS-006</t>
  </si>
  <si>
    <t xml:space="preserve">100 x 100 x 4.0 mm (11.70 kg/m)</t>
  </si>
  <si>
    <t xml:space="preserve">100x100 100x100x4.0 100x100x4 4.0mm shs tube pipe box mild steel</t>
  </si>
  <si>
    <t xml:space="preserve">MS-007</t>
  </si>
  <si>
    <t xml:space="preserve">100 x 100 x 5.0 mm (14.40 kg/m)</t>
  </si>
  <si>
    <t xml:space="preserve">100x100 100x100x5.0 100x100x5 5.0mm shs tube pipe box mild steel</t>
  </si>
  <si>
    <t xml:space="preserve">MS-008</t>
  </si>
  <si>
    <t xml:space="preserve">150 x 150 x 6.0 mm (26.40 kg/m)</t>
  </si>
  <si>
    <t xml:space="preserve">150x150 150x150x6.0 150x150x6 6.0mm shs tube pipe box mild steel</t>
  </si>
  <si>
    <t xml:space="preserve">MS-009</t>
  </si>
  <si>
    <t xml:space="preserve">RHS (Rectangular Hollow)</t>
  </si>
  <si>
    <t xml:space="preserve">MS rectangular hollow section</t>
  </si>
  <si>
    <t xml:space="preserve">50 x 25 x 2.0 mm (2.15 kg/m)</t>
  </si>
  <si>
    <t xml:space="preserve">50x25 50x25x2.0 50x25x2 2.0mm rhs tube pipe box mild steel</t>
  </si>
  <si>
    <t xml:space="preserve">MS-010</t>
  </si>
  <si>
    <t xml:space="preserve">80 x 40 x 3.0 mm (5.19 kg/m)</t>
  </si>
  <si>
    <t xml:space="preserve">80x40 80x40x3.0 80x40x3 3.0mm rhs tube pipe box mild steel</t>
  </si>
  <si>
    <t xml:space="preserve">MS-011</t>
  </si>
  <si>
    <t xml:space="preserve">100 x 50 x 3.0 mm (6.71 kg/m)</t>
  </si>
  <si>
    <t xml:space="preserve">100x50 100x50x3.0 100x50x3 3.0mm rhs tube pipe box mild steel</t>
  </si>
  <si>
    <t xml:space="preserve">MS-012</t>
  </si>
  <si>
    <t xml:space="preserve">100 x 50 x 4.0 mm (8.59 kg/m)</t>
  </si>
  <si>
    <t xml:space="preserve">100x50 100x50x4.0 100x50x4 4.0mm rhs tube pipe box mild steel</t>
  </si>
  <si>
    <t xml:space="preserve">MS-013</t>
  </si>
  <si>
    <t xml:space="preserve">150 x 100 x 5.0 mm (18.70 kg/m)</t>
  </si>
  <si>
    <t xml:space="preserve">150x100 150x100x5.0 150x100x5 5.0mm rhs tube pipe box mild steel</t>
  </si>
  <si>
    <t xml:space="preserve">MS-014</t>
  </si>
  <si>
    <t xml:space="preserve">200 x 100 x 6.0 mm (27.30 kg/m)</t>
  </si>
  <si>
    <t xml:space="preserve">200x100 200x100x6.0 200x100x6 6.0mm rhs tube pipe box mild steel</t>
  </si>
  <si>
    <t xml:space="preserve">MS-015</t>
  </si>
  <si>
    <t xml:space="preserve">Angles</t>
  </si>
  <si>
    <t xml:space="preserve">MS equal angle</t>
  </si>
  <si>
    <t xml:space="preserve">40 x 40 x 4 mm (2.42 kg/m)</t>
  </si>
  <si>
    <t xml:space="preserve">40x40 40x40x4 4mm angle l mild steel</t>
  </si>
  <si>
    <t xml:space="preserve">MS-016</t>
  </si>
  <si>
    <t xml:space="preserve">50 x 50 x 5 mm (3.77 kg/m)</t>
  </si>
  <si>
    <t xml:space="preserve">50x50 50x50x5 5mm angle l mild steel</t>
  </si>
  <si>
    <t xml:space="preserve">MS-017</t>
  </si>
  <si>
    <t xml:space="preserve">65 x 65 x 6 mm (5.91 kg/m)</t>
  </si>
  <si>
    <t xml:space="preserve">65x65 65x65x6 6mm angle l mild steel</t>
  </si>
  <si>
    <t xml:space="preserve">MS-018</t>
  </si>
  <si>
    <t xml:space="preserve">75 x 75 x 6 mm (6.85 kg/m)</t>
  </si>
  <si>
    <t xml:space="preserve">75x75 75x75x6 6mm angle l mild steel</t>
  </si>
  <si>
    <t xml:space="preserve">MS-019</t>
  </si>
  <si>
    <t xml:space="preserve">100 x 100 x 8 mm (12.20 kg/m)</t>
  </si>
  <si>
    <t xml:space="preserve">100x100 100x100x8 8mm angle l mild steel</t>
  </si>
  <si>
    <t xml:space="preserve">MS-020</t>
  </si>
  <si>
    <t xml:space="preserve">Channels &amp; Beams</t>
  </si>
  <si>
    <t xml:space="preserve">MS parallel flange channel (PFC)</t>
  </si>
  <si>
    <t xml:space="preserve">100 x 50 mm (10.20 kg/m)</t>
  </si>
  <si>
    <t xml:space="preserve">100x50 50mm pfc channel c mild steel</t>
  </si>
  <si>
    <t xml:space="preserve">MS-021</t>
  </si>
  <si>
    <t xml:space="preserve">150 x 75 mm (17.90 kg/m)</t>
  </si>
  <si>
    <t xml:space="preserve">150x75 75mm pfc channel c mild steel</t>
  </si>
  <si>
    <t xml:space="preserve">MS-022</t>
  </si>
  <si>
    <t xml:space="preserve">200 x 75 mm (23.40 kg/m)</t>
  </si>
  <si>
    <t xml:space="preserve">200x75 75mm pfc channel c mild steel</t>
  </si>
  <si>
    <t xml:space="preserve">MS-023</t>
  </si>
  <si>
    <t xml:space="preserve">MS I-beam IPE 100</t>
  </si>
  <si>
    <t xml:space="preserve">8.10 kg/m</t>
  </si>
  <si>
    <t xml:space="preserve">ibeam beam mild steel</t>
  </si>
  <si>
    <t xml:space="preserve">MS-024</t>
  </si>
  <si>
    <t xml:space="preserve">MS I-beam IPE 160</t>
  </si>
  <si>
    <t xml:space="preserve">15.80 kg/m</t>
  </si>
  <si>
    <t xml:space="preserve">MS-025</t>
  </si>
  <si>
    <t xml:space="preserve">MS I-beam IPE 200</t>
  </si>
  <si>
    <t xml:space="preserve">22.40 kg/m</t>
  </si>
  <si>
    <t xml:space="preserve">MS-026</t>
  </si>
  <si>
    <t xml:space="preserve">MS universal beam UB 203x133x25</t>
  </si>
  <si>
    <t xml:space="preserve">25.10 kg/m</t>
  </si>
  <si>
    <t xml:space="preserve">203x133 203x133x25 ub ibeam mild steel</t>
  </si>
  <si>
    <t xml:space="preserve">MS-027</t>
  </si>
  <si>
    <t xml:space="preserve">MS universal beam UB 254x146x31</t>
  </si>
  <si>
    <t xml:space="preserve">31.10 kg/m</t>
  </si>
  <si>
    <t xml:space="preserve">254x146 254x146x31 ub ibeam mild steel</t>
  </si>
  <si>
    <t xml:space="preserve">MS-028</t>
  </si>
  <si>
    <t xml:space="preserve">MS H-beam HEA 200</t>
  </si>
  <si>
    <t xml:space="preserve">42.30 kg/m</t>
  </si>
  <si>
    <t xml:space="preserve">hbeam beam mild steel</t>
  </si>
  <si>
    <t xml:space="preserve">MS-029</t>
  </si>
  <si>
    <t xml:space="preserve">GI purlin C / Z section</t>
  </si>
  <si>
    <t xml:space="preserve">200 x 2.0 mm (5.60 kg/m)</t>
  </si>
  <si>
    <t xml:space="preserve">Pre-galvanized</t>
  </si>
  <si>
    <t xml:space="preserve">200x2.0 2.0mm galvanised gi mild steel galvanized</t>
  </si>
  <si>
    <t xml:space="preserve">MS-030</t>
  </si>
  <si>
    <t xml:space="preserve">Flats &amp; Rounds</t>
  </si>
  <si>
    <t xml:space="preserve">MS flat bar</t>
  </si>
  <si>
    <t xml:space="preserve">25 x 3 mm (0.59 kg/m)</t>
  </si>
  <si>
    <t xml:space="preserve">25x3 3mm patti strip mild steel</t>
  </si>
  <si>
    <t xml:space="preserve">MS-031</t>
  </si>
  <si>
    <t xml:space="preserve">40 x 5 mm (1.57 kg/m)</t>
  </si>
  <si>
    <t xml:space="preserve">40x5 5mm patti strip mild steel</t>
  </si>
  <si>
    <t xml:space="preserve">MS-032</t>
  </si>
  <si>
    <t xml:space="preserve">50 x 6 mm (2.36 kg/m)</t>
  </si>
  <si>
    <t xml:space="preserve">50x6 6mm patti strip mild steel</t>
  </si>
  <si>
    <t xml:space="preserve">MS-033</t>
  </si>
  <si>
    <t xml:space="preserve">75 x 8 mm (4.71 kg/m)</t>
  </si>
  <si>
    <t xml:space="preserve">75x8 8mm patti strip mild steel</t>
  </si>
  <si>
    <t xml:space="preserve">MS-034</t>
  </si>
  <si>
    <t xml:space="preserve">100 x 10 mm (7.85 kg/m)</t>
  </si>
  <si>
    <t xml:space="preserve">100x10 10mm patti strip mild steel</t>
  </si>
  <si>
    <t xml:space="preserve">MS-035</t>
  </si>
  <si>
    <t xml:space="preserve">MS round bar</t>
  </si>
  <si>
    <t xml:space="preserve">Dia 12 mm (0.89 kg/m)</t>
  </si>
  <si>
    <t xml:space="preserve">12mm mild steel</t>
  </si>
  <si>
    <t xml:space="preserve">MS-036</t>
  </si>
  <si>
    <t xml:space="preserve">Dia 16 mm (1.58 kg/m)</t>
  </si>
  <si>
    <t xml:space="preserve">16mm mild steel</t>
  </si>
  <si>
    <t xml:space="preserve">MS-037</t>
  </si>
  <si>
    <t xml:space="preserve">Dia 20 mm (2.47 kg/m)</t>
  </si>
  <si>
    <t xml:space="preserve">20mm mild steel</t>
  </si>
  <si>
    <t xml:space="preserve">MS-038</t>
  </si>
  <si>
    <t xml:space="preserve">MS square bar</t>
  </si>
  <si>
    <t xml:space="preserve">12 x 12 mm (1.13 kg/m)</t>
  </si>
  <si>
    <t xml:space="preserve">12x12 12mm mild steel</t>
  </si>
  <si>
    <t xml:space="preserve">MS-039</t>
  </si>
  <si>
    <t xml:space="preserve">Pipes (CHS)</t>
  </si>
  <si>
    <t xml:space="preserve">MS circular hollow section</t>
  </si>
  <si>
    <t xml:space="preserve">48.3 x 3.2 mm (3.56 kg/m)</t>
  </si>
  <si>
    <t xml:space="preserve">48.3x3.2 3.2mm chs pipe round tube mild steel</t>
  </si>
  <si>
    <t xml:space="preserve">MS-040</t>
  </si>
  <si>
    <t xml:space="preserve">60.3 x 3.6 mm (5.03 kg/m)</t>
  </si>
  <si>
    <t xml:space="preserve">60.3x3.6 3.6mm chs pipe round tube mild steel</t>
  </si>
  <si>
    <t xml:space="preserve">MS-041</t>
  </si>
  <si>
    <t xml:space="preserve">88.9 x 4.0 mm (8.38 kg/m)</t>
  </si>
  <si>
    <t xml:space="preserve">88.9x4.0 4.0mm chs pipe round tube mild steel</t>
  </si>
  <si>
    <t xml:space="preserve">MS-042</t>
  </si>
  <si>
    <t xml:space="preserve">114.3 x 4.5 mm (12.20 kg/m)</t>
  </si>
  <si>
    <t xml:space="preserve">114.3x4.5 4.5mm chs pipe round tube mild steel</t>
  </si>
  <si>
    <t xml:space="preserve">MS-043</t>
  </si>
  <si>
    <t xml:space="preserve">Plates</t>
  </si>
  <si>
    <t xml:space="preserve">MS plate</t>
  </si>
  <si>
    <t xml:space="preserve">3 mm (23.55 kg/m2)</t>
  </si>
  <si>
    <t xml:space="preserve">3mm mild steel</t>
  </si>
  <si>
    <t xml:space="preserve">MS-044</t>
  </si>
  <si>
    <t xml:space="preserve">5 mm (39.25 kg/m2)</t>
  </si>
  <si>
    <t xml:space="preserve">5mm mild steel</t>
  </si>
  <si>
    <t xml:space="preserve">MS-045</t>
  </si>
  <si>
    <t xml:space="preserve">6 mm (47.10 kg/m2)</t>
  </si>
  <si>
    <t xml:space="preserve">6mm mild steel</t>
  </si>
  <si>
    <t xml:space="preserve">MS-046</t>
  </si>
  <si>
    <t xml:space="preserve">8 mm (62.80 kg/m2)</t>
  </si>
  <si>
    <t xml:space="preserve">8mm mild steel</t>
  </si>
  <si>
    <t xml:space="preserve">MS-047</t>
  </si>
  <si>
    <t xml:space="preserve">10 mm (78.50 kg/m2)</t>
  </si>
  <si>
    <t xml:space="preserve">10mm mild steel</t>
  </si>
  <si>
    <t xml:space="preserve">MS-048</t>
  </si>
  <si>
    <t xml:space="preserve">12 mm (94.20 kg/m2)</t>
  </si>
  <si>
    <t xml:space="preserve">MS-049</t>
  </si>
  <si>
    <t xml:space="preserve">16 mm (125.60 kg/m2)</t>
  </si>
  <si>
    <t xml:space="preserve">MS-050</t>
  </si>
  <si>
    <t xml:space="preserve">20 mm (157.00 kg/m2)</t>
  </si>
  <si>
    <t xml:space="preserve">MS-051</t>
  </si>
  <si>
    <t xml:space="preserve">MS chequered plate</t>
  </si>
  <si>
    <t xml:space="preserve">4.5 mm (39.50 kg/m2)</t>
  </si>
  <si>
    <t xml:space="preserve">4.5mm checker anti slip mild steel</t>
  </si>
  <si>
    <t xml:space="preserve">MS-052</t>
  </si>
  <si>
    <t xml:space="preserve">Sheets</t>
  </si>
  <si>
    <t xml:space="preserve">MS sheet (CR)</t>
  </si>
  <si>
    <t xml:space="preserve">1.5 mm (11.78 kg/m2)</t>
  </si>
  <si>
    <t xml:space="preserve">1.5mm mild steel</t>
  </si>
  <si>
    <t xml:space="preserve">MS-053</t>
  </si>
  <si>
    <t xml:space="preserve">2.0 mm (15.70 kg/m2)</t>
  </si>
  <si>
    <t xml:space="preserve">2.0mm mild steel</t>
  </si>
  <si>
    <t xml:space="preserve">MS-054</t>
  </si>
  <si>
    <t xml:space="preserve">GI sheet</t>
  </si>
  <si>
    <t xml:space="preserve">0.8 mm (6.28 kg/m2)</t>
  </si>
  <si>
    <t xml:space="preserve">0.8mm galvanised gi galvanized</t>
  </si>
  <si>
    <t xml:space="preserve">MS-055</t>
  </si>
  <si>
    <t xml:space="preserve">1.2 mm (9.42 kg/m2)</t>
  </si>
  <si>
    <t xml:space="preserve">1.2mm galvanised gi galvanized</t>
  </si>
  <si>
    <t xml:space="preserve">MS-056</t>
  </si>
  <si>
    <t xml:space="preserve">1.5mm galvanised gi galvanized</t>
  </si>
  <si>
    <t xml:space="preserve">MS-057</t>
  </si>
  <si>
    <t xml:space="preserve">2.0mm galvanised gi galvanized</t>
  </si>
  <si>
    <t xml:space="preserve">MS-058</t>
  </si>
  <si>
    <t xml:space="preserve">MS perforated sheet</t>
  </si>
  <si>
    <t xml:space="preserve">MS-059</t>
  </si>
  <si>
    <t xml:space="preserve">MS expanded metal mesh</t>
  </si>
  <si>
    <t xml:space="preserve">Standard</t>
  </si>
  <si>
    <t xml:space="preserve">Black / GI</t>
  </si>
  <si>
    <t xml:space="preserve">mild steel galvanized</t>
  </si>
  <si>
    <t xml:space="preserve">MS-060</t>
  </si>
  <si>
    <t xml:space="preserve">Grating &amp; Misc.</t>
  </si>
  <si>
    <t xml:space="preserve">MS bar grating</t>
  </si>
  <si>
    <t xml:space="preserve">25 x 3 mm, 30 x 100 pitch</t>
  </si>
  <si>
    <t xml:space="preserve">25x3 30x100 3mm mild steel</t>
  </si>
  <si>
    <t xml:space="preserve">MS-061</t>
  </si>
  <si>
    <t xml:space="preserve">MS base plate with anchor holes</t>
  </si>
  <si>
    <t xml:space="preserve">200 x 200 x 10 mm</t>
  </si>
  <si>
    <t xml:space="preserve">Black / HDG</t>
  </si>
  <si>
    <t xml:space="preserve">200x200 200x200x10 10mm fixing fastener bolt mild steel</t>
  </si>
  <si>
    <t xml:space="preserve">MS-062</t>
  </si>
  <si>
    <t xml:space="preserve">MS embed plate with studs</t>
  </si>
  <si>
    <t xml:space="preserve">150 x 150 x 10 mm</t>
  </si>
  <si>
    <t xml:space="preserve">150x150 150x150x10 10mm mild steel</t>
  </si>
  <si>
    <t xml:space="preserve">MS-063</t>
  </si>
  <si>
    <t xml:space="preserve">MS pipe railing / balustrade (material only)</t>
  </si>
  <si>
    <t xml:space="preserve">railing handrail mild steel</t>
  </si>
  <si>
    <t xml:space="preserve">11.  STAINLESS STEEL (SS) - TUBES, SHEETS &amp; DRAINS</t>
  </si>
  <si>
    <t xml:space="preserve">Scope: SS 304 / 316 round, square &amp; rectangular tubes, sheets, flats, rods, linear drains</t>
  </si>
  <si>
    <t xml:space="preserve">SS-001</t>
  </si>
  <si>
    <t xml:space="preserve">Round Tube</t>
  </si>
  <si>
    <t xml:space="preserve">SS round tube</t>
  </si>
  <si>
    <t xml:space="preserve">25.4 x 1.2 mm (0.73 kg/m)</t>
  </si>
  <si>
    <t xml:space="preserve">SS 304 hairline</t>
  </si>
  <si>
    <t xml:space="preserve">25.4x1.2 1.2mm ss304 sus304 pipe satin brushed stainless steel</t>
  </si>
  <si>
    <t xml:space="preserve">SS-002</t>
  </si>
  <si>
    <t xml:space="preserve">38.1 x 1.5 mm (1.37 kg/m)</t>
  </si>
  <si>
    <t xml:space="preserve">38.1x1.5 1.5mm ss304 sus304 pipe satin brushed stainless steel</t>
  </si>
  <si>
    <t xml:space="preserve">SS-003</t>
  </si>
  <si>
    <t xml:space="preserve">42.4 x 1.5 mm (1.53 kg/m)</t>
  </si>
  <si>
    <t xml:space="preserve">42.4x1.5 1.5mm ss304 sus304 pipe satin brushed stainless steel</t>
  </si>
  <si>
    <t xml:space="preserve">SS-004</t>
  </si>
  <si>
    <t xml:space="preserve">50.8 x 1.5 mm (1.85 kg/m)</t>
  </si>
  <si>
    <t xml:space="preserve">50.8x1.5 1.5mm ss304 sus304 pipe satin brushed stainless steel</t>
  </si>
  <si>
    <t xml:space="preserve">SS-005</t>
  </si>
  <si>
    <t xml:space="preserve">50.8 x 2.0 mm (2.44 kg/m)</t>
  </si>
  <si>
    <t xml:space="preserve">50.8x2.0 2.0mm ss304 sus304 pipe satin brushed stainless steel</t>
  </si>
  <si>
    <t xml:space="preserve">SS-006</t>
  </si>
  <si>
    <t xml:space="preserve">63.5 x 2.0 mm (3.07 kg/m)</t>
  </si>
  <si>
    <t xml:space="preserve">63.5x2.0 2.0mm ss304 sus304 pipe satin brushed stainless steel</t>
  </si>
  <si>
    <t xml:space="preserve">SS-007</t>
  </si>
  <si>
    <t xml:space="preserve">76.2 x 2.0 mm (3.71 kg/m)</t>
  </si>
  <si>
    <t xml:space="preserve">76.2x2.0 2.0mm ss304 sus304 pipe satin brushed stainless steel</t>
  </si>
  <si>
    <t xml:space="preserve">SS-008</t>
  </si>
  <si>
    <t xml:space="preserve">42.4 x 2.0 mm (2.02 kg/m)</t>
  </si>
  <si>
    <t xml:space="preserve">SS 316 hairline</t>
  </si>
  <si>
    <t xml:space="preserve">42.4x2.0 2.0mm ss316 sus316 pipe satin brushed stainless steel</t>
  </si>
  <si>
    <t xml:space="preserve">SS-009</t>
  </si>
  <si>
    <t xml:space="preserve">50.8x2.0 2.0mm ss316 sus316 pipe satin brushed stainless steel</t>
  </si>
  <si>
    <t xml:space="preserve">SS-010</t>
  </si>
  <si>
    <t xml:space="preserve">Square / Rect. Tube</t>
  </si>
  <si>
    <t xml:space="preserve">SS square tube</t>
  </si>
  <si>
    <t xml:space="preserve">25 x 25 x 1.2 mm (0.92 kg/m)</t>
  </si>
  <si>
    <t xml:space="preserve">25x25 25x25x1.2 1.2mm ss304 sus304 pipe box satin brushed stainless steel</t>
  </si>
  <si>
    <t xml:space="preserve">SS-011</t>
  </si>
  <si>
    <t xml:space="preserve">40 x 40 x 1.5 mm (1.83 kg/m)</t>
  </si>
  <si>
    <t xml:space="preserve">40x40 40x40x1.5 1.5mm ss304 sus304 pipe box satin brushed stainless steel</t>
  </si>
  <si>
    <t xml:space="preserve">SS-012</t>
  </si>
  <si>
    <t xml:space="preserve">50 x 50 x 1.5 mm (2.31 kg/m)</t>
  </si>
  <si>
    <t xml:space="preserve">50x50 50x50x1.5 1.5mm ss304 sus304 pipe box satin brushed stainless steel</t>
  </si>
  <si>
    <t xml:space="preserve">SS-013</t>
  </si>
  <si>
    <t xml:space="preserve">50 x 50 x 2.0 mm (3.05 kg/m)</t>
  </si>
  <si>
    <t xml:space="preserve">50x50 50x50x2.0 50x50x2 2.0mm ss316 sus316 pipe box satin brushed stainless steel</t>
  </si>
  <si>
    <t xml:space="preserve">SS-014</t>
  </si>
  <si>
    <t xml:space="preserve">SS rectangular tube</t>
  </si>
  <si>
    <t xml:space="preserve">40 x 20 x 1.2 mm (1.10 kg/m)</t>
  </si>
  <si>
    <t xml:space="preserve">40x20 40x20x1.2 1.2mm ss304 sus304 pipe box satin brushed stainless steel</t>
  </si>
  <si>
    <t xml:space="preserve">SS-015</t>
  </si>
  <si>
    <t xml:space="preserve">50 x 25 x 1.5 mm (1.73 kg/m)</t>
  </si>
  <si>
    <t xml:space="preserve">50x25 50x25x1.5 1.5mm ss304 sus304 pipe box satin brushed stainless steel</t>
  </si>
  <si>
    <t xml:space="preserve">SS-016</t>
  </si>
  <si>
    <t xml:space="preserve">60 x 40 x 1.5 mm (2.31 kg/m)</t>
  </si>
  <si>
    <t xml:space="preserve">60x40 60x40x1.5 1.5mm ss304 sus304 pipe box satin brushed stainless steel</t>
  </si>
  <si>
    <t xml:space="preserve">SS-017</t>
  </si>
  <si>
    <t xml:space="preserve">100 x 50 x 2.0 mm (4.59 kg/m)</t>
  </si>
  <si>
    <t xml:space="preserve">100x50 100x50x2.0 100x50x2 2.0mm ss304 sus304 pipe box satin brushed stainless steel</t>
  </si>
  <si>
    <t xml:space="preserve">SS-018</t>
  </si>
  <si>
    <t xml:space="preserve">Flats, Rods &amp; Angles</t>
  </si>
  <si>
    <t xml:space="preserve">SS flat bar</t>
  </si>
  <si>
    <t xml:space="preserve">40 x 5 mm (1.59 kg/m)</t>
  </si>
  <si>
    <t xml:space="preserve">40x5 5mm ss304 sus304 patti strip stainless steel</t>
  </si>
  <si>
    <t xml:space="preserve">SS-019</t>
  </si>
  <si>
    <t xml:space="preserve">50 x 10 mm (3.97 kg/m)</t>
  </si>
  <si>
    <t xml:space="preserve">50x10 10mm ss304 sus304 patti strip stainless steel</t>
  </si>
  <si>
    <t xml:space="preserve">SS-020</t>
  </si>
  <si>
    <t xml:space="preserve">SS round rod</t>
  </si>
  <si>
    <t xml:space="preserve">Dia 10 mm (0.62 kg/m)</t>
  </si>
  <si>
    <t xml:space="preserve">10mm ss304 sus304 stainless steel</t>
  </si>
  <si>
    <t xml:space="preserve">SS-021</t>
  </si>
  <si>
    <t xml:space="preserve">SS-022</t>
  </si>
  <si>
    <t xml:space="preserve">SS equal angle</t>
  </si>
  <si>
    <t xml:space="preserve">40 x 40 x 4 mm (2.45 kg/m)</t>
  </si>
  <si>
    <t xml:space="preserve">40x40 40x40x4 4mm ss304 sus304 angle l stainless steel</t>
  </si>
  <si>
    <t xml:space="preserve">SS-023</t>
  </si>
  <si>
    <t xml:space="preserve">SS sheet</t>
  </si>
  <si>
    <t xml:space="preserve">1.0 mm (7.93 kg/m2)</t>
  </si>
  <si>
    <t xml:space="preserve">SS 304 hairline (#4)</t>
  </si>
  <si>
    <t xml:space="preserve">1.0mm ss304 sus304 satin brushed stainless steel</t>
  </si>
  <si>
    <t xml:space="preserve">SS-024</t>
  </si>
  <si>
    <t xml:space="preserve">1.2 mm (9.52 kg/m2)</t>
  </si>
  <si>
    <t xml:space="preserve">1.2mm ss304 sus304 satin brushed stainless steel</t>
  </si>
  <si>
    <t xml:space="preserve">SS-025</t>
  </si>
  <si>
    <t xml:space="preserve">1.5 mm (11.90 kg/m2)</t>
  </si>
  <si>
    <t xml:space="preserve">1.5mm ss304 sus304 satin brushed stainless steel</t>
  </si>
  <si>
    <t xml:space="preserve">SS-026</t>
  </si>
  <si>
    <t xml:space="preserve">2.0 mm (15.86 kg/m2)</t>
  </si>
  <si>
    <t xml:space="preserve">2.0mm ss304 sus304 satin brushed stainless steel</t>
  </si>
  <si>
    <t xml:space="preserve">SS-027</t>
  </si>
  <si>
    <t xml:space="preserve">3.0 mm (23.79 kg/m2)</t>
  </si>
  <si>
    <t xml:space="preserve">3.0mm ss304 sus304 satin brushed stainless steel</t>
  </si>
  <si>
    <t xml:space="preserve">SS-028</t>
  </si>
  <si>
    <t xml:space="preserve">SS 304 mirror (#8)</t>
  </si>
  <si>
    <t xml:space="preserve">1.5mm ss304 sus304 glass polished stainless steel</t>
  </si>
  <si>
    <t xml:space="preserve">SS-029</t>
  </si>
  <si>
    <t xml:space="preserve">SS 316 hairline (#4)</t>
  </si>
  <si>
    <t xml:space="preserve">1.5mm ss316 sus316 satin brushed stainless steel</t>
  </si>
  <si>
    <t xml:space="preserve">SS-030</t>
  </si>
  <si>
    <t xml:space="preserve">2.0mm ss316 sus316 satin brushed stainless steel</t>
  </si>
  <si>
    <t xml:space="preserve">SS-031</t>
  </si>
  <si>
    <t xml:space="preserve">SS PVD coloured sheet</t>
  </si>
  <si>
    <t xml:space="preserve">1.2 mm</t>
  </si>
  <si>
    <t xml:space="preserve">Gold / Rose gold / Black</t>
  </si>
  <si>
    <t xml:space="preserve">1.2mm stainless steel</t>
  </si>
  <si>
    <t xml:space="preserve">SS-032</t>
  </si>
  <si>
    <t xml:space="preserve">SS chequered / anti-slip plate</t>
  </si>
  <si>
    <t xml:space="preserve">3.0mm ss304 sus304 checker anti slip stainless steel</t>
  </si>
  <si>
    <t xml:space="preserve">SS-033</t>
  </si>
  <si>
    <t xml:space="preserve">Linear Drains</t>
  </si>
  <si>
    <t xml:space="preserve">Linear shower drain - tile insert</t>
  </si>
  <si>
    <t xml:space="preserve">600 mm, SS 304</t>
  </si>
  <si>
    <t xml:space="preserve">600mm ss304 sus304 drain linear shower bathroom stainless steel</t>
  </si>
  <si>
    <t xml:space="preserve">SS-034</t>
  </si>
  <si>
    <t xml:space="preserve">800 mm, SS 304</t>
  </si>
  <si>
    <t xml:space="preserve">800mm ss304 sus304 drain linear shower bathroom stainless steel</t>
  </si>
  <si>
    <t xml:space="preserve">SS-035</t>
  </si>
  <si>
    <t xml:space="preserve">1000 mm, SS 304</t>
  </si>
  <si>
    <t xml:space="preserve">1000mm ss304 sus304 drain linear shower bathroom stainless steel</t>
  </si>
  <si>
    <t xml:space="preserve">SS-036</t>
  </si>
  <si>
    <t xml:space="preserve">Linear drain - slotted / grated cover</t>
  </si>
  <si>
    <t xml:space="preserve">800mm ss304 sus304 drain linear shower stainless steel</t>
  </si>
  <si>
    <t xml:space="preserve">SS-037</t>
  </si>
  <si>
    <t xml:space="preserve">Linear drain - custom fabricated</t>
  </si>
  <si>
    <t xml:space="preserve">SS 316, 1.5 mm, per lm</t>
  </si>
  <si>
    <t xml:space="preserve">1.5mm ss316 sus316 drain linear shower stainless steel</t>
  </si>
  <si>
    <t xml:space="preserve">SS-038</t>
  </si>
  <si>
    <t xml:space="preserve">Heavy-duty trench drain grating</t>
  </si>
  <si>
    <t xml:space="preserve">SS 304, 150 mm wide</t>
  </si>
  <si>
    <t xml:space="preserve">150mm ss304 sus304 drain linear shower stainless steel</t>
  </si>
  <si>
    <t xml:space="preserve">SS-039</t>
  </si>
  <si>
    <t xml:space="preserve">Misc. SS Items</t>
  </si>
  <si>
    <t xml:space="preserve">SS corner guard / edge trim</t>
  </si>
  <si>
    <t xml:space="preserve">1.0 mm, 50 x 50</t>
  </si>
  <si>
    <t xml:space="preserve">50x50 1.0mm ss304 sus304 satin brushed stainless steel mild</t>
  </si>
  <si>
    <t xml:space="preserve">SS-040</t>
  </si>
  <si>
    <t xml:space="preserve">SS skirting / kick plate</t>
  </si>
  <si>
    <t xml:space="preserve">1.2 mm, 150 mm high</t>
  </si>
  <si>
    <t xml:space="preserve">1.2mm 150mm ss304 sus304 satin brushed stainless steel mild</t>
  </si>
  <si>
    <t xml:space="preserve">SS-041</t>
  </si>
  <si>
    <t xml:space="preserve">SS tile trim / profile</t>
  </si>
  <si>
    <t xml:space="preserve">10-12 mm</t>
  </si>
  <si>
    <t xml:space="preserve">12mm ss304 sus304 stainless steel mild</t>
  </si>
  <si>
    <t xml:space="preserve">SS-042</t>
  </si>
  <si>
    <t xml:space="preserve">SS access / manhole cover (recessed)</t>
  </si>
  <si>
    <t xml:space="preserve">600 x 600 mm</t>
  </si>
  <si>
    <t xml:space="preserve">600x600 600mm ss304 sus304 stainless steel mild</t>
  </si>
  <si>
    <t xml:space="preserve">12.  AUTOMATIC DOORS, OPERATORS &amp; SHUTTERS</t>
  </si>
  <si>
    <t xml:space="preserve">Scope: Sliding / swing operators, sensors, access control, rolling shutters</t>
  </si>
  <si>
    <t xml:space="preserve">AD-001</t>
  </si>
  <si>
    <t xml:space="preserve">Automatic Sliding Doors</t>
  </si>
  <si>
    <t xml:space="preserve">Automatic sliding door operator</t>
  </si>
  <si>
    <t xml:space="preserve">Single / double leaf, up to 2 x 120 kg</t>
  </si>
  <si>
    <t xml:space="preserve">dormakaba ES 200 / Equiv.</t>
  </si>
  <si>
    <t xml:space="preserve">2x120</t>
  </si>
  <si>
    <t xml:space="preserve">AD-002</t>
  </si>
  <si>
    <t xml:space="preserve">Single / double leaf, up to 2 x 100 kg</t>
  </si>
  <si>
    <t xml:space="preserve">GEZE Slimdrive / Equiv.</t>
  </si>
  <si>
    <t xml:space="preserve">2x100</t>
  </si>
  <si>
    <t xml:space="preserve">AD-003</t>
  </si>
  <si>
    <t xml:space="preserve">Up to 2 x 100 kg</t>
  </si>
  <si>
    <t xml:space="preserve">AD-004</t>
  </si>
  <si>
    <t xml:space="preserve">Telescopic sliding operator</t>
  </si>
  <si>
    <t xml:space="preserve">4 leaf</t>
  </si>
  <si>
    <t xml:space="preserve">dormakaba / GEZE / Equiv.</t>
  </si>
  <si>
    <t xml:space="preserve">AD-005</t>
  </si>
  <si>
    <t xml:space="preserve">Hermetic sliding door operator (hospital)</t>
  </si>
  <si>
    <t xml:space="preserve">Single leaf</t>
  </si>
  <si>
    <t xml:space="preserve">AD-006</t>
  </si>
  <si>
    <t xml:space="preserve">Automatic Swing Doors</t>
  </si>
  <si>
    <t xml:space="preserve">Automatic swing door operator</t>
  </si>
  <si>
    <t xml:space="preserve">Single leaf, up to 250 kg</t>
  </si>
  <si>
    <t xml:space="preserve">dormakaba ED 100 / Equiv.</t>
  </si>
  <si>
    <t xml:space="preserve">AD-007</t>
  </si>
  <si>
    <t xml:space="preserve">AD-008</t>
  </si>
  <si>
    <t xml:space="preserve">Sensors &amp; Accessories</t>
  </si>
  <si>
    <t xml:space="preserve">Motion / presence combined sensor</t>
  </si>
  <si>
    <t xml:space="preserve">BEA / Equiv.</t>
  </si>
  <si>
    <t xml:space="preserve">AD-009</t>
  </si>
  <si>
    <t xml:space="preserve">Safety beam / photocell</t>
  </si>
  <si>
    <t xml:space="preserve">AD-010</t>
  </si>
  <si>
    <t xml:space="preserve">Programme switch / key switch</t>
  </si>
  <si>
    <t xml:space="preserve">OEM</t>
  </si>
  <si>
    <t xml:space="preserve">AD-011</t>
  </si>
  <si>
    <t xml:space="preserve">Battery back-up unit</t>
  </si>
  <si>
    <t xml:space="preserve">AD-012</t>
  </si>
  <si>
    <t xml:space="preserve">Push / touchless exit button</t>
  </si>
  <si>
    <t xml:space="preserve">AD-013</t>
  </si>
  <si>
    <t xml:space="preserve">Access control (card / keypad) reader</t>
  </si>
  <si>
    <t xml:space="preserve">Standalone</t>
  </si>
  <si>
    <t xml:space="preserve">AD-014</t>
  </si>
  <si>
    <t xml:space="preserve">Rolling Shutters</t>
  </si>
  <si>
    <t xml:space="preserve">Aluminium rolling shutter - manual</t>
  </si>
  <si>
    <t xml:space="preserve">AD-015</t>
  </si>
  <si>
    <t xml:space="preserve">Aluminium rolling shutter - motorized</t>
  </si>
  <si>
    <t xml:space="preserve">Per m2 (with motor)</t>
  </si>
  <si>
    <t xml:space="preserve">AD-016</t>
  </si>
  <si>
    <t xml:space="preserve">GI rolling shutter - motorized</t>
  </si>
  <si>
    <t xml:space="preserve">Galvanized / PC</t>
  </si>
  <si>
    <t xml:space="preserve">AD-017</t>
  </si>
  <si>
    <t xml:space="preserve">Fire-rated rolling shutter</t>
  </si>
  <si>
    <t xml:space="preserve">Per m2, 2 hr</t>
  </si>
  <si>
    <t xml:space="preserve">galvanised gi fire rated resistant</t>
  </si>
  <si>
    <t xml:space="preserve">AD-018</t>
  </si>
  <si>
    <t xml:space="preserve">Tubular motor for shutter</t>
  </si>
  <si>
    <t xml:space="preserve">Up to 50 Nm</t>
  </si>
  <si>
    <t xml:space="preserve">Somfy / Equiv.</t>
  </si>
  <si>
    <t xml:space="preserve">13.  COATING, FINISHING &amp; TREATMENT SERVICES</t>
  </si>
  <si>
    <t xml:space="preserve">Scope: Powder coating, anodizing, PVDF, galvanizing, painting, polishing (job-work rates)</t>
  </si>
  <si>
    <t xml:space="preserve">CF-001</t>
  </si>
  <si>
    <t xml:space="preserve">Aluminium Finishing</t>
  </si>
  <si>
    <t xml:space="preserve">Powder coating (job work)</t>
  </si>
  <si>
    <t xml:space="preserve">Standard RAL, 60-80 micron</t>
  </si>
  <si>
    <t xml:space="preserve">Matt / gloss</t>
  </si>
  <si>
    <t xml:space="preserve">Local applicator</t>
  </si>
  <si>
    <t xml:space="preserve">aluminum alu pc stainless steel</t>
  </si>
  <si>
    <t xml:space="preserve">CF-002</t>
  </si>
  <si>
    <t xml:space="preserve">Standard RAL</t>
  </si>
  <si>
    <t xml:space="preserve">CF-003</t>
  </si>
  <si>
    <t xml:space="preserve">Powder coating - special / metallic / texture</t>
  </si>
  <si>
    <t xml:space="preserve">CF-004</t>
  </si>
  <si>
    <t xml:space="preserve">Anodizing (job work)</t>
  </si>
  <si>
    <t xml:space="preserve">Natural / bronze / black</t>
  </si>
  <si>
    <t xml:space="preserve">CF-005</t>
  </si>
  <si>
    <t xml:space="preserve">PVDF coating (job work)</t>
  </si>
  <si>
    <t xml:space="preserve">2-coat, 35-40 micron</t>
  </si>
  <si>
    <t xml:space="preserve">Colour as approved</t>
  </si>
  <si>
    <t xml:space="preserve">CF-006</t>
  </si>
  <si>
    <t xml:space="preserve">3-coat metallic</t>
  </si>
  <si>
    <t xml:space="preserve">Metallic</t>
  </si>
  <si>
    <t xml:space="preserve">CF-007</t>
  </si>
  <si>
    <t xml:space="preserve">Wood-grain sublimation</t>
  </si>
  <si>
    <t xml:space="preserve">Over powder coat</t>
  </si>
  <si>
    <t xml:space="preserve">Wood effect</t>
  </si>
  <si>
    <t xml:space="preserve">CF-008</t>
  </si>
  <si>
    <t xml:space="preserve">Steel Finishing</t>
  </si>
  <si>
    <t xml:space="preserve">Hot-dip galvanizing</t>
  </si>
  <si>
    <t xml:space="preserve">Per kg of steel</t>
  </si>
  <si>
    <t xml:space="preserve">Local galvanizer</t>
  </si>
  <si>
    <t xml:space="preserve">galvanised gi</t>
  </si>
  <si>
    <t xml:space="preserve">CF-009</t>
  </si>
  <si>
    <t xml:space="preserve">Sand blasting (SA 2.5)</t>
  </si>
  <si>
    <t xml:space="preserve">CF-010</t>
  </si>
  <si>
    <t xml:space="preserve">Primer + enamel paint (2 coats)</t>
  </si>
  <si>
    <t xml:space="preserve">Jotun / National / Equiv.</t>
  </si>
  <si>
    <t xml:space="preserve">CF-011</t>
  </si>
  <si>
    <t xml:space="preserve">Epoxy / PU paint system (3 coat)</t>
  </si>
  <si>
    <t xml:space="preserve">Jotun / Hempel / Equiv.</t>
  </si>
  <si>
    <t xml:space="preserve">CF-012</t>
  </si>
  <si>
    <t xml:space="preserve">Intumescent fire-protective paint</t>
  </si>
  <si>
    <t xml:space="preserve">60 min, per m2</t>
  </si>
  <si>
    <t xml:space="preserve">Jotun / Equiv.</t>
  </si>
  <si>
    <t xml:space="preserve">CF-013</t>
  </si>
  <si>
    <t xml:space="preserve">Powder coating on MS / GI</t>
  </si>
  <si>
    <t xml:space="preserve">RAL</t>
  </si>
  <si>
    <t xml:space="preserve">pc mild steel galvanized</t>
  </si>
  <si>
    <t xml:space="preserve">CF-014</t>
  </si>
  <si>
    <t xml:space="preserve">Stainless Steel Finishing</t>
  </si>
  <si>
    <t xml:space="preserve">Hairline re-polishing / weld polishing</t>
  </si>
  <si>
    <t xml:space="preserve">Per lm of weld</t>
  </si>
  <si>
    <t xml:space="preserve">#4</t>
  </si>
  <si>
    <t xml:space="preserve">In-house / Local</t>
  </si>
  <si>
    <t xml:space="preserve">satin brushed stainless steel</t>
  </si>
  <si>
    <t xml:space="preserve">CF-015</t>
  </si>
  <si>
    <t xml:space="preserve">Mirror polishing</t>
  </si>
  <si>
    <t xml:space="preserve">#8</t>
  </si>
  <si>
    <t xml:space="preserve">glass stainless steel</t>
  </si>
  <si>
    <t xml:space="preserve">CF-016</t>
  </si>
  <si>
    <t xml:space="preserve">PVD colour coating</t>
  </si>
  <si>
    <t xml:space="preserve">Gold / Black / Rose gold</t>
  </si>
  <si>
    <t xml:space="preserve">CF-017</t>
  </si>
  <si>
    <t xml:space="preserve">Passivation / pickling</t>
  </si>
  <si>
    <t xml:space="preserve">14.  LABOUR, EQUIPMENT, TRANSPORT &amp; MISC. COSTS</t>
  </si>
  <si>
    <t xml:space="preserve">Scope: Manpower day rates, access equipment, cranes, transport, scaffolding, testing</t>
  </si>
  <si>
    <t xml:space="preserve">LB-001</t>
  </si>
  <si>
    <t xml:space="preserve">Manpower (cost per day)</t>
  </si>
  <si>
    <t xml:space="preserve">Project manager</t>
  </si>
  <si>
    <t xml:space="preserve">8 hr day, incl. visa &amp; benefits</t>
  </si>
  <si>
    <t xml:space="preserve">In-house</t>
  </si>
  <si>
    <t xml:space="preserve">day</t>
  </si>
  <si>
    <t xml:space="preserve">LB-002</t>
  </si>
  <si>
    <t xml:space="preserve">Site engineer</t>
  </si>
  <si>
    <t xml:space="preserve">LB-003</t>
  </si>
  <si>
    <t xml:space="preserve">Foreman / supervisor</t>
  </si>
  <si>
    <t xml:space="preserve">LB-004</t>
  </si>
  <si>
    <t xml:space="preserve">Aluminium fabricator</t>
  </si>
  <si>
    <t xml:space="preserve">8 hr day</t>
  </si>
  <si>
    <t xml:space="preserve">LB-005</t>
  </si>
  <si>
    <t xml:space="preserve">Aluminium installer</t>
  </si>
  <si>
    <t xml:space="preserve">LB-006</t>
  </si>
  <si>
    <t xml:space="preserve">Glazier / glass fixer</t>
  </si>
  <si>
    <t xml:space="preserve">LB-007</t>
  </si>
  <si>
    <t xml:space="preserve">Steel fabricator / welder</t>
  </si>
  <si>
    <t xml:space="preserve">LB-008</t>
  </si>
  <si>
    <t xml:space="preserve">SS (TIG) welder / polisher</t>
  </si>
  <si>
    <t xml:space="preserve">LB-009</t>
  </si>
  <si>
    <t xml:space="preserve">Painter</t>
  </si>
  <si>
    <t xml:space="preserve">LB-010</t>
  </si>
  <si>
    <t xml:space="preserve">Helper</t>
  </si>
  <si>
    <t xml:space="preserve">LB-011</t>
  </si>
  <si>
    <t xml:space="preserve">Driver</t>
  </si>
  <si>
    <t xml:space="preserve">LB-012</t>
  </si>
  <si>
    <t xml:space="preserve">Overtime premium</t>
  </si>
  <si>
    <t xml:space="preserve">Per man-hour</t>
  </si>
  <si>
    <t xml:space="preserve">hr</t>
  </si>
  <si>
    <t xml:space="preserve">LB-013</t>
  </si>
  <si>
    <t xml:space="preserve">Hired labour (sub-contract)</t>
  </si>
  <si>
    <t xml:space="preserve">Labour supply co.</t>
  </si>
  <si>
    <t xml:space="preserve">LB-014</t>
  </si>
  <si>
    <t xml:space="preserve">Access Equipment</t>
  </si>
  <si>
    <t xml:space="preserve">Boom lift 45 ft</t>
  </si>
  <si>
    <t xml:space="preserve">Daily hire with operator</t>
  </si>
  <si>
    <t xml:space="preserve">Rental co.</t>
  </si>
  <si>
    <t xml:space="preserve">LB-015</t>
  </si>
  <si>
    <t xml:space="preserve">Boom lift 60-80 ft</t>
  </si>
  <si>
    <t xml:space="preserve">LB-016</t>
  </si>
  <si>
    <t xml:space="preserve">Scissor lift 19-26 ft</t>
  </si>
  <si>
    <t xml:space="preserve">Daily hire</t>
  </si>
  <si>
    <t xml:space="preserve">LB-017</t>
  </si>
  <si>
    <t xml:space="preserve">Mobile scaffolding tower</t>
  </si>
  <si>
    <t xml:space="preserve">Monthly hire</t>
  </si>
  <si>
    <t xml:space="preserve">month</t>
  </si>
  <si>
    <t xml:space="preserve">LB-018</t>
  </si>
  <si>
    <t xml:space="preserve">Scaffolding (erected)</t>
  </si>
  <si>
    <t xml:space="preserve">Per m2 per month</t>
  </si>
  <si>
    <t xml:space="preserve">Scaffolding contractor</t>
  </si>
  <si>
    <t xml:space="preserve">LB-019</t>
  </si>
  <si>
    <t xml:space="preserve">Gondola / BMU hire</t>
  </si>
  <si>
    <t xml:space="preserve">Monthly</t>
  </si>
  <si>
    <t xml:space="preserve">LB-020</t>
  </si>
  <si>
    <t xml:space="preserve">Rope access team (2 men)</t>
  </si>
  <si>
    <t xml:space="preserve">Per day</t>
  </si>
  <si>
    <t xml:space="preserve">Rope access co.</t>
  </si>
  <si>
    <t xml:space="preserve">LB-021</t>
  </si>
  <si>
    <t xml:space="preserve">Lifting &amp; Handling</t>
  </si>
  <si>
    <t xml:space="preserve">Mobile crane 25 ton</t>
  </si>
  <si>
    <t xml:space="preserve">8 hr with operator</t>
  </si>
  <si>
    <t xml:space="preserve">LB-022</t>
  </si>
  <si>
    <t xml:space="preserve">Mobile crane 50 ton</t>
  </si>
  <si>
    <t xml:space="preserve">LB-023</t>
  </si>
  <si>
    <t xml:space="preserve">Glass vacuum lifter (manual)</t>
  </si>
  <si>
    <t xml:space="preserve">LB-024</t>
  </si>
  <si>
    <t xml:space="preserve">Glass vacuum lifter (mini crane / robot)</t>
  </si>
  <si>
    <t xml:space="preserve">LB-025</t>
  </si>
  <si>
    <t xml:space="preserve">Chain block / manual hoist</t>
  </si>
  <si>
    <t xml:space="preserve">LB-026</t>
  </si>
  <si>
    <t xml:space="preserve">Transport</t>
  </si>
  <si>
    <t xml:space="preserve">Pickup trip (within city)</t>
  </si>
  <si>
    <t xml:space="preserve">Per trip</t>
  </si>
  <si>
    <t xml:space="preserve">trip</t>
  </si>
  <si>
    <t xml:space="preserve">LB-027</t>
  </si>
  <si>
    <t xml:space="preserve">3-ton truck trip (within city)</t>
  </si>
  <si>
    <t xml:space="preserve">In-house / Hired</t>
  </si>
  <si>
    <t xml:space="preserve">LB-028</t>
  </si>
  <si>
    <t xml:space="preserve">Flatbed trailer trip (inter-emirate)</t>
  </si>
  <si>
    <t xml:space="preserve">Hired</t>
  </si>
  <si>
    <t xml:space="preserve">LB-029</t>
  </si>
  <si>
    <t xml:space="preserve">Glass A-frame truck trip</t>
  </si>
  <si>
    <t xml:space="preserve">LB-030</t>
  </si>
  <si>
    <t xml:space="preserve">Testing &amp; Approvals</t>
  </si>
  <si>
    <t xml:space="preserve">Site water test (AAMA 501.2)</t>
  </si>
  <si>
    <t xml:space="preserve">Per test</t>
  </si>
  <si>
    <t xml:space="preserve">Third-party lab</t>
  </si>
  <si>
    <t xml:space="preserve">LB-031</t>
  </si>
  <si>
    <t xml:space="preserve">Anchor pull-out test</t>
  </si>
  <si>
    <t xml:space="preserve">Per anchor</t>
  </si>
  <si>
    <t xml:space="preserve">fixing fastener bolt</t>
  </si>
  <si>
    <t xml:space="preserve">LB-032</t>
  </si>
  <si>
    <t xml:space="preserve">Structural calculations &amp; approval</t>
  </si>
  <si>
    <t xml:space="preserve">Per project</t>
  </si>
  <si>
    <t xml:space="preserve">Consultant</t>
  </si>
  <si>
    <t xml:space="preserve">LB-033</t>
  </si>
  <si>
    <t xml:space="preserve">Civil defence approval / certification</t>
  </si>
  <si>
    <t xml:space="preserve">Authority / Consultant</t>
  </si>
  <si>
    <t xml:space="preserve">LB-034</t>
  </si>
  <si>
    <t xml:space="preserve">Shop drawings preparation</t>
  </si>
  <si>
    <t xml:space="preserve">Per sheet</t>
  </si>
  <si>
    <t xml:space="preserve">In-house / Outsourced</t>
  </si>
  <si>
    <t xml:space="preserve">sheet</t>
  </si>
  <si>
    <t xml:space="preserve">LB-035</t>
  </si>
  <si>
    <t xml:space="preserve">Material samples &amp; mock-up</t>
  </si>
  <si>
    <t xml:space="preserve">LB-036</t>
  </si>
  <si>
    <t xml:space="preserve">Site Overheads</t>
  </si>
  <si>
    <t xml:space="preserve">Site storage / container</t>
  </si>
  <si>
    <t xml:space="preserve">LB-037</t>
  </si>
  <si>
    <t xml:space="preserve">Protection &amp; cleaning on completion</t>
  </si>
  <si>
    <t xml:space="preserve">LB-038</t>
  </si>
  <si>
    <t xml:space="preserve">Safety (PPE, signage, barricades)</t>
  </si>
  <si>
    <t xml:space="preserve">LB-039</t>
  </si>
  <si>
    <t xml:space="preserve">Insurance (CAR / third party)</t>
  </si>
  <si>
    <t xml:space="preserve">% of contract value</t>
  </si>
  <si>
    <t xml:space="preserve">Insurer</t>
  </si>
  <si>
    <t xml:space="preserve">LB-040</t>
  </si>
  <si>
    <t xml:space="preserve">Performance / advance bank guarantee charges</t>
  </si>
  <si>
    <t xml:space="preserve">% p.a. of guarantee</t>
  </si>
  <si>
    <t xml:space="preserve">Bank</t>
  </si>
  <si>
    <t xml:space="preserve">15.  FINISHED SYSTEMS - BUDGET SUPPLY &amp; INSTALL RATES</t>
  </si>
  <si>
    <t xml:space="preserve">Scope: All-in budget rates for quick estimates (material + fabrication + installation)</t>
  </si>
  <si>
    <t xml:space="preserve">SI-001</t>
  </si>
  <si>
    <t xml:space="preserve">Curtain Wall &amp; Facade</t>
  </si>
  <si>
    <t xml:space="preserve">Stick curtain wall - clear DGU</t>
  </si>
  <si>
    <t xml:space="preserve">Gulf Extrusions / equiv., 6+12+6 DGU</t>
  </si>
  <si>
    <t xml:space="preserve">Local system</t>
  </si>
  <si>
    <t xml:space="preserve">6+12+6</t>
  </si>
  <si>
    <t xml:space="preserve">SI-002</t>
  </si>
  <si>
    <t xml:space="preserve">Stick curtain wall - Low-E DGU</t>
  </si>
  <si>
    <t xml:space="preserve">Gulf Extrusions / equiv., 6+12+6 Low-E</t>
  </si>
  <si>
    <t xml:space="preserve">6+12+6 lowe low e</t>
  </si>
  <si>
    <t xml:space="preserve">SI-003</t>
  </si>
  <si>
    <t xml:space="preserve">Unitized curtain wall</t>
  </si>
  <si>
    <t xml:space="preserve">Low-E DGU, PVDF</t>
  </si>
  <si>
    <t xml:space="preserve">lowe low e</t>
  </si>
  <si>
    <t xml:space="preserve">SI-004</t>
  </si>
  <si>
    <t xml:space="preserve">Structural glazing (SSG) curtain wall</t>
  </si>
  <si>
    <t xml:space="preserve">Low-E DGU</t>
  </si>
  <si>
    <t xml:space="preserve">SI-005</t>
  </si>
  <si>
    <t xml:space="preserve">Spider (point-fixed) glazing</t>
  </si>
  <si>
    <t xml:space="preserve">SS 316 spiders, 12.76-21.52 TL</t>
  </si>
  <si>
    <t xml:space="preserve">Local / Imported fittings</t>
  </si>
  <si>
    <t xml:space="preserve">SI-006</t>
  </si>
  <si>
    <t xml:space="preserve">Glass fin wall</t>
  </si>
  <si>
    <t xml:space="preserve">Laminated glass fins</t>
  </si>
  <si>
    <t xml:space="preserve">lami stainless steel</t>
  </si>
  <si>
    <t xml:space="preserve">SI-007</t>
  </si>
  <si>
    <t xml:space="preserve">ACP cladding - supply &amp; install</t>
  </si>
  <si>
    <t xml:space="preserve">4 mm FR, with sub-frame</t>
  </si>
  <si>
    <t xml:space="preserve">4mm</t>
  </si>
  <si>
    <t xml:space="preserve">SI-008</t>
  </si>
  <si>
    <t xml:space="preserve">Solid aluminium panel cladding - S&amp;I</t>
  </si>
  <si>
    <t xml:space="preserve">3 mm, with sub-frame</t>
  </si>
  <si>
    <t xml:space="preserve">3mm aluminum alu</t>
  </si>
  <si>
    <t xml:space="preserve">SI-009</t>
  </si>
  <si>
    <t xml:space="preserve">Windows</t>
  </si>
  <si>
    <t xml:space="preserve">Sliding window - non-thermal</t>
  </si>
  <si>
    <t xml:space="preserve">6 mm tempered / 6.38 lam</t>
  </si>
  <si>
    <t xml:space="preserve">6mm toughened</t>
  </si>
  <si>
    <t xml:space="preserve">SI-010</t>
  </si>
  <si>
    <t xml:space="preserve">Sliding window - thermal break</t>
  </si>
  <si>
    <t xml:space="preserve">DGU 6+12+6</t>
  </si>
  <si>
    <t xml:space="preserve">SI-011</t>
  </si>
  <si>
    <t xml:space="preserve">Casement / top-hung window - non-thermal</t>
  </si>
  <si>
    <t xml:space="preserve">6 mm tempered</t>
  </si>
  <si>
    <t xml:space="preserve">SI-012</t>
  </si>
  <si>
    <t xml:space="preserve">Casement / top-hung window - thermal break</t>
  </si>
  <si>
    <t xml:space="preserve">SI-013</t>
  </si>
  <si>
    <t xml:space="preserve">Fixed window - thermal break</t>
  </si>
  <si>
    <t xml:space="preserve">SI-014</t>
  </si>
  <si>
    <t xml:space="preserve">Tilt &amp; turn window</t>
  </si>
  <si>
    <t xml:space="preserve">DGU, premium system</t>
  </si>
  <si>
    <t xml:space="preserve">Schuco / Technal / Reynaers</t>
  </si>
  <si>
    <t xml:space="preserve">SI-015</t>
  </si>
  <si>
    <t xml:space="preserve">Slim-line minimal window / door</t>
  </si>
  <si>
    <t xml:space="preserve">SI-016</t>
  </si>
  <si>
    <t xml:space="preserve">Doors</t>
  </si>
  <si>
    <t xml:space="preserve">Aluminium hinged door - single</t>
  </si>
  <si>
    <t xml:space="preserve">Glazed, with closer &amp; lock</t>
  </si>
  <si>
    <t xml:space="preserve">aluminum alu door</t>
  </si>
  <si>
    <t xml:space="preserve">SI-017</t>
  </si>
  <si>
    <t xml:space="preserve">Aluminium hinged door - thermal break</t>
  </si>
  <si>
    <t xml:space="preserve">DGU, multipoint lock</t>
  </si>
  <si>
    <t xml:space="preserve">SI-018</t>
  </si>
  <si>
    <t xml:space="preserve">Aluminium sliding door - thermal break</t>
  </si>
  <si>
    <t xml:space="preserve">6+12+6 aluminum alu</t>
  </si>
  <si>
    <t xml:space="preserve">SI-019</t>
  </si>
  <si>
    <t xml:space="preserve">Lift &amp; slide door</t>
  </si>
  <si>
    <t xml:space="preserve">Schuco / Technal / Equiv.</t>
  </si>
  <si>
    <t xml:space="preserve">SI-020</t>
  </si>
  <si>
    <t xml:space="preserve">Folding / bi-fold door</t>
  </si>
  <si>
    <t xml:space="preserve">DGU</t>
  </si>
  <si>
    <t xml:space="preserve">Local / Imported system</t>
  </si>
  <si>
    <t xml:space="preserve">SI-021</t>
  </si>
  <si>
    <t xml:space="preserve">Frameless glass door - 12 mm with patch fittings</t>
  </si>
  <si>
    <t xml:space="preserve">Floor spring, H-handle</t>
  </si>
  <si>
    <t xml:space="preserve">Local fittings</t>
  </si>
  <si>
    <t xml:space="preserve">SI-022</t>
  </si>
  <si>
    <t xml:space="preserve">Automatic sliding glass door (complete)</t>
  </si>
  <si>
    <t xml:space="preserve">Double leaf, 2.0 x 2.4 m</t>
  </si>
  <si>
    <t xml:space="preserve">dormakaba / GEZE</t>
  </si>
  <si>
    <t xml:space="preserve">2.0x2.4 stainless steel</t>
  </si>
  <si>
    <t xml:space="preserve">SI-023</t>
  </si>
  <si>
    <t xml:space="preserve">Fire-rated glazed aluminium door</t>
  </si>
  <si>
    <t xml:space="preserve">60 min</t>
  </si>
  <si>
    <t xml:space="preserve">Imported system</t>
  </si>
  <si>
    <t xml:space="preserve">aluminum alu fire rated resistant</t>
  </si>
  <si>
    <t xml:space="preserve">SI-024</t>
  </si>
  <si>
    <t xml:space="preserve">Partitions</t>
  </si>
  <si>
    <t xml:space="preserve">Frameless glass partition</t>
  </si>
  <si>
    <t xml:space="preserve">12 mm tempered, U-channel</t>
  </si>
  <si>
    <t xml:space="preserve">SI-025</t>
  </si>
  <si>
    <t xml:space="preserve">Framed aluminium glass partition</t>
  </si>
  <si>
    <t xml:space="preserve">Single glazed 10 mm</t>
  </si>
  <si>
    <t xml:space="preserve">10mm aluminum alu stainless steel</t>
  </si>
  <si>
    <t xml:space="preserve">SI-026</t>
  </si>
  <si>
    <t xml:space="preserve">Double-glazed acoustic partition</t>
  </si>
  <si>
    <t xml:space="preserve">2 x 10.76 lam</t>
  </si>
  <si>
    <t xml:space="preserve">2x10.76</t>
  </si>
  <si>
    <t xml:space="preserve">SI-027</t>
  </si>
  <si>
    <t xml:space="preserve">Back-painted glass wall cladding</t>
  </si>
  <si>
    <t xml:space="preserve">SI-028</t>
  </si>
  <si>
    <t xml:space="preserve">Balustrades &amp; Handrails</t>
  </si>
  <si>
    <t xml:space="preserve">Glass balustrade with SS posts &amp; clamps</t>
  </si>
  <si>
    <t xml:space="preserve">12 mm tempered, SS 304, 1.1 m H</t>
  </si>
  <si>
    <t xml:space="preserve">12mm ss304 sus304 toughened railing handrail balustrade stainless steel</t>
  </si>
  <si>
    <t xml:space="preserve">SI-029</t>
  </si>
  <si>
    <t xml:space="preserve">Frameless glass balustrade - base shoe</t>
  </si>
  <si>
    <t xml:space="preserve">17.52 TL, aluminium shoe, 1.1 m H</t>
  </si>
  <si>
    <t xml:space="preserve">Anodized / SS clad</t>
  </si>
  <si>
    <t xml:space="preserve">aluminum alu railing handrail balustrade stainless steel</t>
  </si>
  <si>
    <t xml:space="preserve">SI-030</t>
  </si>
  <si>
    <t xml:space="preserve">Glass balustrade - spigot mounted</t>
  </si>
  <si>
    <t xml:space="preserve">15 mm tempered / 17.52 TL</t>
  </si>
  <si>
    <t xml:space="preserve">15mm ss316 sus316 toughened railing handrail balustrade stainless steel</t>
  </si>
  <si>
    <t xml:space="preserve">SI-031</t>
  </si>
  <si>
    <t xml:space="preserve">SS handrail - wall mounted</t>
  </si>
  <si>
    <t xml:space="preserve">Dia 50.8 mm, SS 304</t>
  </si>
  <si>
    <t xml:space="preserve">Hairline</t>
  </si>
  <si>
    <t xml:space="preserve">50.8mm ss304 sus304 railing handrail balustrade satin brushed stainless steel</t>
  </si>
  <si>
    <t xml:space="preserve">SI-032</t>
  </si>
  <si>
    <t xml:space="preserve">SS balustrade with rod / wire infill</t>
  </si>
  <si>
    <t xml:space="preserve">SS 316, 1.1 m H</t>
  </si>
  <si>
    <t xml:space="preserve">ss316 sus316 railing handrail balustrade satin brushed stainless steel</t>
  </si>
  <si>
    <t xml:space="preserve">SI-033</t>
  </si>
  <si>
    <t xml:space="preserve">MS balustrade / railing</t>
  </si>
  <si>
    <t xml:space="preserve">Painted, 1.1 m H</t>
  </si>
  <si>
    <t xml:space="preserve">Paint / PC</t>
  </si>
  <si>
    <t xml:space="preserve">railing handrail balustrade mild steel</t>
  </si>
  <si>
    <t xml:space="preserve">SI-034</t>
  </si>
  <si>
    <t xml:space="preserve">Aluminium balustrade with vertical pickets</t>
  </si>
  <si>
    <t xml:space="preserve">1.1 m H</t>
  </si>
  <si>
    <t xml:space="preserve">aluminum alu railing handrail balustrade</t>
  </si>
  <si>
    <t xml:space="preserve">SI-035</t>
  </si>
  <si>
    <t xml:space="preserve">Shower &amp; Bathroom</t>
  </si>
  <si>
    <t xml:space="preserve">Frameless shower enclosure - fixed panel</t>
  </si>
  <si>
    <t xml:space="preserve">Chrome / satin fittings</t>
  </si>
  <si>
    <t xml:space="preserve">10mm toughened bathroom stainless steel</t>
  </si>
  <si>
    <t xml:space="preserve">SI-036</t>
  </si>
  <si>
    <t xml:space="preserve">Frameless shower enclosure - hinged door + fixed</t>
  </si>
  <si>
    <t xml:space="preserve">10 mm tempered, up to 1.2 x 2.0 m</t>
  </si>
  <si>
    <t xml:space="preserve">1.2x2.0 10mm toughened bathroom stainless steel</t>
  </si>
  <si>
    <t xml:space="preserve">SI-037</t>
  </si>
  <si>
    <t xml:space="preserve">Sliding shower enclosure</t>
  </si>
  <si>
    <t xml:space="preserve">8-10 mm tempered</t>
  </si>
  <si>
    <t xml:space="preserve">SS fittings</t>
  </si>
  <si>
    <t xml:space="preserve">SI-038</t>
  </si>
  <si>
    <t xml:space="preserve">Bathtub screen</t>
  </si>
  <si>
    <t xml:space="preserve">8 mm tempered, hinged</t>
  </si>
  <si>
    <t xml:space="preserve">Chrome</t>
  </si>
  <si>
    <t xml:space="preserve">8mm toughened bathroom</t>
  </si>
  <si>
    <t xml:space="preserve">SI-039</t>
  </si>
  <si>
    <t xml:space="preserve">Mirror supply &amp; fix</t>
  </si>
  <si>
    <t xml:space="preserve">6 mm polished edge</t>
  </si>
  <si>
    <t xml:space="preserve">6mm bathroom glass</t>
  </si>
  <si>
    <t xml:space="preserve">SI-040</t>
  </si>
  <si>
    <t xml:space="preserve">Linear shower drain supply &amp; fix</t>
  </si>
  <si>
    <t xml:space="preserve">SI-041</t>
  </si>
  <si>
    <t xml:space="preserve">Pergola, Canopy &amp; Skylight</t>
  </si>
  <si>
    <t xml:space="preserve">Aluminium pergola (fixed slats)</t>
  </si>
  <si>
    <t xml:space="preserve">Per m2 plan area</t>
  </si>
  <si>
    <t xml:space="preserve">PC / wood-grain</t>
  </si>
  <si>
    <t xml:space="preserve">aluminum alu shade</t>
  </si>
  <si>
    <t xml:space="preserve">SI-042</t>
  </si>
  <si>
    <t xml:space="preserve">Bioclimatic motorized louvered pergola</t>
  </si>
  <si>
    <t xml:space="preserve">louvre shade</t>
  </si>
  <si>
    <t xml:space="preserve">SI-043</t>
  </si>
  <si>
    <t xml:space="preserve">MS pergola</t>
  </si>
  <si>
    <t xml:space="preserve">Painted</t>
  </si>
  <si>
    <t xml:space="preserve">Paint</t>
  </si>
  <si>
    <t xml:space="preserve">shade mild steel</t>
  </si>
  <si>
    <t xml:space="preserve">SI-044</t>
  </si>
  <si>
    <t xml:space="preserve">Glass canopy with SS tie-rods</t>
  </si>
  <si>
    <t xml:space="preserve">21.52 TL</t>
  </si>
  <si>
    <t xml:space="preserve">SI-045</t>
  </si>
  <si>
    <t xml:space="preserve">Polycarbonate canopy on MS / aluminium frame</t>
  </si>
  <si>
    <t xml:space="preserve">10 mm multiwall</t>
  </si>
  <si>
    <t xml:space="preserve">10mm aluminum alu shade pc sheet mild steel</t>
  </si>
  <si>
    <t xml:space="preserve">SI-046</t>
  </si>
  <si>
    <t xml:space="preserve">Skylight - aluminium frame, Low-E DGU</t>
  </si>
  <si>
    <t xml:space="preserve">Laminated inner</t>
  </si>
  <si>
    <t xml:space="preserve">aluminum alu lami shade lowe low e</t>
  </si>
  <si>
    <t xml:space="preserve">SI-047</t>
  </si>
  <si>
    <t xml:space="preserve">Walk-on glass floor / skylight</t>
  </si>
  <si>
    <t xml:space="preserve">Triple laminated, anti-slip</t>
  </si>
  <si>
    <t xml:space="preserve">SS / MS frame</t>
  </si>
  <si>
    <t xml:space="preserve">lami shade stainless steel mild</t>
  </si>
  <si>
    <t xml:space="preserve">SI-048</t>
  </si>
  <si>
    <t xml:space="preserve">Louvers &amp; Screens</t>
  </si>
  <si>
    <t xml:space="preserve">Aluminium fixed louvers</t>
  </si>
  <si>
    <t xml:space="preserve">Z / aerofoil blades</t>
  </si>
  <si>
    <t xml:space="preserve">aluminum alu louvre</t>
  </si>
  <si>
    <t xml:space="preserve">SI-049</t>
  </si>
  <si>
    <t xml:space="preserve">Aluminium operable louvers (motorized)</t>
  </si>
  <si>
    <t xml:space="preserve">Aerofoil blades</t>
  </si>
  <si>
    <t xml:space="preserve">SI-050</t>
  </si>
  <si>
    <t xml:space="preserve">Sand-trap / weather louvers</t>
  </si>
  <si>
    <t xml:space="preserve">With bird / insect mesh</t>
  </si>
  <si>
    <t xml:space="preserve">louvre</t>
  </si>
  <si>
    <t xml:space="preserve">SI-051</t>
  </si>
  <si>
    <t xml:space="preserve">Decorative laser-cut screen</t>
  </si>
  <si>
    <t xml:space="preserve">3 mm aluminium</t>
  </si>
  <si>
    <t xml:space="preserve">3mm aluminum alu louvre</t>
  </si>
  <si>
    <t xml:space="preserve">SI-052</t>
  </si>
  <si>
    <t xml:space="preserve">MS &amp; SS Works</t>
  </si>
  <si>
    <t xml:space="preserve">MS structural steel - fabricated &amp; erected</t>
  </si>
  <si>
    <t xml:space="preserve">Painted, per kg</t>
  </si>
  <si>
    <t xml:space="preserve">stainless steel mild</t>
  </si>
  <si>
    <t xml:space="preserve">SI-053</t>
  </si>
  <si>
    <t xml:space="preserve">Hot-dip galvanized, per kg</t>
  </si>
  <si>
    <t xml:space="preserve">galvanised gi stainless steel mild</t>
  </si>
  <si>
    <t xml:space="preserve">SI-054</t>
  </si>
  <si>
    <t xml:space="preserve">MS staircase (stringers + chequered treads)</t>
  </si>
  <si>
    <t xml:space="preserve">Per riser</t>
  </si>
  <si>
    <t xml:space="preserve">checker anti slip stainless steel mild</t>
  </si>
  <si>
    <t xml:space="preserve">SI-055</t>
  </si>
  <si>
    <t xml:space="preserve">SS fabrication - general</t>
  </si>
  <si>
    <t xml:space="preserve">SS 304, per kg</t>
  </si>
  <si>
    <t xml:space="preserve">ss304 sus304 satin brushed stainless steel mild</t>
  </si>
  <si>
    <t xml:space="preserve">SI-056</t>
  </si>
  <si>
    <t xml:space="preserve">SS cladding (column / wall)</t>
  </si>
  <si>
    <t xml:space="preserve">1.2 mm SS 304 on sub-frame</t>
  </si>
  <si>
    <t xml:space="preserve">1.2mm ss304 sus304 satin brushed stainless steel mild</t>
  </si>
  <si>
    <t xml:space="preserve">SUPPLIER DIRECTORY</t>
  </si>
  <si>
    <t xml:space="preserve">Sr.</t>
  </si>
  <si>
    <t xml:space="preserve">Products / Scope</t>
  </si>
  <si>
    <t xml:space="preserve">Contact Person</t>
  </si>
  <si>
    <t xml:space="preserve">Mobile / Tel.</t>
  </si>
  <si>
    <t xml:space="preserve">Email</t>
  </si>
  <si>
    <t xml:space="preserve">Payment Terms</t>
  </si>
  <si>
    <t xml:space="preserve">Lead Time</t>
  </si>
  <si>
    <t xml:space="preserve">Rating (1-5)</t>
  </si>
  <si>
    <t xml:space="preserve">Aluminium Extrusions</t>
  </si>
  <si>
    <t xml:space="preserve">Gulf Extrusions Co. LLC</t>
  </si>
  <si>
    <t xml:space="preserve">Profiles, systems, coating</t>
  </si>
  <si>
    <t xml:space="preserve">White Aluminium Extrusion (WAE)</t>
  </si>
  <si>
    <t xml:space="preserve">Profiles, systems</t>
  </si>
  <si>
    <t xml:space="preserve">Emirates Extrusion Factory (EEF)</t>
  </si>
  <si>
    <t xml:space="preserve">Profiles</t>
  </si>
  <si>
    <t xml:space="preserve">Aluminium Systems</t>
  </si>
  <si>
    <t xml:space="preserve">Schuco / Technal / Reynaers (via fabricators)</t>
  </si>
  <si>
    <t xml:space="preserve">Premium window, door &amp; facade systems</t>
  </si>
  <si>
    <t xml:space="preserve">Float Glass</t>
  </si>
  <si>
    <t xml:space="preserve">Emirates Float Glass (EFG)</t>
  </si>
  <si>
    <t xml:space="preserve">Float, tinted, reflective, coated</t>
  </si>
  <si>
    <t xml:space="preserve">Float / Coated Glass</t>
  </si>
  <si>
    <t xml:space="preserve">Guardian Glass (RAK)</t>
  </si>
  <si>
    <t xml:space="preserve">Float, SunGuard Low-E, mirror</t>
  </si>
  <si>
    <t xml:space="preserve">Glass Processing</t>
  </si>
  <si>
    <t xml:space="preserve">Emirates Glass LLC</t>
  </si>
  <si>
    <t xml:space="preserve">Tempered, laminated, DGU, Low-E</t>
  </si>
  <si>
    <t xml:space="preserve">Dubai Glass Industries / Equiv.</t>
  </si>
  <si>
    <t xml:space="preserve">Tempered, laminated, DGU</t>
  </si>
  <si>
    <t xml:space="preserve">Door Hardware</t>
  </si>
  <si>
    <t xml:space="preserve">dormakaba Middle East</t>
  </si>
  <si>
    <t xml:space="preserve">Floor springs, closers, patch fittings, automatic doors</t>
  </si>
  <si>
    <t xml:space="preserve">GEZE Middle East</t>
  </si>
  <si>
    <t xml:space="preserve">Closers, automatic doors</t>
  </si>
  <si>
    <t xml:space="preserve">Hardware</t>
  </si>
  <si>
    <t xml:space="preserve">Häfele Middle East</t>
  </si>
  <si>
    <t xml:space="preserve">Architectural &amp; shower hardware</t>
  </si>
  <si>
    <t xml:space="preserve">Giesse / Savio / Roto / Siegenia (distributors)</t>
  </si>
  <si>
    <t xml:space="preserve">Window &amp; door hardware</t>
  </si>
  <si>
    <t xml:space="preserve">Sealants</t>
  </si>
  <si>
    <t xml:space="preserve">Dow (DOWSIL) distributors</t>
  </si>
  <si>
    <t xml:space="preserve">Structural &amp; weather silicones</t>
  </si>
  <si>
    <t xml:space="preserve">Sika Gulf</t>
  </si>
  <si>
    <t xml:space="preserve">Sealants, adhesives, PU foam</t>
  </si>
  <si>
    <t xml:space="preserve">Anchors</t>
  </si>
  <si>
    <t xml:space="preserve">Hilti Emirates / Fischer</t>
  </si>
  <si>
    <t xml:space="preserve">Anchors, chemical anchors, firestop</t>
  </si>
  <si>
    <t xml:space="preserve">ACP / Cladding</t>
  </si>
  <si>
    <t xml:space="preserve">Alubond U.S.A. (Mulk Holdings)</t>
  </si>
  <si>
    <t xml:space="preserve">ACP FR &amp; A2</t>
  </si>
  <si>
    <t xml:space="preserve">Alucobond / 3A (distributors)</t>
  </si>
  <si>
    <t xml:space="preserve">ACP</t>
  </si>
  <si>
    <t xml:space="preserve">Steel</t>
  </si>
  <si>
    <t xml:space="preserve">Local steel traders (Al Quoz / Sharjah Ind.)</t>
  </si>
  <si>
    <t xml:space="preserve">MS sections, plates, sheets</t>
  </si>
  <si>
    <t xml:space="preserve">Stainless Steel</t>
  </si>
  <si>
    <t xml:space="preserve">Local SS traders (Sharjah / Ajman)</t>
  </si>
  <si>
    <t xml:space="preserve">SS tubes, sheets, fittings</t>
  </si>
  <si>
    <t xml:space="preserve">Coating</t>
  </si>
  <si>
    <t xml:space="preserve">Local Qualicoat applicators</t>
  </si>
  <si>
    <t xml:space="preserve">Powder coating, anodizing, PVDF</t>
  </si>
  <si>
    <t xml:space="preserve">Galvanizing</t>
  </si>
  <si>
    <t xml:space="preserve">Local HDG plants</t>
  </si>
  <si>
    <t xml:space="preserve">Equipment Rental</t>
  </si>
  <si>
    <t xml:space="preserve">Local rental companies</t>
  </si>
  <si>
    <t xml:space="preserve">Boom lifts, cranes, scaffolding</t>
  </si>
  <si>
    <t xml:space="preserve">RATE REVISION LOG</t>
  </si>
  <si>
    <t xml:space="preserve">Date</t>
  </si>
  <si>
    <t xml:space="preserve">Item Description (auto)</t>
  </si>
  <si>
    <t xml:space="preserve">Old Rate (AED)</t>
  </si>
  <si>
    <t xml:space="preserve">New Rate (AED)</t>
  </si>
  <si>
    <t xml:space="preserve">Change %</t>
  </si>
  <si>
    <t xml:space="preserve">Reason</t>
  </si>
  <si>
    <t xml:space="preserve">Updated By</t>
  </si>
  <si>
    <t xml:space="preserve">Approved By</t>
  </si>
  <si>
    <t xml:space="preserve">Example supplier</t>
  </si>
  <si>
    <t xml:space="preserve">Q-0001</t>
  </si>
  <si>
    <t xml:space="preserve">Example entry - replace</t>
  </si>
  <si>
    <t xml:space="preserve">Estimator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</si>
</sst>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%"/>
    <numFmt numFmtId="166" formatCode="General"/>
    <numFmt numFmtId="167" formatCode="#,##0.00;\(#,##0.00\);\-"/>
    <numFmt numFmtId="168" formatCode="0.0%"/>
    <numFmt numFmtId="169" formatCode="#,##0.00"/>
    <numFmt numFmtId="170" formatCode="dd\-mmm\-yy"/>
    <numFmt numFmtId="171" formatCode="\+0.0%;\-0.0%;\-"/>
  </numFmts>
  <fonts count="3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40404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u val="single"/>
      <sz val="10"/>
      <color rgb="FF0563C1"/>
      <name val="Arial"/>
      <family val="0"/>
      <charset val="1"/>
    </font>
    <font>
      <sz val="8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sz val="9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9"/>
      <color rgb="FF008000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9"/>
      <name val="Arial"/>
      <family val="0"/>
      <charset val="1"/>
    </font>
    <font>
      <i val="true"/>
      <sz val="8"/>
      <color rgb="FF595959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8"/>
      <color rgb="FF0000FF"/>
      <name val="Arial"/>
      <family val="0"/>
      <charset val="1"/>
    </font>
  </fonts>
  <fills count="2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C9A227"/>
        <bgColor rgb="FFFFC000"/>
      </patternFill>
    </fill>
    <fill>
      <patternFill patternType="solid">
        <fgColor rgb="FFC00000"/>
        <bgColor rgb="FF800000"/>
      </patternFill>
    </fill>
    <fill>
      <patternFill patternType="solid">
        <fgColor rgb="FF8EA9DB"/>
        <bgColor rgb="FF9BC2E6"/>
      </patternFill>
    </fill>
    <fill>
      <patternFill patternType="solid">
        <fgColor rgb="FF9BC2E6"/>
        <bgColor rgb="FFB4C6E7"/>
      </patternFill>
    </fill>
    <fill>
      <patternFill patternType="solid">
        <fgColor rgb="FFBDD7EE"/>
        <bgColor rgb="FFB4C6E7"/>
      </patternFill>
    </fill>
    <fill>
      <patternFill patternType="solid">
        <fgColor rgb="FFDDEBF7"/>
        <bgColor rgb="FFE2EFDA"/>
      </patternFill>
    </fill>
    <fill>
      <patternFill patternType="solid">
        <fgColor rgb="FFF4B084"/>
        <bgColor rgb="FFF8CBAD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FF2CC"/>
      </patternFill>
    </fill>
    <fill>
      <patternFill patternType="solid">
        <fgColor rgb="FFC6E0B4"/>
        <bgColor rgb="FFD9D9D9"/>
      </patternFill>
    </fill>
    <fill>
      <patternFill patternType="solid">
        <fgColor rgb="FFA9D08E"/>
        <bgColor rgb="FFC6E0B4"/>
      </patternFill>
    </fill>
    <fill>
      <patternFill patternType="solid">
        <fgColor rgb="FFD9D9D9"/>
        <bgColor rgb="FFD0CECE"/>
      </patternFill>
    </fill>
    <fill>
      <patternFill patternType="solid">
        <fgColor rgb="FFBFBFBF"/>
        <bgColor rgb="FFBFC5D2"/>
      </patternFill>
    </fill>
    <fill>
      <patternFill patternType="solid">
        <fgColor rgb="FFB4C6E7"/>
        <bgColor rgb="FFBFC5D2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D0CECE"/>
        <bgColor rgb="FFD9D9D9"/>
      </patternFill>
    </fill>
    <fill>
      <patternFill patternType="solid">
        <fgColor rgb="FFFFFF00"/>
        <bgColor rgb="FFFFC000"/>
      </patternFill>
    </fill>
    <fill>
      <patternFill patternType="solid">
        <fgColor rgb="FFFFF2CC"/>
        <bgColor rgb="FFFCE4D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C5D2"/>
      </left>
      <right style="thin">
        <color rgb="FFBFC5D2"/>
      </right>
      <top style="thin">
        <color rgb="FFBFC5D2"/>
      </top>
      <bottom style="thin">
        <color rgb="FFBFC5D2"/>
      </bottom>
      <diagonal/>
    </border>
    <border diagonalUp="false" diagonalDown="false"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2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6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1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7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2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6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2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3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3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3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2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5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5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4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35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2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2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2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2" fillId="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2" fillId="1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2" fillId="11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2" fillId="1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2" fillId="1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2" fillId="1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2" fillId="1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2" fillId="1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2" fillId="1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2" fillId="1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2" fillId="1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3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9">
    <dxf>
      <border diagonalUp="false" diagonalDown="false">
        <left style="thin">
          <color rgb="FFBFC5D2"/>
        </left>
        <right style="thin">
          <color rgb="FFBFC5D2"/>
        </right>
        <top style="thin">
          <color rgb="FFBFC5D2"/>
        </top>
        <bottom style="thin">
          <color rgb="FFBFC5D2"/>
        </bottom>
        <diagonal/>
      </border>
    </dxf>
    <dxf>
      <fill>
        <patternFill>
          <bgColor rgb="FFF2F4F7"/>
        </patternFill>
      </fill>
    </dxf>
    <dxf>
      <font>
        <b val="1"/>
        <color rgb="FF1F3864"/>
      </font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4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ont>
        <strike val="1"/>
        <color rgb="FF808080"/>
      </font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E2EFDA"/>
        </patternFill>
      </fill>
    </dxf>
    <dxf>
      <fill>
        <patternFill>
          <bgColor rgb="FFD9D9D9"/>
        </patternFill>
      </fill>
    </dxf>
    <dxf>
      <font>
        <b val="1"/>
        <color rgb="FFC00000"/>
      </font>
    </dxf>
    <dxf>
      <font>
        <b val="1"/>
        <color rgb="FF008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D9D9D9"/>
      <rgbColor rgb="FF800080"/>
      <rgbColor rgb="FF008080"/>
      <rgbColor rgb="FFBFBFBF"/>
      <rgbColor rgb="FF808080"/>
      <rgbColor rgb="FF8EA9DB"/>
      <rgbColor rgb="FF993366"/>
      <rgbColor rgb="FFFFF2CC"/>
      <rgbColor rgb="FFDDEBF7"/>
      <rgbColor rgb="FF660066"/>
      <rgbColor rgb="FFD0CECE"/>
      <rgbColor rgb="FF0563C1"/>
      <rgbColor rgb="FFBDD7EE"/>
      <rgbColor rgb="FF000080"/>
      <rgbColor rgb="FFFF00FF"/>
      <rgbColor rgb="FFC6E0B4"/>
      <rgbColor rgb="FF00FFFF"/>
      <rgbColor rgb="FF800080"/>
      <rgbColor rgb="FF800000"/>
      <rgbColor rgb="FF008080"/>
      <rgbColor rgb="FF0000FF"/>
      <rgbColor rgb="FF00CCFF"/>
      <rgbColor rgb="FFF2F4F7"/>
      <rgbColor rgb="FFE2EFDA"/>
      <rgbColor rgb="FFFFE699"/>
      <rgbColor rgb="FF9BC2E6"/>
      <rgbColor rgb="FFF4B084"/>
      <rgbColor rgb="FFBFC5D2"/>
      <rgbColor rgb="FFF8CBAD"/>
      <rgbColor rgb="FF3366FF"/>
      <rgbColor rgb="FFB4C6E7"/>
      <rgbColor rgb="FFA9D08E"/>
      <rgbColor rgb="FFFFC000"/>
      <rgbColor rgb="FFC9A227"/>
      <rgbColor rgb="FFFCE4D6"/>
      <rgbColor rgb="FF595959"/>
      <rgbColor rgb="FF7F7F7F"/>
      <rgbColor rgb="FF1F3864"/>
      <rgbColor rgb="FF70AD47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2:K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44"/>
    <col collapsed="false" customWidth="true" hidden="false" outlineLevel="0" max="4" min="4" style="0" width="8"/>
    <col collapsed="false" customWidth="true" hidden="false" outlineLevel="0" max="5" min="5" style="0" width="70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20"/>
    <col collapsed="false" customWidth="true" hidden="true" outlineLevel="0" max="11" min="11" style="0" width="13"/>
  </cols>
  <sheetData>
    <row r="2" customFormat="false" ht="42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21.75" hidden="false" customHeight="true" outlineLevel="0" collapsed="false">
      <c r="B3" s="2" t="s">
        <v>1</v>
      </c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3" t="s">
        <v>2</v>
      </c>
      <c r="D5" s="4" t="str">
        <f aca="false">Settings!C21</f>
        <v>09-Oct-2026</v>
      </c>
      <c r="F5" s="5" t="str">
        <f aca="false">HYPERLINK("#Search!C5","&gt;&gt;  SEARCH MATERIAL  &lt;&lt;")</f>
        <v>&gt;&gt;  SEARCH MATERIAL  &lt;&lt;</v>
      </c>
      <c r="G5" s="5"/>
    </row>
    <row r="6" customFormat="false" ht="15" hidden="false" customHeight="false" outlineLevel="0" collapsed="false">
      <c r="B6" s="3" t="s">
        <v>3</v>
      </c>
      <c r="D6" s="6" t="n">
        <f aca="false">VAT</f>
        <v>0.05</v>
      </c>
      <c r="F6" s="5"/>
      <c r="G6" s="5"/>
    </row>
    <row r="7" customFormat="false" ht="15" hidden="false" customHeight="false" outlineLevel="0" collapsed="false">
      <c r="B7" s="3" t="s">
        <v>4</v>
      </c>
      <c r="D7" s="6" t="n">
        <f aca="false">OHP</f>
        <v>0.2</v>
      </c>
      <c r="F7" s="7" t="str">
        <f aca="false">HYPERLINK("#Settings!C6","Edit base rates / VAT / O&amp;P")</f>
        <v>Edit base rates / VAT / O&amp;P</v>
      </c>
    </row>
    <row r="8" customFormat="false" ht="15" hidden="false" customHeight="false" outlineLevel="0" collapsed="false">
      <c r="B8" s="3" t="s">
        <v>5</v>
      </c>
      <c r="D8" s="4" t="n">
        <f aca="false">COUNTA('ALL ITEMS'!D3:D764)-COUNTBLANK('ALL ITEMS'!D3:D764)</f>
        <v>537</v>
      </c>
      <c r="F8" s="7" t="str">
        <f aca="false">HYPERLINK("#'ALL ITEMS'!A1","View master list (all items)")</f>
        <v>View master list (all items)</v>
      </c>
    </row>
    <row r="10" customFormat="false" ht="15" hidden="false" customHeight="false" outlineLevel="0" collapsed="false">
      <c r="B10" s="8" t="s">
        <v>6</v>
      </c>
      <c r="C10" s="8" t="s">
        <v>7</v>
      </c>
      <c r="D10" s="8" t="s">
        <v>8</v>
      </c>
      <c r="E10" s="8" t="s">
        <v>9</v>
      </c>
      <c r="F10" s="8" t="s">
        <v>10</v>
      </c>
      <c r="G10" s="8" t="s">
        <v>11</v>
      </c>
      <c r="H10" s="8" t="s">
        <v>12</v>
      </c>
      <c r="K10" s="9" t="s">
        <v>13</v>
      </c>
    </row>
    <row r="11" customFormat="false" ht="15" hidden="false" customHeight="false" outlineLevel="0" collapsed="false">
      <c r="B11" s="10" t="n">
        <v>1</v>
      </c>
      <c r="C11" s="11" t="s">
        <v>14</v>
      </c>
      <c r="D11" s="12" t="s">
        <v>15</v>
      </c>
      <c r="E11" s="13" t="s">
        <v>16</v>
      </c>
      <c r="F11" s="12" t="n">
        <f aca="false">COUNTA('01 Aluminium'!C5:C72)</f>
        <v>53</v>
      </c>
      <c r="G11" s="14" t="str">
        <f aca="false">HYPERLINK("#'01 Aluminium'!A1","Open  &gt;")</f>
        <v>Open  &gt;</v>
      </c>
      <c r="H11" s="15" t="s">
        <v>17</v>
      </c>
      <c r="K11" s="9" t="s">
        <v>14</v>
      </c>
    </row>
    <row r="12" customFormat="false" ht="15" hidden="false" customHeight="false" outlineLevel="0" collapsed="false">
      <c r="B12" s="16" t="n">
        <v>2</v>
      </c>
      <c r="C12" s="11" t="s">
        <v>18</v>
      </c>
      <c r="D12" s="12" t="s">
        <v>19</v>
      </c>
      <c r="E12" s="13" t="s">
        <v>20</v>
      </c>
      <c r="F12" s="12" t="n">
        <f aca="false">COUNTA('02 Glass'!C5:C73)</f>
        <v>54</v>
      </c>
      <c r="G12" s="14" t="str">
        <f aca="false">HYPERLINK("#'02 Glass'!A1","Open  &gt;")</f>
        <v>Open  &gt;</v>
      </c>
      <c r="H12" s="15" t="s">
        <v>21</v>
      </c>
      <c r="K12" s="9" t="s">
        <v>18</v>
      </c>
    </row>
    <row r="13" customFormat="false" ht="15" hidden="false" customHeight="false" outlineLevel="0" collapsed="false">
      <c r="B13" s="17" t="n">
        <v>3</v>
      </c>
      <c r="C13" s="11" t="s">
        <v>22</v>
      </c>
      <c r="D13" s="12" t="s">
        <v>23</v>
      </c>
      <c r="E13" s="13" t="s">
        <v>24</v>
      </c>
      <c r="F13" s="12" t="n">
        <f aca="false">COUNTA('03 Glass Processing'!C5:C42)</f>
        <v>23</v>
      </c>
      <c r="G13" s="14" t="str">
        <f aca="false">HYPERLINK("#'03 Glass Processing'!A1","Open  &gt;")</f>
        <v>Open  &gt;</v>
      </c>
      <c r="H13" s="15" t="s">
        <v>25</v>
      </c>
      <c r="K13" s="9" t="s">
        <v>22</v>
      </c>
    </row>
    <row r="14" customFormat="false" ht="15" hidden="false" customHeight="false" outlineLevel="0" collapsed="false">
      <c r="B14" s="18" t="n">
        <v>4</v>
      </c>
      <c r="C14" s="11" t="s">
        <v>26</v>
      </c>
      <c r="D14" s="12" t="s">
        <v>27</v>
      </c>
      <c r="E14" s="13" t="s">
        <v>28</v>
      </c>
      <c r="F14" s="12" t="n">
        <f aca="false">COUNTA('04 Mirrors'!C5:C36)</f>
        <v>17</v>
      </c>
      <c r="G14" s="14" t="str">
        <f aca="false">HYPERLINK("#'04 Mirrors'!A1","Open  &gt;")</f>
        <v>Open  &gt;</v>
      </c>
      <c r="H14" s="15" t="s">
        <v>29</v>
      </c>
      <c r="K14" s="9" t="s">
        <v>26</v>
      </c>
    </row>
    <row r="15" customFormat="false" ht="15" hidden="false" customHeight="false" outlineLevel="0" collapsed="false">
      <c r="B15" s="19" t="n">
        <v>5</v>
      </c>
      <c r="C15" s="11" t="s">
        <v>30</v>
      </c>
      <c r="D15" s="12" t="s">
        <v>31</v>
      </c>
      <c r="E15" s="13" t="s">
        <v>32</v>
      </c>
      <c r="F15" s="12" t="n">
        <f aca="false">COUNTA('05 Door &amp; Window HW'!C5:C57)</f>
        <v>38</v>
      </c>
      <c r="G15" s="14" t="str">
        <f aca="false">HYPERLINK("#'05 Door &amp; Window HW'!A1","Open  &gt;")</f>
        <v>Open  &gt;</v>
      </c>
      <c r="H15" s="15" t="s">
        <v>33</v>
      </c>
      <c r="K15" s="9" t="s">
        <v>30</v>
      </c>
    </row>
    <row r="16" customFormat="false" ht="15" hidden="false" customHeight="false" outlineLevel="0" collapsed="false">
      <c r="B16" s="20" t="n">
        <v>6</v>
      </c>
      <c r="C16" s="11" t="s">
        <v>34</v>
      </c>
      <c r="D16" s="12" t="s">
        <v>35</v>
      </c>
      <c r="E16" s="13" t="s">
        <v>36</v>
      </c>
      <c r="F16" s="12" t="n">
        <f aca="false">COUNTA('06 Glass Fittings HW'!C5:C49)</f>
        <v>30</v>
      </c>
      <c r="G16" s="14" t="str">
        <f aca="false">HYPERLINK("#'06 Glass Fittings HW'!A1","Open  &gt;")</f>
        <v>Open  &gt;</v>
      </c>
      <c r="H16" s="15" t="s">
        <v>37</v>
      </c>
      <c r="K16" s="9" t="s">
        <v>34</v>
      </c>
    </row>
    <row r="17" customFormat="false" ht="15" hidden="false" customHeight="false" outlineLevel="0" collapsed="false">
      <c r="B17" s="21" t="n">
        <v>7</v>
      </c>
      <c r="C17" s="11" t="s">
        <v>38</v>
      </c>
      <c r="D17" s="12" t="s">
        <v>39</v>
      </c>
      <c r="E17" s="13" t="s">
        <v>40</v>
      </c>
      <c r="F17" s="12" t="n">
        <f aca="false">COUNTA('07 Balustrade HW'!C5:C42)</f>
        <v>23</v>
      </c>
      <c r="G17" s="14" t="str">
        <f aca="false">HYPERLINK("#'07 Balustrade HW'!A1","Open  &gt;")</f>
        <v>Open  &gt;</v>
      </c>
      <c r="H17" s="15" t="s">
        <v>41</v>
      </c>
      <c r="K17" s="9" t="s">
        <v>38</v>
      </c>
    </row>
    <row r="18" customFormat="false" ht="23.85" hidden="false" customHeight="false" outlineLevel="0" collapsed="false">
      <c r="B18" s="22" t="n">
        <v>8</v>
      </c>
      <c r="C18" s="11" t="s">
        <v>42</v>
      </c>
      <c r="D18" s="12" t="s">
        <v>43</v>
      </c>
      <c r="E18" s="13" t="s">
        <v>44</v>
      </c>
      <c r="F18" s="12" t="n">
        <f aca="false">COUNTA('08 Sealants &amp; Fixings'!C5:C65)</f>
        <v>46</v>
      </c>
      <c r="G18" s="14" t="str">
        <f aca="false">HYPERLINK("#'08 Sealants &amp; Fixings'!A1","Open  &gt;")</f>
        <v>Open  &gt;</v>
      </c>
      <c r="H18" s="15" t="s">
        <v>45</v>
      </c>
      <c r="K18" s="9" t="s">
        <v>42</v>
      </c>
    </row>
    <row r="19" customFormat="false" ht="15" hidden="false" customHeight="false" outlineLevel="0" collapsed="false">
      <c r="B19" s="23" t="n">
        <v>9</v>
      </c>
      <c r="C19" s="11" t="s">
        <v>46</v>
      </c>
      <c r="D19" s="12" t="s">
        <v>47</v>
      </c>
      <c r="E19" s="13" t="s">
        <v>48</v>
      </c>
      <c r="F19" s="12" t="n">
        <f aca="false">COUNTA('09 Cladding &amp; ACP'!C5:C36)</f>
        <v>17</v>
      </c>
      <c r="G19" s="14" t="str">
        <f aca="false">HYPERLINK("#'09 Cladding &amp; ACP'!A1","Open  &gt;")</f>
        <v>Open  &gt;</v>
      </c>
      <c r="H19" s="15" t="s">
        <v>49</v>
      </c>
      <c r="K19" s="9" t="s">
        <v>46</v>
      </c>
    </row>
    <row r="20" customFormat="false" ht="15" hidden="false" customHeight="false" outlineLevel="0" collapsed="false">
      <c r="B20" s="24" t="n">
        <v>10</v>
      </c>
      <c r="C20" s="11" t="s">
        <v>50</v>
      </c>
      <c r="D20" s="12" t="s">
        <v>51</v>
      </c>
      <c r="E20" s="13" t="s">
        <v>52</v>
      </c>
      <c r="F20" s="12" t="n">
        <f aca="false">COUNTA('10 Mild Steel'!C5:C82)</f>
        <v>63</v>
      </c>
      <c r="G20" s="14" t="str">
        <f aca="false">HYPERLINK("#'10 Mild Steel'!A1","Open  &gt;")</f>
        <v>Open  &gt;</v>
      </c>
      <c r="H20" s="15" t="s">
        <v>53</v>
      </c>
      <c r="K20" s="9" t="s">
        <v>50</v>
      </c>
    </row>
    <row r="21" customFormat="false" ht="15" hidden="false" customHeight="false" outlineLevel="0" collapsed="false">
      <c r="B21" s="25" t="n">
        <v>11</v>
      </c>
      <c r="C21" s="11" t="s">
        <v>54</v>
      </c>
      <c r="D21" s="12" t="s">
        <v>55</v>
      </c>
      <c r="E21" s="13" t="s">
        <v>56</v>
      </c>
      <c r="F21" s="12" t="n">
        <f aca="false">COUNTA('11 Stainless Steel'!C5:C61)</f>
        <v>42</v>
      </c>
      <c r="G21" s="14" t="str">
        <f aca="false">HYPERLINK("#'11 Stainless Steel'!A1","Open  &gt;")</f>
        <v>Open  &gt;</v>
      </c>
      <c r="H21" s="15" t="s">
        <v>57</v>
      </c>
      <c r="K21" s="9" t="s">
        <v>54</v>
      </c>
    </row>
    <row r="22" customFormat="false" ht="15" hidden="false" customHeight="false" outlineLevel="0" collapsed="false">
      <c r="B22" s="26" t="n">
        <v>12</v>
      </c>
      <c r="C22" s="11" t="s">
        <v>58</v>
      </c>
      <c r="D22" s="12" t="s">
        <v>59</v>
      </c>
      <c r="E22" s="13" t="s">
        <v>60</v>
      </c>
      <c r="F22" s="12" t="n">
        <f aca="false">COUNTA('12 Auto Doors &amp; Shutters'!C5:C37)</f>
        <v>18</v>
      </c>
      <c r="G22" s="14" t="str">
        <f aca="false">HYPERLINK("#'12 Auto Doors &amp; Shutters'!A1","Open  &gt;")</f>
        <v>Open  &gt;</v>
      </c>
      <c r="H22" s="15" t="s">
        <v>61</v>
      </c>
      <c r="K22" s="9" t="s">
        <v>58</v>
      </c>
    </row>
    <row r="23" customFormat="false" ht="15" hidden="false" customHeight="false" outlineLevel="0" collapsed="false">
      <c r="B23" s="27" t="n">
        <v>13</v>
      </c>
      <c r="C23" s="11" t="s">
        <v>62</v>
      </c>
      <c r="D23" s="12" t="s">
        <v>63</v>
      </c>
      <c r="E23" s="13" t="s">
        <v>64</v>
      </c>
      <c r="F23" s="12" t="n">
        <f aca="false">COUNTA('13 Coating &amp; Finishing'!C5:C36)</f>
        <v>17</v>
      </c>
      <c r="G23" s="14" t="str">
        <f aca="false">HYPERLINK("#'13 Coating &amp; Finishing'!A1","Open  &gt;")</f>
        <v>Open  &gt;</v>
      </c>
      <c r="H23" s="15" t="s">
        <v>65</v>
      </c>
      <c r="K23" s="9" t="s">
        <v>62</v>
      </c>
    </row>
    <row r="24" customFormat="false" ht="15" hidden="false" customHeight="false" outlineLevel="0" collapsed="false">
      <c r="B24" s="28" t="n">
        <v>14</v>
      </c>
      <c r="C24" s="11" t="s">
        <v>66</v>
      </c>
      <c r="D24" s="12" t="s">
        <v>67</v>
      </c>
      <c r="E24" s="13" t="s">
        <v>68</v>
      </c>
      <c r="F24" s="12" t="n">
        <f aca="false">COUNTA('14 Labour &amp; Equipment'!C5:C59)</f>
        <v>40</v>
      </c>
      <c r="G24" s="14" t="str">
        <f aca="false">HYPERLINK("#'14 Labour &amp; Equipment'!A1","Open  &gt;")</f>
        <v>Open  &gt;</v>
      </c>
      <c r="H24" s="15" t="s">
        <v>69</v>
      </c>
      <c r="K24" s="9" t="s">
        <v>66</v>
      </c>
    </row>
    <row r="25" customFormat="false" ht="15" hidden="false" customHeight="false" outlineLevel="0" collapsed="false">
      <c r="B25" s="29" t="n">
        <v>15</v>
      </c>
      <c r="C25" s="11" t="s">
        <v>70</v>
      </c>
      <c r="D25" s="12" t="s">
        <v>71</v>
      </c>
      <c r="E25" s="13" t="s">
        <v>72</v>
      </c>
      <c r="F25" s="12" t="n">
        <f aca="false">COUNTA('15 System Rates S&amp;I'!C5:C75)</f>
        <v>56</v>
      </c>
      <c r="G25" s="14" t="str">
        <f aca="false">HYPERLINK("#'15 System Rates S&amp;I'!A1","Open  &gt;")</f>
        <v>Open  &gt;</v>
      </c>
      <c r="H25" s="15" t="s">
        <v>73</v>
      </c>
      <c r="K25" s="9" t="s">
        <v>70</v>
      </c>
    </row>
    <row r="26" customFormat="false" ht="15" hidden="false" customHeight="false" outlineLevel="0" collapsed="false">
      <c r="B26" s="30"/>
      <c r="C26" s="31" t="s">
        <v>74</v>
      </c>
      <c r="D26" s="30"/>
      <c r="E26" s="30"/>
      <c r="F26" s="30" t="n">
        <f aca="false">SUM(F11:F25)</f>
        <v>537</v>
      </c>
      <c r="G26" s="30"/>
      <c r="H26" s="30"/>
    </row>
    <row r="28" customFormat="false" ht="15" hidden="false" customHeight="false" outlineLevel="0" collapsed="false">
      <c r="B28" s="32" t="s">
        <v>75</v>
      </c>
    </row>
    <row r="29" customFormat="false" ht="18" hidden="false" customHeight="true" outlineLevel="0" collapsed="false">
      <c r="B29" s="33" t="s">
        <v>76</v>
      </c>
      <c r="C29" s="33"/>
      <c r="D29" s="33"/>
      <c r="E29" s="33"/>
      <c r="F29" s="33"/>
      <c r="G29" s="33"/>
      <c r="H29" s="33"/>
    </row>
    <row r="30" customFormat="false" ht="18" hidden="false" customHeight="true" outlineLevel="0" collapsed="false">
      <c r="B30" s="33" t="s">
        <v>77</v>
      </c>
      <c r="C30" s="33"/>
      <c r="D30" s="33"/>
      <c r="E30" s="33"/>
      <c r="F30" s="33"/>
      <c r="G30" s="33"/>
      <c r="H30" s="33"/>
    </row>
    <row r="31" customFormat="false" ht="18" hidden="false" customHeight="true" outlineLevel="0" collapsed="false">
      <c r="B31" s="33" t="s">
        <v>78</v>
      </c>
      <c r="C31" s="33"/>
      <c r="D31" s="33"/>
      <c r="E31" s="33"/>
      <c r="F31" s="33"/>
      <c r="G31" s="33"/>
      <c r="H31" s="33"/>
    </row>
    <row r="32" customFormat="false" ht="18" hidden="false" customHeight="true" outlineLevel="0" collapsed="false">
      <c r="B32" s="33" t="s">
        <v>79</v>
      </c>
      <c r="C32" s="33"/>
      <c r="D32" s="33"/>
      <c r="E32" s="33"/>
      <c r="F32" s="33"/>
      <c r="G32" s="33"/>
      <c r="H32" s="33"/>
    </row>
    <row r="33" customFormat="false" ht="18" hidden="false" customHeight="true" outlineLevel="0" collapsed="false">
      <c r="B33" s="33" t="s">
        <v>80</v>
      </c>
      <c r="C33" s="33"/>
      <c r="D33" s="33"/>
      <c r="E33" s="33"/>
      <c r="F33" s="33"/>
      <c r="G33" s="33"/>
      <c r="H33" s="33"/>
    </row>
    <row r="34" customFormat="false" ht="18" hidden="false" customHeight="true" outlineLevel="0" collapsed="false">
      <c r="B34" s="33" t="s">
        <v>81</v>
      </c>
      <c r="C34" s="33"/>
      <c r="D34" s="33"/>
      <c r="E34" s="33"/>
      <c r="F34" s="33"/>
      <c r="G34" s="33"/>
      <c r="H34" s="33"/>
    </row>
    <row r="36" customFormat="false" ht="15" hidden="false" customHeight="false" outlineLevel="0" collapsed="false">
      <c r="B36" s="32" t="s">
        <v>82</v>
      </c>
    </row>
    <row r="37" customFormat="false" ht="15" hidden="false" customHeight="false" outlineLevel="0" collapsed="false">
      <c r="C37" s="34" t="s">
        <v>83</v>
      </c>
      <c r="D37" s="35" t="s">
        <v>84</v>
      </c>
      <c r="E37" s="35"/>
      <c r="F37" s="35"/>
    </row>
    <row r="38" customFormat="false" ht="15" hidden="false" customHeight="false" outlineLevel="0" collapsed="false">
      <c r="C38" s="36" t="s">
        <v>85</v>
      </c>
      <c r="D38" s="35" t="s">
        <v>86</v>
      </c>
      <c r="E38" s="35"/>
      <c r="F38" s="35"/>
    </row>
    <row r="39" customFormat="false" ht="15" hidden="false" customHeight="false" outlineLevel="0" collapsed="false">
      <c r="C39" s="37" t="s">
        <v>87</v>
      </c>
      <c r="D39" s="35" t="s">
        <v>88</v>
      </c>
      <c r="E39" s="35"/>
      <c r="F39" s="35"/>
    </row>
    <row r="40" customFormat="false" ht="15" hidden="false" customHeight="false" outlineLevel="0" collapsed="false">
      <c r="C40" s="38" t="s">
        <v>89</v>
      </c>
      <c r="D40" s="35" t="s">
        <v>90</v>
      </c>
      <c r="E40" s="35"/>
      <c r="F40" s="35"/>
    </row>
    <row r="41" customFormat="false" ht="15" hidden="false" customHeight="false" outlineLevel="0" collapsed="false">
      <c r="C41" s="39" t="s">
        <v>91</v>
      </c>
      <c r="D41" s="35" t="s">
        <v>92</v>
      </c>
      <c r="E41" s="35"/>
      <c r="F41" s="35"/>
    </row>
    <row r="42" customFormat="false" ht="15" hidden="false" customHeight="false" outlineLevel="0" collapsed="false">
      <c r="C42" s="40" t="s">
        <v>93</v>
      </c>
      <c r="D42" s="35" t="s">
        <v>94</v>
      </c>
      <c r="E42" s="35"/>
      <c r="F42" s="35"/>
    </row>
    <row r="43" customFormat="false" ht="15" hidden="false" customHeight="false" outlineLevel="0" collapsed="false">
      <c r="C43" s="41" t="s">
        <v>95</v>
      </c>
      <c r="D43" s="35" t="s">
        <v>96</v>
      </c>
      <c r="E43" s="35"/>
      <c r="F43" s="35"/>
    </row>
    <row r="45" customFormat="false" ht="15" hidden="false" customHeight="false" outlineLevel="0" collapsed="false">
      <c r="B45" s="32" t="s">
        <v>97</v>
      </c>
    </row>
    <row r="46" customFormat="false" ht="15" hidden="false" customHeight="true" outlineLevel="0" collapsed="false">
      <c r="B46" s="42" t="s">
        <v>98</v>
      </c>
      <c r="C46" s="42"/>
      <c r="D46" s="42"/>
      <c r="E46" s="42"/>
      <c r="F46" s="42"/>
      <c r="G46" s="42"/>
      <c r="H46" s="42"/>
    </row>
    <row r="48" customFormat="false" ht="15" hidden="false" customHeight="true" outlineLevel="0" collapsed="false">
      <c r="B48" s="43" t="s">
        <v>99</v>
      </c>
      <c r="C48" s="43"/>
      <c r="D48" s="43"/>
      <c r="E48" s="43"/>
      <c r="F48" s="43"/>
      <c r="G48" s="43"/>
      <c r="H48" s="43"/>
    </row>
    <row r="49" customFormat="false" ht="15" hidden="false" customHeight="false" outlineLevel="0" collapsed="false">
      <c r="B49" s="43"/>
      <c r="C49" s="43"/>
      <c r="D49" s="43"/>
      <c r="E49" s="43"/>
      <c r="F49" s="43"/>
      <c r="G49" s="43"/>
      <c r="H49" s="43"/>
    </row>
  </sheetData>
  <mergeCells count="18">
    <mergeCell ref="B2:H2"/>
    <mergeCell ref="B3:H3"/>
    <mergeCell ref="F5:G6"/>
    <mergeCell ref="B29:H29"/>
    <mergeCell ref="B30:H30"/>
    <mergeCell ref="B31:H31"/>
    <mergeCell ref="B32:H32"/>
    <mergeCell ref="B33:H33"/>
    <mergeCell ref="B34:H34"/>
    <mergeCell ref="D37:F37"/>
    <mergeCell ref="D38:F38"/>
    <mergeCell ref="D39:F39"/>
    <mergeCell ref="D40:F40"/>
    <mergeCell ref="D41:F41"/>
    <mergeCell ref="D42:F42"/>
    <mergeCell ref="D43:F43"/>
    <mergeCell ref="B46:H46"/>
    <mergeCell ref="B48:H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2:R3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28"/>
    <col collapsed="false" customWidth="true" hidden="false" outlineLevel="0" max="4" min="4" style="0" width="40"/>
    <col collapsed="false" customWidth="true" hidden="false" outlineLevel="0" max="5" min="5" style="0" width="30"/>
    <col collapsed="false" customWidth="true" hidden="false" outlineLevel="0" max="6" min="6" style="0" width="18"/>
    <col collapsed="false" customWidth="true" hidden="false" outlineLevel="0" max="7" min="7" style="0" width="24"/>
    <col collapsed="false" customWidth="true" hidden="false" outlineLevel="0" max="8" min="8" style="0" width="7"/>
    <col collapsed="false" customWidth="true" hidden="false" outlineLevel="0" max="10" min="9" style="0" width="12"/>
    <col collapsed="false" customWidth="true" hidden="false" outlineLevel="0" max="11" min="11" style="0" width="13"/>
    <col collapsed="false" customWidth="true" hidden="false" outlineLevel="0" max="12" min="12" style="0" width="11"/>
    <col collapsed="false" customWidth="true" hidden="false" outlineLevel="0" max="13" min="13" style="0" width="2"/>
    <col collapsed="false" customWidth="true" hidden="true" outlineLevel="0" max="14" min="14" style="0" width="6"/>
    <col collapsed="false" customWidth="true" hidden="true" outlineLevel="0" max="18" min="16" style="0" width="13"/>
  </cols>
  <sheetData>
    <row r="2" customFormat="false" ht="36" hidden="false" customHeight="true" outlineLevel="0" collapsed="false">
      <c r="B2" s="44" t="s">
        <v>100</v>
      </c>
      <c r="C2" s="44"/>
      <c r="D2" s="44"/>
      <c r="E2" s="44"/>
      <c r="F2" s="44"/>
      <c r="G2" s="44"/>
      <c r="H2" s="44"/>
      <c r="I2" s="44"/>
      <c r="J2" s="44"/>
      <c r="K2" s="44"/>
      <c r="L2" s="44"/>
    </row>
    <row r="3" customFormat="false" ht="15" hidden="false" customHeight="false" outlineLevel="0" collapsed="false">
      <c r="B3" s="45" t="s">
        <v>101</v>
      </c>
      <c r="C3" s="45"/>
      <c r="D3" s="45"/>
      <c r="E3" s="45"/>
      <c r="F3" s="45"/>
      <c r="G3" s="45"/>
      <c r="H3" s="45"/>
      <c r="I3" s="45"/>
      <c r="J3" s="45"/>
      <c r="K3" s="45"/>
      <c r="L3" s="45"/>
    </row>
    <row r="4" customFormat="false" ht="15" hidden="false" customHeight="false" outlineLevel="0" collapsed="false">
      <c r="Q4" s="0" t="str">
        <f aca="false">TRIM(SUBSTITUTE(SUBSTITUTE(SUBSTITUTE(SUBSTITUTE(SUBSTITUTE(SUBSTITUTE(SUBSTITUTE(SUBSTITUTE(SUBSTITUTE(LOWER($C$5),"*","x"),"?"," "),"~"," "),"("," "),")"," "),"/"," "),"-"," "),","," "),";"," "))&amp;" "</f>
        <v>aluminium sheet </v>
      </c>
    </row>
    <row r="5" customFormat="false" ht="24" hidden="false" customHeight="true" outlineLevel="0" collapsed="false">
      <c r="A5" s="46" t="s">
        <v>102</v>
      </c>
      <c r="B5" s="46"/>
      <c r="C5" s="47" t="s">
        <v>103</v>
      </c>
      <c r="D5" s="47"/>
      <c r="E5" s="47"/>
      <c r="G5" s="48" t="s">
        <v>104</v>
      </c>
      <c r="P5" s="0" t="str">
        <f aca="false">IF(AND(LEN(R5)&gt;3,RIGHT(R5,1)="s",RIGHT(R5,2)&lt;&gt;"ss"),LEFT(R5,LEN(R5)-1),R5)</f>
        <v>aluminium</v>
      </c>
      <c r="Q5" s="0" t="str">
        <f aca="false">IFERROR(MID(Q4,FIND(" ",Q4)+1,999),"")</f>
        <v>sheet </v>
      </c>
      <c r="R5" s="0" t="str">
        <f aca="false">IFERROR(LEFT(Q4,FIND(" ",Q4)-1),"")</f>
        <v>aluminium</v>
      </c>
    </row>
    <row r="6" customFormat="false" ht="24" hidden="false" customHeight="true" outlineLevel="0" collapsed="false">
      <c r="A6" s="46" t="s">
        <v>105</v>
      </c>
      <c r="B6" s="46"/>
      <c r="C6" s="47" t="s">
        <v>13</v>
      </c>
      <c r="D6" s="47"/>
      <c r="E6" s="47"/>
      <c r="G6" s="48" t="s">
        <v>106</v>
      </c>
      <c r="P6" s="0" t="str">
        <f aca="false">IF(AND(LEN(R6)&gt;3,RIGHT(R6,1)="s",RIGHT(R6,2)&lt;&gt;"ss"),LEFT(R6,LEN(R6)-1),R6)</f>
        <v>sheet</v>
      </c>
      <c r="Q6" s="0" t="str">
        <f aca="false">IFERROR(MID(Q5,FIND(" ",Q5)+1,999),"")</f>
        <v/>
      </c>
      <c r="R6" s="0" t="str">
        <f aca="false">IFERROR(LEFT(Q5,FIND(" ",Q5)-1),"")</f>
        <v>sheet</v>
      </c>
    </row>
    <row r="7" customFormat="false" ht="15" hidden="false" customHeight="false" outlineLevel="0" collapsed="false">
      <c r="A7" s="46" t="s">
        <v>107</v>
      </c>
      <c r="B7" s="46"/>
      <c r="C7" s="49" t="n">
        <f aca="false">COUNT('ALL ITEMS'!M3:M764)</f>
        <v>8</v>
      </c>
      <c r="D7" s="50" t="str">
        <f aca="false">IF(C7=0,"No match - check spelling or try fewer words (e.g. 40x40 tube)","")</f>
        <v/>
      </c>
      <c r="G7" s="7" t="str">
        <f aca="false">HYPERLINK("#Index!A1","&lt;&lt; Back to Index")</f>
        <v>&lt;&lt; Back to Index</v>
      </c>
      <c r="P7" s="0" t="str">
        <f aca="false">IF(AND(LEN(R7)&gt;3,RIGHT(R7,1)="s",RIGHT(R7,2)&lt;&gt;"ss"),LEFT(R7,LEN(R7)-1),R7)</f>
        <v/>
      </c>
      <c r="Q7" s="0" t="str">
        <f aca="false">IFERROR(MID(Q6,FIND(" ",Q6)+1,999),"")</f>
        <v/>
      </c>
      <c r="R7" s="0" t="str">
        <f aca="false">IFERROR(LEFT(Q6,FIND(" ",Q6)-1),"")</f>
        <v/>
      </c>
    </row>
    <row r="8" customFormat="false" ht="15" hidden="false" customHeight="false" outlineLevel="0" collapsed="false">
      <c r="A8" s="51" t="s">
        <v>108</v>
      </c>
      <c r="B8" s="51"/>
      <c r="C8" s="48" t="str">
        <f aca="false">IF(P5="","(none - showing all)",P5&amp;IF(P6="",""," + "&amp;P6)&amp;IF(P7="",""," + "&amp;P7)&amp;IF(P8="",""," + "&amp;P8)&amp;IF(P9="",""," + "&amp;P9)&amp;IF(P10="",""," + "&amp;P10))</f>
        <v>aluminium + sheet</v>
      </c>
      <c r="P8" s="0" t="str">
        <f aca="false">IF(AND(LEN(R8)&gt;3,RIGHT(R8,1)="s",RIGHT(R8,2)&lt;&gt;"ss"),LEFT(R8,LEN(R8)-1),R8)</f>
        <v/>
      </c>
      <c r="Q8" s="0" t="str">
        <f aca="false">IFERROR(MID(Q7,FIND(" ",Q7)+1,999),"")</f>
        <v/>
      </c>
      <c r="R8" s="0" t="str">
        <f aca="false">IFERROR(LEFT(Q7,FIND(" ",Q7)-1),"")</f>
        <v/>
      </c>
    </row>
    <row r="9" customFormat="false" ht="23.85" hidden="false" customHeight="false" outlineLevel="0" collapsed="false">
      <c r="A9" s="8" t="s">
        <v>109</v>
      </c>
      <c r="B9" s="8" t="s">
        <v>110</v>
      </c>
      <c r="C9" s="8" t="s">
        <v>7</v>
      </c>
      <c r="D9" s="8" t="s">
        <v>111</v>
      </c>
      <c r="E9" s="8" t="s">
        <v>112</v>
      </c>
      <c r="F9" s="8" t="s">
        <v>113</v>
      </c>
      <c r="G9" s="8" t="s">
        <v>114</v>
      </c>
      <c r="H9" s="8" t="s">
        <v>115</v>
      </c>
      <c r="I9" s="8" t="s">
        <v>116</v>
      </c>
      <c r="J9" s="8" t="s">
        <v>117</v>
      </c>
      <c r="K9" s="8" t="s">
        <v>118</v>
      </c>
      <c r="L9" s="8" t="s">
        <v>119</v>
      </c>
      <c r="P9" s="0" t="str">
        <f aca="false">IF(AND(LEN(R9)&gt;3,RIGHT(R9,1)="s",RIGHT(R9,2)&lt;&gt;"ss"),LEFT(R9,LEN(R9)-1),R9)</f>
        <v/>
      </c>
      <c r="Q9" s="0" t="str">
        <f aca="false">IFERROR(MID(Q8,FIND(" ",Q8)+1,999),"")</f>
        <v/>
      </c>
      <c r="R9" s="0" t="str">
        <f aca="false">IFERROR(LEFT(Q8,FIND(" ",Q8)-1),"")</f>
        <v/>
      </c>
    </row>
    <row r="10" customFormat="false" ht="15" hidden="false" customHeight="false" outlineLevel="0" collapsed="false">
      <c r="A10" s="52" t="n">
        <f aca="false">IF($N10="","",ROWS($N$10:N10))</f>
        <v>1</v>
      </c>
      <c r="B10" s="52" t="str">
        <f aca="false">IF($N10="","",INDEX('ALL ITEMS'!$B:$B,$N10))</f>
        <v>AL-051</v>
      </c>
      <c r="C10" s="53" t="str">
        <f aca="false">IF($N10="","",INDEX('ALL ITEMS'!$A:$A,$N10))</f>
        <v>Aluminium Profiles &amp; Systems</v>
      </c>
      <c r="D10" s="53" t="str">
        <f aca="false">IF($N10="","",INDEX('ALL ITEMS'!$D:$D,$N10))</f>
        <v>Aluminium flat sheet</v>
      </c>
      <c r="E10" s="53" t="str">
        <f aca="false">IF($N10="","",INDEX('ALL ITEMS'!$E:$E,$N10))</f>
        <v>2.0 mm, 1250 x 2500</v>
      </c>
      <c r="F10" s="53" t="str">
        <f aca="false">IF($N10="","",INDEX('ALL ITEMS'!$F:$F,$N10))</f>
        <v>Mill finish</v>
      </c>
      <c r="G10" s="53" t="str">
        <f aca="false">IF($N10="","",INDEX('ALL ITEMS'!$G:$G,$N10))</f>
        <v>Local / Imported</v>
      </c>
      <c r="H10" s="52" t="str">
        <f aca="false">IF($N10="","",INDEX('ALL ITEMS'!$H:$H,$N10))</f>
        <v>m2</v>
      </c>
      <c r="I10" s="54" t="n">
        <f aca="false">IF($N10="","",INDEX('ALL ITEMS'!$I:$I,$N10))</f>
        <v>50.4</v>
      </c>
      <c r="J10" s="54" t="n">
        <f aca="false">IF($N10="","",INDEX('ALL ITEMS'!$J:$J,$N10))</f>
        <v>60.48</v>
      </c>
      <c r="K10" s="54" t="n">
        <f aca="false">IF($N10="","",INDEX('ALL ITEMS'!$K:$K,$N10))</f>
        <v>63.5</v>
      </c>
      <c r="L10" s="52" t="str">
        <f aca="false">IF($N10="","",INDEX('ALL ITEMS'!$L:$L,$N10))</f>
        <v>Indicative</v>
      </c>
      <c r="N10" s="9" t="n">
        <f aca="false">IF(ROWS($N$10:N10)&gt;$C$7,"",SMALL('ALL ITEMS'!$M$3:$M$764,ROWS($N$10:N10)))</f>
        <v>53</v>
      </c>
      <c r="P10" s="0" t="str">
        <f aca="false">IF(AND(LEN(R10)&gt;3,RIGHT(R10,1)="s",RIGHT(R10,2)&lt;&gt;"ss"),LEFT(R10,LEN(R10)-1),R10)</f>
        <v/>
      </c>
      <c r="Q10" s="0" t="str">
        <f aca="false">IFERROR(MID(Q9,FIND(" ",Q9)+1,999),"")</f>
        <v/>
      </c>
      <c r="R10" s="0" t="str">
        <f aca="false">IFERROR(LEFT(Q9,FIND(" ",Q9)-1),"")</f>
        <v/>
      </c>
    </row>
    <row r="11" customFormat="false" ht="15" hidden="false" customHeight="false" outlineLevel="0" collapsed="false">
      <c r="A11" s="52" t="n">
        <f aca="false">IF($N11="","",ROWS($N$10:N11))</f>
        <v>2</v>
      </c>
      <c r="B11" s="52" t="str">
        <f aca="false">IF($N11="","",INDEX('ALL ITEMS'!$B:$B,$N11))</f>
        <v>AL-052</v>
      </c>
      <c r="C11" s="53" t="str">
        <f aca="false">IF($N11="","",INDEX('ALL ITEMS'!$A:$A,$N11))</f>
        <v>Aluminium Profiles &amp; Systems</v>
      </c>
      <c r="D11" s="53" t="str">
        <f aca="false">IF($N11="","",INDEX('ALL ITEMS'!$D:$D,$N11))</f>
        <v>Aluminium flat sheet</v>
      </c>
      <c r="E11" s="53" t="str">
        <f aca="false">IF($N11="","",INDEX('ALL ITEMS'!$E:$E,$N11))</f>
        <v>3.0 mm, 1250 x 2500</v>
      </c>
      <c r="F11" s="53" t="str">
        <f aca="false">IF($N11="","",INDEX('ALL ITEMS'!$F:$F,$N11))</f>
        <v>Mill finish</v>
      </c>
      <c r="G11" s="53" t="str">
        <f aca="false">IF($N11="","",INDEX('ALL ITEMS'!$G:$G,$N11))</f>
        <v>Local / Imported</v>
      </c>
      <c r="H11" s="52" t="str">
        <f aca="false">IF($N11="","",INDEX('ALL ITEMS'!$H:$H,$N11))</f>
        <v>m2</v>
      </c>
      <c r="I11" s="54" t="n">
        <f aca="false">IF($N11="","",INDEX('ALL ITEMS'!$I:$I,$N11))</f>
        <v>73.5</v>
      </c>
      <c r="J11" s="54" t="n">
        <f aca="false">IF($N11="","",INDEX('ALL ITEMS'!$J:$J,$N11))</f>
        <v>88.2</v>
      </c>
      <c r="K11" s="54" t="n">
        <f aca="false">IF($N11="","",INDEX('ALL ITEMS'!$K:$K,$N11))</f>
        <v>92.61</v>
      </c>
      <c r="L11" s="52" t="str">
        <f aca="false">IF($N11="","",INDEX('ALL ITEMS'!$L:$L,$N11))</f>
        <v>Indicative</v>
      </c>
      <c r="N11" s="9" t="n">
        <f aca="false">IF(ROWS($N$10:N11)&gt;$C$7,"",SMALL('ALL ITEMS'!$M$3:$M$764,ROWS($N$10:N11)))</f>
        <v>54</v>
      </c>
    </row>
    <row r="12" customFormat="false" ht="15" hidden="false" customHeight="false" outlineLevel="0" collapsed="false">
      <c r="A12" s="52" t="n">
        <f aca="false">IF($N12="","",ROWS($N$10:N12))</f>
        <v>3</v>
      </c>
      <c r="B12" s="52" t="str">
        <f aca="false">IF($N12="","",INDEX('ALL ITEMS'!$B:$B,$N12))</f>
        <v>AL-053</v>
      </c>
      <c r="C12" s="53" t="str">
        <f aca="false">IF($N12="","",INDEX('ALL ITEMS'!$A:$A,$N12))</f>
        <v>Aluminium Profiles &amp; Systems</v>
      </c>
      <c r="D12" s="53" t="str">
        <f aca="false">IF($N12="","",INDEX('ALL ITEMS'!$D:$D,$N12))</f>
        <v>Aluminium chequered plate</v>
      </c>
      <c r="E12" s="53" t="str">
        <f aca="false">IF($N12="","",INDEX('ALL ITEMS'!$E:$E,$N12))</f>
        <v>3.0 mm tread</v>
      </c>
      <c r="F12" s="53" t="str">
        <f aca="false">IF($N12="","",INDEX('ALL ITEMS'!$F:$F,$N12))</f>
        <v>Mill finish</v>
      </c>
      <c r="G12" s="53" t="str">
        <f aca="false">IF($N12="","",INDEX('ALL ITEMS'!$G:$G,$N12))</f>
        <v>Local / Imported</v>
      </c>
      <c r="H12" s="52" t="str">
        <f aca="false">IF($N12="","",INDEX('ALL ITEMS'!$H:$H,$N12))</f>
        <v>m2</v>
      </c>
      <c r="I12" s="54" t="n">
        <f aca="false">IF($N12="","",INDEX('ALL ITEMS'!$I:$I,$N12))</f>
        <v>89.25</v>
      </c>
      <c r="J12" s="54" t="n">
        <f aca="false">IF($N12="","",INDEX('ALL ITEMS'!$J:$J,$N12))</f>
        <v>107.1</v>
      </c>
      <c r="K12" s="54" t="n">
        <f aca="false">IF($N12="","",INDEX('ALL ITEMS'!$K:$K,$N12))</f>
        <v>112.46</v>
      </c>
      <c r="L12" s="52" t="str">
        <f aca="false">IF($N12="","",INDEX('ALL ITEMS'!$L:$L,$N12))</f>
        <v>Indicative</v>
      </c>
      <c r="N12" s="9" t="n">
        <f aca="false">IF(ROWS($N$10:N12)&gt;$C$7,"",SMALL('ALL ITEMS'!$M$3:$M$764,ROWS($N$10:N12)))</f>
        <v>55</v>
      </c>
    </row>
    <row r="13" customFormat="false" ht="15" hidden="false" customHeight="false" outlineLevel="0" collapsed="false">
      <c r="A13" s="52" t="n">
        <f aca="false">IF($N13="","",ROWS($N$10:N13))</f>
        <v>4</v>
      </c>
      <c r="B13" s="52" t="str">
        <f aca="false">IF($N13="","",INDEX('ALL ITEMS'!$B:$B,$N13))</f>
        <v>CL-001</v>
      </c>
      <c r="C13" s="53" t="str">
        <f aca="false">IF($N13="","",INDEX('ALL ITEMS'!$A:$A,$N13))</f>
        <v>Cladding, ACP &amp; Facade Panels</v>
      </c>
      <c r="D13" s="53" t="str">
        <f aca="false">IF($N13="","",INDEX('ALL ITEMS'!$D:$D,$N13))</f>
        <v>Aluminium composite panel (ACP)</v>
      </c>
      <c r="E13" s="53" t="str">
        <f aca="false">IF($N13="","",INDEX('ALL ITEMS'!$E:$E,$N13))</f>
        <v>4 mm, 0.3 mm skin, non-FR</v>
      </c>
      <c r="F13" s="53" t="str">
        <f aca="false">IF($N13="","",INDEX('ALL ITEMS'!$F:$F,$N13))</f>
        <v>PVDF</v>
      </c>
      <c r="G13" s="53" t="str">
        <f aca="false">IF($N13="","",INDEX('ALL ITEMS'!$G:$G,$N13))</f>
        <v>Alubond / Alucobond / Equiv.</v>
      </c>
      <c r="H13" s="52" t="str">
        <f aca="false">IF($N13="","",INDEX('ALL ITEMS'!$H:$H,$N13))</f>
        <v>m2</v>
      </c>
      <c r="I13" s="54" t="n">
        <f aca="false">IF($N13="","",INDEX('ALL ITEMS'!$I:$I,$N13))</f>
        <v>60.5</v>
      </c>
      <c r="J13" s="54" t="n">
        <f aca="false">IF($N13="","",INDEX('ALL ITEMS'!$J:$J,$N13))</f>
        <v>72.6</v>
      </c>
      <c r="K13" s="54" t="n">
        <f aca="false">IF($N13="","",INDEX('ALL ITEMS'!$K:$K,$N13))</f>
        <v>76.23</v>
      </c>
      <c r="L13" s="52" t="str">
        <f aca="false">IF($N13="","",INDEX('ALL ITEMS'!$L:$L,$N13))</f>
        <v>Indicative</v>
      </c>
      <c r="N13" s="9" t="n">
        <f aca="false">IF(ROWS($N$10:N13)&gt;$C$7,"",SMALL('ALL ITEMS'!$M$3:$M$764,ROWS($N$10:N13)))</f>
        <v>407</v>
      </c>
    </row>
    <row r="14" customFormat="false" ht="15" hidden="false" customHeight="false" outlineLevel="0" collapsed="false">
      <c r="A14" s="52" t="n">
        <f aca="false">IF($N14="","",ROWS($N$10:N14))</f>
        <v>5</v>
      </c>
      <c r="B14" s="52" t="str">
        <f aca="false">IF($N14="","",INDEX('ALL ITEMS'!$B:$B,$N14))</f>
        <v>CL-002</v>
      </c>
      <c r="C14" s="53" t="str">
        <f aca="false">IF($N14="","",INDEX('ALL ITEMS'!$A:$A,$N14))</f>
        <v>Cladding, ACP &amp; Facade Panels</v>
      </c>
      <c r="D14" s="53" t="str">
        <f aca="false">IF($N14="","",INDEX('ALL ITEMS'!$D:$D,$N14))</f>
        <v>Aluminium composite panel - fire rated FR (B1)</v>
      </c>
      <c r="E14" s="53" t="str">
        <f aca="false">IF($N14="","",INDEX('ALL ITEMS'!$E:$E,$N14))</f>
        <v>4 mm, 0.5 mm skin</v>
      </c>
      <c r="F14" s="53" t="str">
        <f aca="false">IF($N14="","",INDEX('ALL ITEMS'!$F:$F,$N14))</f>
        <v>PVDF</v>
      </c>
      <c r="G14" s="53" t="str">
        <f aca="false">IF($N14="","",INDEX('ALL ITEMS'!$G:$G,$N14))</f>
        <v>Alubond / Alucobond / Equiv.</v>
      </c>
      <c r="H14" s="52" t="str">
        <f aca="false">IF($N14="","",INDEX('ALL ITEMS'!$H:$H,$N14))</f>
        <v>m2</v>
      </c>
      <c r="I14" s="54" t="n">
        <f aca="false">IF($N14="","",INDEX('ALL ITEMS'!$I:$I,$N14))</f>
        <v>82.5</v>
      </c>
      <c r="J14" s="54" t="n">
        <f aca="false">IF($N14="","",INDEX('ALL ITEMS'!$J:$J,$N14))</f>
        <v>99</v>
      </c>
      <c r="K14" s="54" t="n">
        <f aca="false">IF($N14="","",INDEX('ALL ITEMS'!$K:$K,$N14))</f>
        <v>103.95</v>
      </c>
      <c r="L14" s="52" t="str">
        <f aca="false">IF($N14="","",INDEX('ALL ITEMS'!$L:$L,$N14))</f>
        <v>Indicative</v>
      </c>
      <c r="N14" s="9" t="n">
        <f aca="false">IF(ROWS($N$10:N14)&gt;$C$7,"",SMALL('ALL ITEMS'!$M$3:$M$764,ROWS($N$10:N14)))</f>
        <v>408</v>
      </c>
    </row>
    <row r="15" customFormat="false" ht="15" hidden="false" customHeight="false" outlineLevel="0" collapsed="false">
      <c r="A15" s="52" t="n">
        <f aca="false">IF($N15="","",ROWS($N$10:N15))</f>
        <v>6</v>
      </c>
      <c r="B15" s="52" t="str">
        <f aca="false">IF($N15="","",INDEX('ALL ITEMS'!$B:$B,$N15))</f>
        <v>CL-003</v>
      </c>
      <c r="C15" s="53" t="str">
        <f aca="false">IF($N15="","",INDEX('ALL ITEMS'!$A:$A,$N15))</f>
        <v>Cladding, ACP &amp; Facade Panels</v>
      </c>
      <c r="D15" s="53" t="str">
        <f aca="false">IF($N15="","",INDEX('ALL ITEMS'!$D:$D,$N15))</f>
        <v>Aluminium composite panel - A2 non-combustible</v>
      </c>
      <c r="E15" s="53" t="str">
        <f aca="false">IF($N15="","",INDEX('ALL ITEMS'!$E:$E,$N15))</f>
        <v>4 mm, 0.5 mm skin</v>
      </c>
      <c r="F15" s="53" t="str">
        <f aca="false">IF($N15="","",INDEX('ALL ITEMS'!$F:$F,$N15))</f>
        <v>PVDF</v>
      </c>
      <c r="G15" s="53" t="str">
        <f aca="false">IF($N15="","",INDEX('ALL ITEMS'!$G:$G,$N15))</f>
        <v>Alubond / Alucobond / Equiv.</v>
      </c>
      <c r="H15" s="52" t="str">
        <f aca="false">IF($N15="","",INDEX('ALL ITEMS'!$H:$H,$N15))</f>
        <v>m2</v>
      </c>
      <c r="I15" s="54" t="n">
        <f aca="false">IF($N15="","",INDEX('ALL ITEMS'!$I:$I,$N15))</f>
        <v>121</v>
      </c>
      <c r="J15" s="54" t="n">
        <f aca="false">IF($N15="","",INDEX('ALL ITEMS'!$J:$J,$N15))</f>
        <v>145.2</v>
      </c>
      <c r="K15" s="54" t="n">
        <f aca="false">IF($N15="","",INDEX('ALL ITEMS'!$K:$K,$N15))</f>
        <v>152.46</v>
      </c>
      <c r="L15" s="52" t="str">
        <f aca="false">IF($N15="","",INDEX('ALL ITEMS'!$L:$L,$N15))</f>
        <v>Indicative</v>
      </c>
      <c r="N15" s="9" t="n">
        <f aca="false">IF(ROWS($N$10:N15)&gt;$C$7,"",SMALL('ALL ITEMS'!$M$3:$M$764,ROWS($N$10:N15)))</f>
        <v>409</v>
      </c>
    </row>
    <row r="16" customFormat="false" ht="15" hidden="false" customHeight="false" outlineLevel="0" collapsed="false">
      <c r="A16" s="52" t="n">
        <f aca="false">IF($N16="","",ROWS($N$10:N16))</f>
        <v>7</v>
      </c>
      <c r="B16" s="52" t="str">
        <f aca="false">IF($N16="","",INDEX('ALL ITEMS'!$B:$B,$N16))</f>
        <v>CL-010</v>
      </c>
      <c r="C16" s="53" t="str">
        <f aca="false">IF($N16="","",INDEX('ALL ITEMS'!$A:$A,$N16))</f>
        <v>Cladding, ACP &amp; Facade Panels</v>
      </c>
      <c r="D16" s="53" t="str">
        <f aca="false">IF($N16="","",INDEX('ALL ITEMS'!$D:$D,$N16))</f>
        <v>Aluminium corrugated / profiled sheet</v>
      </c>
      <c r="E16" s="53" t="str">
        <f aca="false">IF($N16="","",INDEX('ALL ITEMS'!$E:$E,$N16))</f>
        <v>0.7 mm</v>
      </c>
      <c r="F16" s="53" t="str">
        <f aca="false">IF($N16="","",INDEX('ALL ITEMS'!$F:$F,$N16))</f>
        <v>PC / PVDF</v>
      </c>
      <c r="G16" s="53" t="str">
        <f aca="false">IF($N16="","",INDEX('ALL ITEMS'!$G:$G,$N16))</f>
        <v>Local</v>
      </c>
      <c r="H16" s="52" t="str">
        <f aca="false">IF($N16="","",INDEX('ALL ITEMS'!$H:$H,$N16))</f>
        <v>m2</v>
      </c>
      <c r="I16" s="54" t="n">
        <f aca="false">IF($N16="","",INDEX('ALL ITEMS'!$I:$I,$N16))</f>
        <v>71.5</v>
      </c>
      <c r="J16" s="54" t="n">
        <f aca="false">IF($N16="","",INDEX('ALL ITEMS'!$J:$J,$N16))</f>
        <v>85.8</v>
      </c>
      <c r="K16" s="54" t="n">
        <f aca="false">IF($N16="","",INDEX('ALL ITEMS'!$K:$K,$N16))</f>
        <v>90.09</v>
      </c>
      <c r="L16" s="52" t="str">
        <f aca="false">IF($N16="","",INDEX('ALL ITEMS'!$L:$L,$N16))</f>
        <v>Indicative</v>
      </c>
      <c r="N16" s="9" t="n">
        <f aca="false">IF(ROWS($N$10:N16)&gt;$C$7,"",SMALL('ALL ITEMS'!$M$3:$M$764,ROWS($N$10:N16)))</f>
        <v>416</v>
      </c>
    </row>
    <row r="17" customFormat="false" ht="22.35" hidden="false" customHeight="false" outlineLevel="0" collapsed="false">
      <c r="A17" s="52" t="n">
        <f aca="false">IF($N17="","",ROWS($N$10:N17))</f>
        <v>8</v>
      </c>
      <c r="B17" s="52" t="str">
        <f aca="false">IF($N17="","",INDEX('ALL ITEMS'!$B:$B,$N17))</f>
        <v>SI-045</v>
      </c>
      <c r="C17" s="53" t="str">
        <f aca="false">IF($N17="","",INDEX('ALL ITEMS'!$A:$A,$N17))</f>
        <v>Finished Systems - Budget Supply &amp; Install Rates</v>
      </c>
      <c r="D17" s="53" t="str">
        <f aca="false">IF($N17="","",INDEX('ALL ITEMS'!$D:$D,$N17))</f>
        <v>Polycarbonate canopy on MS / aluminium frame</v>
      </c>
      <c r="E17" s="53" t="str">
        <f aca="false">IF($N17="","",INDEX('ALL ITEMS'!$E:$E,$N17))</f>
        <v>10 mm multiwall</v>
      </c>
      <c r="F17" s="53" t="str">
        <f aca="false">IF($N17="","",INDEX('ALL ITEMS'!$F:$F,$N17))</f>
        <v>PC</v>
      </c>
      <c r="G17" s="53" t="str">
        <f aca="false">IF($N17="","",INDEX('ALL ITEMS'!$G:$G,$N17))</f>
        <v>Local</v>
      </c>
      <c r="H17" s="52" t="str">
        <f aca="false">IF($N17="","",INDEX('ALL ITEMS'!$H:$H,$N17))</f>
        <v>m2</v>
      </c>
      <c r="I17" s="54" t="n">
        <f aca="false">IF($N17="","",INDEX('ALL ITEMS'!$I:$I,$N17))</f>
        <v>380</v>
      </c>
      <c r="J17" s="54" t="n">
        <f aca="false">IF($N17="","",INDEX('ALL ITEMS'!$J:$J,$N17))</f>
        <v>456</v>
      </c>
      <c r="K17" s="54" t="n">
        <f aca="false">IF($N17="","",INDEX('ALL ITEMS'!$K:$K,$N17))</f>
        <v>478.8</v>
      </c>
      <c r="L17" s="52" t="str">
        <f aca="false">IF($N17="","",INDEX('ALL ITEMS'!$L:$L,$N17))</f>
        <v>Indicative</v>
      </c>
      <c r="N17" s="9" t="n">
        <f aca="false">IF(ROWS($N$10:N17)&gt;$C$7,"",SMALL('ALL ITEMS'!$M$3:$M$764,ROWS($N$10:N17)))</f>
        <v>738</v>
      </c>
    </row>
    <row r="18" customFormat="false" ht="15" hidden="false" customHeight="false" outlineLevel="0" collapsed="false">
      <c r="A18" s="52" t="str">
        <f aca="false">IF($N18="","",ROWS($N$10:N18))</f>
        <v/>
      </c>
      <c r="B18" s="52" t="str">
        <f aca="false">IF($N18="","",INDEX('ALL ITEMS'!$B:$B,$N18))</f>
        <v/>
      </c>
      <c r="C18" s="53" t="str">
        <f aca="false">IF($N18="","",INDEX('ALL ITEMS'!$A:$A,$N18))</f>
        <v/>
      </c>
      <c r="D18" s="53" t="str">
        <f aca="false">IF($N18="","",INDEX('ALL ITEMS'!$D:$D,$N18))</f>
        <v/>
      </c>
      <c r="E18" s="53" t="str">
        <f aca="false">IF($N18="","",INDEX('ALL ITEMS'!$E:$E,$N18))</f>
        <v/>
      </c>
      <c r="F18" s="53" t="str">
        <f aca="false">IF($N18="","",INDEX('ALL ITEMS'!$F:$F,$N18))</f>
        <v/>
      </c>
      <c r="G18" s="53" t="str">
        <f aca="false">IF($N18="","",INDEX('ALL ITEMS'!$G:$G,$N18))</f>
        <v/>
      </c>
      <c r="H18" s="52" t="str">
        <f aca="false">IF($N18="","",INDEX('ALL ITEMS'!$H:$H,$N18))</f>
        <v/>
      </c>
      <c r="I18" s="54" t="str">
        <f aca="false">IF($N18="","",INDEX('ALL ITEMS'!$I:$I,$N18))</f>
        <v/>
      </c>
      <c r="J18" s="54" t="str">
        <f aca="false">IF($N18="","",INDEX('ALL ITEMS'!$J:$J,$N18))</f>
        <v/>
      </c>
      <c r="K18" s="54" t="str">
        <f aca="false">IF($N18="","",INDEX('ALL ITEMS'!$K:$K,$N18))</f>
        <v/>
      </c>
      <c r="L18" s="52" t="str">
        <f aca="false">IF($N18="","",INDEX('ALL ITEMS'!$L:$L,$N18))</f>
        <v/>
      </c>
      <c r="N18" s="0" t="str">
        <f aca="false">IF(ROWS($N$10:N18)&gt;$C$7,"",SMALL('ALL ITEMS'!$M$3:$M$764,ROWS($N$10:N18)))</f>
        <v/>
      </c>
    </row>
    <row r="19" customFormat="false" ht="15" hidden="false" customHeight="false" outlineLevel="0" collapsed="false">
      <c r="A19" s="52" t="str">
        <f aca="false">IF($N19="","",ROWS($N$10:N19))</f>
        <v/>
      </c>
      <c r="B19" s="52" t="str">
        <f aca="false">IF($N19="","",INDEX('ALL ITEMS'!$B:$B,$N19))</f>
        <v/>
      </c>
      <c r="C19" s="53" t="str">
        <f aca="false">IF($N19="","",INDEX('ALL ITEMS'!$A:$A,$N19))</f>
        <v/>
      </c>
      <c r="D19" s="53" t="str">
        <f aca="false">IF($N19="","",INDEX('ALL ITEMS'!$D:$D,$N19))</f>
        <v/>
      </c>
      <c r="E19" s="53" t="str">
        <f aca="false">IF($N19="","",INDEX('ALL ITEMS'!$E:$E,$N19))</f>
        <v/>
      </c>
      <c r="F19" s="53" t="str">
        <f aca="false">IF($N19="","",INDEX('ALL ITEMS'!$F:$F,$N19))</f>
        <v/>
      </c>
      <c r="G19" s="53" t="str">
        <f aca="false">IF($N19="","",INDEX('ALL ITEMS'!$G:$G,$N19))</f>
        <v/>
      </c>
      <c r="H19" s="52" t="str">
        <f aca="false">IF($N19="","",INDEX('ALL ITEMS'!$H:$H,$N19))</f>
        <v/>
      </c>
      <c r="I19" s="54" t="str">
        <f aca="false">IF($N19="","",INDEX('ALL ITEMS'!$I:$I,$N19))</f>
        <v/>
      </c>
      <c r="J19" s="54" t="str">
        <f aca="false">IF($N19="","",INDEX('ALL ITEMS'!$J:$J,$N19))</f>
        <v/>
      </c>
      <c r="K19" s="54" t="str">
        <f aca="false">IF($N19="","",INDEX('ALL ITEMS'!$K:$K,$N19))</f>
        <v/>
      </c>
      <c r="L19" s="52" t="str">
        <f aca="false">IF($N19="","",INDEX('ALL ITEMS'!$L:$L,$N19))</f>
        <v/>
      </c>
      <c r="N19" s="0" t="str">
        <f aca="false">IF(ROWS($N$10:N19)&gt;$C$7,"",SMALL('ALL ITEMS'!$M$3:$M$764,ROWS($N$10:N19)))</f>
        <v/>
      </c>
    </row>
    <row r="20" customFormat="false" ht="15" hidden="false" customHeight="false" outlineLevel="0" collapsed="false">
      <c r="A20" s="52" t="str">
        <f aca="false">IF($N20="","",ROWS($N$10:N20))</f>
        <v/>
      </c>
      <c r="B20" s="52" t="str">
        <f aca="false">IF($N20="","",INDEX('ALL ITEMS'!$B:$B,$N20))</f>
        <v/>
      </c>
      <c r="C20" s="53" t="str">
        <f aca="false">IF($N20="","",INDEX('ALL ITEMS'!$A:$A,$N20))</f>
        <v/>
      </c>
      <c r="D20" s="53" t="str">
        <f aca="false">IF($N20="","",INDEX('ALL ITEMS'!$D:$D,$N20))</f>
        <v/>
      </c>
      <c r="E20" s="53" t="str">
        <f aca="false">IF($N20="","",INDEX('ALL ITEMS'!$E:$E,$N20))</f>
        <v/>
      </c>
      <c r="F20" s="53" t="str">
        <f aca="false">IF($N20="","",INDEX('ALL ITEMS'!$F:$F,$N20))</f>
        <v/>
      </c>
      <c r="G20" s="53" t="str">
        <f aca="false">IF($N20="","",INDEX('ALL ITEMS'!$G:$G,$N20))</f>
        <v/>
      </c>
      <c r="H20" s="52" t="str">
        <f aca="false">IF($N20="","",INDEX('ALL ITEMS'!$H:$H,$N20))</f>
        <v/>
      </c>
      <c r="I20" s="54" t="str">
        <f aca="false">IF($N20="","",INDEX('ALL ITEMS'!$I:$I,$N20))</f>
        <v/>
      </c>
      <c r="J20" s="54" t="str">
        <f aca="false">IF($N20="","",INDEX('ALL ITEMS'!$J:$J,$N20))</f>
        <v/>
      </c>
      <c r="K20" s="54" t="str">
        <f aca="false">IF($N20="","",INDEX('ALL ITEMS'!$K:$K,$N20))</f>
        <v/>
      </c>
      <c r="L20" s="52" t="str">
        <f aca="false">IF($N20="","",INDEX('ALL ITEMS'!$L:$L,$N20))</f>
        <v/>
      </c>
      <c r="N20" s="0" t="str">
        <f aca="false">IF(ROWS($N$10:N20)&gt;$C$7,"",SMALL('ALL ITEMS'!$M$3:$M$764,ROWS($N$10:N20)))</f>
        <v/>
      </c>
    </row>
    <row r="21" customFormat="false" ht="15" hidden="false" customHeight="false" outlineLevel="0" collapsed="false">
      <c r="A21" s="52" t="str">
        <f aca="false">IF($N21="","",ROWS($N$10:N21))</f>
        <v/>
      </c>
      <c r="B21" s="52" t="str">
        <f aca="false">IF($N21="","",INDEX('ALL ITEMS'!$B:$B,$N21))</f>
        <v/>
      </c>
      <c r="C21" s="53" t="str">
        <f aca="false">IF($N21="","",INDEX('ALL ITEMS'!$A:$A,$N21))</f>
        <v/>
      </c>
      <c r="D21" s="53" t="str">
        <f aca="false">IF($N21="","",INDEX('ALL ITEMS'!$D:$D,$N21))</f>
        <v/>
      </c>
      <c r="E21" s="53" t="str">
        <f aca="false">IF($N21="","",INDEX('ALL ITEMS'!$E:$E,$N21))</f>
        <v/>
      </c>
      <c r="F21" s="53" t="str">
        <f aca="false">IF($N21="","",INDEX('ALL ITEMS'!$F:$F,$N21))</f>
        <v/>
      </c>
      <c r="G21" s="53" t="str">
        <f aca="false">IF($N21="","",INDEX('ALL ITEMS'!$G:$G,$N21))</f>
        <v/>
      </c>
      <c r="H21" s="52" t="str">
        <f aca="false">IF($N21="","",INDEX('ALL ITEMS'!$H:$H,$N21))</f>
        <v/>
      </c>
      <c r="I21" s="54" t="str">
        <f aca="false">IF($N21="","",INDEX('ALL ITEMS'!$I:$I,$N21))</f>
        <v/>
      </c>
      <c r="J21" s="54" t="str">
        <f aca="false">IF($N21="","",INDEX('ALL ITEMS'!$J:$J,$N21))</f>
        <v/>
      </c>
      <c r="K21" s="54" t="str">
        <f aca="false">IF($N21="","",INDEX('ALL ITEMS'!$K:$K,$N21))</f>
        <v/>
      </c>
      <c r="L21" s="52" t="str">
        <f aca="false">IF($N21="","",INDEX('ALL ITEMS'!$L:$L,$N21))</f>
        <v/>
      </c>
      <c r="N21" s="0" t="str">
        <f aca="false">IF(ROWS($N$10:N21)&gt;$C$7,"",SMALL('ALL ITEMS'!$M$3:$M$764,ROWS($N$10:N21)))</f>
        <v/>
      </c>
    </row>
    <row r="22" customFormat="false" ht="15" hidden="false" customHeight="false" outlineLevel="0" collapsed="false">
      <c r="A22" s="52" t="str">
        <f aca="false">IF($N22="","",ROWS($N$10:N22))</f>
        <v/>
      </c>
      <c r="B22" s="52" t="str">
        <f aca="false">IF($N22="","",INDEX('ALL ITEMS'!$B:$B,$N22))</f>
        <v/>
      </c>
      <c r="C22" s="53" t="str">
        <f aca="false">IF($N22="","",INDEX('ALL ITEMS'!$A:$A,$N22))</f>
        <v/>
      </c>
      <c r="D22" s="53" t="str">
        <f aca="false">IF($N22="","",INDEX('ALL ITEMS'!$D:$D,$N22))</f>
        <v/>
      </c>
      <c r="E22" s="53" t="str">
        <f aca="false">IF($N22="","",INDEX('ALL ITEMS'!$E:$E,$N22))</f>
        <v/>
      </c>
      <c r="F22" s="53" t="str">
        <f aca="false">IF($N22="","",INDEX('ALL ITEMS'!$F:$F,$N22))</f>
        <v/>
      </c>
      <c r="G22" s="53" t="str">
        <f aca="false">IF($N22="","",INDEX('ALL ITEMS'!$G:$G,$N22))</f>
        <v/>
      </c>
      <c r="H22" s="52" t="str">
        <f aca="false">IF($N22="","",INDEX('ALL ITEMS'!$H:$H,$N22))</f>
        <v/>
      </c>
      <c r="I22" s="54" t="str">
        <f aca="false">IF($N22="","",INDEX('ALL ITEMS'!$I:$I,$N22))</f>
        <v/>
      </c>
      <c r="J22" s="54" t="str">
        <f aca="false">IF($N22="","",INDEX('ALL ITEMS'!$J:$J,$N22))</f>
        <v/>
      </c>
      <c r="K22" s="54" t="str">
        <f aca="false">IF($N22="","",INDEX('ALL ITEMS'!$K:$K,$N22))</f>
        <v/>
      </c>
      <c r="L22" s="52" t="str">
        <f aca="false">IF($N22="","",INDEX('ALL ITEMS'!$L:$L,$N22))</f>
        <v/>
      </c>
      <c r="N22" s="0" t="str">
        <f aca="false">IF(ROWS($N$10:N22)&gt;$C$7,"",SMALL('ALL ITEMS'!$M$3:$M$764,ROWS($N$10:N22)))</f>
        <v/>
      </c>
    </row>
    <row r="23" customFormat="false" ht="15" hidden="false" customHeight="false" outlineLevel="0" collapsed="false">
      <c r="A23" s="52" t="str">
        <f aca="false">IF($N23="","",ROWS($N$10:N23))</f>
        <v/>
      </c>
      <c r="B23" s="52" t="str">
        <f aca="false">IF($N23="","",INDEX('ALL ITEMS'!$B:$B,$N23))</f>
        <v/>
      </c>
      <c r="C23" s="53" t="str">
        <f aca="false">IF($N23="","",INDEX('ALL ITEMS'!$A:$A,$N23))</f>
        <v/>
      </c>
      <c r="D23" s="53" t="str">
        <f aca="false">IF($N23="","",INDEX('ALL ITEMS'!$D:$D,$N23))</f>
        <v/>
      </c>
      <c r="E23" s="53" t="str">
        <f aca="false">IF($N23="","",INDEX('ALL ITEMS'!$E:$E,$N23))</f>
        <v/>
      </c>
      <c r="F23" s="53" t="str">
        <f aca="false">IF($N23="","",INDEX('ALL ITEMS'!$F:$F,$N23))</f>
        <v/>
      </c>
      <c r="G23" s="53" t="str">
        <f aca="false">IF($N23="","",INDEX('ALL ITEMS'!$G:$G,$N23))</f>
        <v/>
      </c>
      <c r="H23" s="52" t="str">
        <f aca="false">IF($N23="","",INDEX('ALL ITEMS'!$H:$H,$N23))</f>
        <v/>
      </c>
      <c r="I23" s="54" t="str">
        <f aca="false">IF($N23="","",INDEX('ALL ITEMS'!$I:$I,$N23))</f>
        <v/>
      </c>
      <c r="J23" s="54" t="str">
        <f aca="false">IF($N23="","",INDEX('ALL ITEMS'!$J:$J,$N23))</f>
        <v/>
      </c>
      <c r="K23" s="54" t="str">
        <f aca="false">IF($N23="","",INDEX('ALL ITEMS'!$K:$K,$N23))</f>
        <v/>
      </c>
      <c r="L23" s="52" t="str">
        <f aca="false">IF($N23="","",INDEX('ALL ITEMS'!$L:$L,$N23))</f>
        <v/>
      </c>
      <c r="N23" s="0" t="str">
        <f aca="false">IF(ROWS($N$10:N23)&gt;$C$7,"",SMALL('ALL ITEMS'!$M$3:$M$764,ROWS($N$10:N23)))</f>
        <v/>
      </c>
    </row>
    <row r="24" customFormat="false" ht="15" hidden="false" customHeight="false" outlineLevel="0" collapsed="false">
      <c r="A24" s="52" t="str">
        <f aca="false">IF($N24="","",ROWS($N$10:N24))</f>
        <v/>
      </c>
      <c r="B24" s="52" t="str">
        <f aca="false">IF($N24="","",INDEX('ALL ITEMS'!$B:$B,$N24))</f>
        <v/>
      </c>
      <c r="C24" s="53" t="str">
        <f aca="false">IF($N24="","",INDEX('ALL ITEMS'!$A:$A,$N24))</f>
        <v/>
      </c>
      <c r="D24" s="53" t="str">
        <f aca="false">IF($N24="","",INDEX('ALL ITEMS'!$D:$D,$N24))</f>
        <v/>
      </c>
      <c r="E24" s="53" t="str">
        <f aca="false">IF($N24="","",INDEX('ALL ITEMS'!$E:$E,$N24))</f>
        <v/>
      </c>
      <c r="F24" s="53" t="str">
        <f aca="false">IF($N24="","",INDEX('ALL ITEMS'!$F:$F,$N24))</f>
        <v/>
      </c>
      <c r="G24" s="53" t="str">
        <f aca="false">IF($N24="","",INDEX('ALL ITEMS'!$G:$G,$N24))</f>
        <v/>
      </c>
      <c r="H24" s="52" t="str">
        <f aca="false">IF($N24="","",INDEX('ALL ITEMS'!$H:$H,$N24))</f>
        <v/>
      </c>
      <c r="I24" s="54" t="str">
        <f aca="false">IF($N24="","",INDEX('ALL ITEMS'!$I:$I,$N24))</f>
        <v/>
      </c>
      <c r="J24" s="54" t="str">
        <f aca="false">IF($N24="","",INDEX('ALL ITEMS'!$J:$J,$N24))</f>
        <v/>
      </c>
      <c r="K24" s="54" t="str">
        <f aca="false">IF($N24="","",INDEX('ALL ITEMS'!$K:$K,$N24))</f>
        <v/>
      </c>
      <c r="L24" s="52" t="str">
        <f aca="false">IF($N24="","",INDEX('ALL ITEMS'!$L:$L,$N24))</f>
        <v/>
      </c>
      <c r="N24" s="0" t="str">
        <f aca="false">IF(ROWS($N$10:N24)&gt;$C$7,"",SMALL('ALL ITEMS'!$M$3:$M$764,ROWS($N$10:N24)))</f>
        <v/>
      </c>
    </row>
    <row r="25" customFormat="false" ht="15" hidden="false" customHeight="false" outlineLevel="0" collapsed="false">
      <c r="A25" s="52" t="str">
        <f aca="false">IF($N25="","",ROWS($N$10:N25))</f>
        <v/>
      </c>
      <c r="B25" s="52" t="str">
        <f aca="false">IF($N25="","",INDEX('ALL ITEMS'!$B:$B,$N25))</f>
        <v/>
      </c>
      <c r="C25" s="53" t="str">
        <f aca="false">IF($N25="","",INDEX('ALL ITEMS'!$A:$A,$N25))</f>
        <v/>
      </c>
      <c r="D25" s="53" t="str">
        <f aca="false">IF($N25="","",INDEX('ALL ITEMS'!$D:$D,$N25))</f>
        <v/>
      </c>
      <c r="E25" s="53" t="str">
        <f aca="false">IF($N25="","",INDEX('ALL ITEMS'!$E:$E,$N25))</f>
        <v/>
      </c>
      <c r="F25" s="53" t="str">
        <f aca="false">IF($N25="","",INDEX('ALL ITEMS'!$F:$F,$N25))</f>
        <v/>
      </c>
      <c r="G25" s="53" t="str">
        <f aca="false">IF($N25="","",INDEX('ALL ITEMS'!$G:$G,$N25))</f>
        <v/>
      </c>
      <c r="H25" s="52" t="str">
        <f aca="false">IF($N25="","",INDEX('ALL ITEMS'!$H:$H,$N25))</f>
        <v/>
      </c>
      <c r="I25" s="54" t="str">
        <f aca="false">IF($N25="","",INDEX('ALL ITEMS'!$I:$I,$N25))</f>
        <v/>
      </c>
      <c r="J25" s="54" t="str">
        <f aca="false">IF($N25="","",INDEX('ALL ITEMS'!$J:$J,$N25))</f>
        <v/>
      </c>
      <c r="K25" s="54" t="str">
        <f aca="false">IF($N25="","",INDEX('ALL ITEMS'!$K:$K,$N25))</f>
        <v/>
      </c>
      <c r="L25" s="52" t="str">
        <f aca="false">IF($N25="","",INDEX('ALL ITEMS'!$L:$L,$N25))</f>
        <v/>
      </c>
      <c r="N25" s="0" t="str">
        <f aca="false">IF(ROWS($N$10:N25)&gt;$C$7,"",SMALL('ALL ITEMS'!$M$3:$M$764,ROWS($N$10:N25)))</f>
        <v/>
      </c>
    </row>
    <row r="26" customFormat="false" ht="15" hidden="false" customHeight="false" outlineLevel="0" collapsed="false">
      <c r="A26" s="52" t="str">
        <f aca="false">IF($N26="","",ROWS($N$10:N26))</f>
        <v/>
      </c>
      <c r="B26" s="52" t="str">
        <f aca="false">IF($N26="","",INDEX('ALL ITEMS'!$B:$B,$N26))</f>
        <v/>
      </c>
      <c r="C26" s="53" t="str">
        <f aca="false">IF($N26="","",INDEX('ALL ITEMS'!$A:$A,$N26))</f>
        <v/>
      </c>
      <c r="D26" s="53" t="str">
        <f aca="false">IF($N26="","",INDEX('ALL ITEMS'!$D:$D,$N26))</f>
        <v/>
      </c>
      <c r="E26" s="53" t="str">
        <f aca="false">IF($N26="","",INDEX('ALL ITEMS'!$E:$E,$N26))</f>
        <v/>
      </c>
      <c r="F26" s="53" t="str">
        <f aca="false">IF($N26="","",INDEX('ALL ITEMS'!$F:$F,$N26))</f>
        <v/>
      </c>
      <c r="G26" s="53" t="str">
        <f aca="false">IF($N26="","",INDEX('ALL ITEMS'!$G:$G,$N26))</f>
        <v/>
      </c>
      <c r="H26" s="52" t="str">
        <f aca="false">IF($N26="","",INDEX('ALL ITEMS'!$H:$H,$N26))</f>
        <v/>
      </c>
      <c r="I26" s="54" t="str">
        <f aca="false">IF($N26="","",INDEX('ALL ITEMS'!$I:$I,$N26))</f>
        <v/>
      </c>
      <c r="J26" s="54" t="str">
        <f aca="false">IF($N26="","",INDEX('ALL ITEMS'!$J:$J,$N26))</f>
        <v/>
      </c>
      <c r="K26" s="54" t="str">
        <f aca="false">IF($N26="","",INDEX('ALL ITEMS'!$K:$K,$N26))</f>
        <v/>
      </c>
      <c r="L26" s="52" t="str">
        <f aca="false">IF($N26="","",INDEX('ALL ITEMS'!$L:$L,$N26))</f>
        <v/>
      </c>
      <c r="N26" s="0" t="str">
        <f aca="false">IF(ROWS($N$10:N26)&gt;$C$7,"",SMALL('ALL ITEMS'!$M$3:$M$764,ROWS($N$10:N26)))</f>
        <v/>
      </c>
    </row>
    <row r="27" customFormat="false" ht="15" hidden="false" customHeight="false" outlineLevel="0" collapsed="false">
      <c r="A27" s="52" t="str">
        <f aca="false">IF($N27="","",ROWS($N$10:N27))</f>
        <v/>
      </c>
      <c r="B27" s="52" t="str">
        <f aca="false">IF($N27="","",INDEX('ALL ITEMS'!$B:$B,$N27))</f>
        <v/>
      </c>
      <c r="C27" s="53" t="str">
        <f aca="false">IF($N27="","",INDEX('ALL ITEMS'!$A:$A,$N27))</f>
        <v/>
      </c>
      <c r="D27" s="53" t="str">
        <f aca="false">IF($N27="","",INDEX('ALL ITEMS'!$D:$D,$N27))</f>
        <v/>
      </c>
      <c r="E27" s="53" t="str">
        <f aca="false">IF($N27="","",INDEX('ALL ITEMS'!$E:$E,$N27))</f>
        <v/>
      </c>
      <c r="F27" s="53" t="str">
        <f aca="false">IF($N27="","",INDEX('ALL ITEMS'!$F:$F,$N27))</f>
        <v/>
      </c>
      <c r="G27" s="53" t="str">
        <f aca="false">IF($N27="","",INDEX('ALL ITEMS'!$G:$G,$N27))</f>
        <v/>
      </c>
      <c r="H27" s="52" t="str">
        <f aca="false">IF($N27="","",INDEX('ALL ITEMS'!$H:$H,$N27))</f>
        <v/>
      </c>
      <c r="I27" s="54" t="str">
        <f aca="false">IF($N27="","",INDEX('ALL ITEMS'!$I:$I,$N27))</f>
        <v/>
      </c>
      <c r="J27" s="54" t="str">
        <f aca="false">IF($N27="","",INDEX('ALL ITEMS'!$J:$J,$N27))</f>
        <v/>
      </c>
      <c r="K27" s="54" t="str">
        <f aca="false">IF($N27="","",INDEX('ALL ITEMS'!$K:$K,$N27))</f>
        <v/>
      </c>
      <c r="L27" s="52" t="str">
        <f aca="false">IF($N27="","",INDEX('ALL ITEMS'!$L:$L,$N27))</f>
        <v/>
      </c>
      <c r="N27" s="0" t="str">
        <f aca="false">IF(ROWS($N$10:N27)&gt;$C$7,"",SMALL('ALL ITEMS'!$M$3:$M$764,ROWS($N$10:N27)))</f>
        <v/>
      </c>
    </row>
    <row r="28" customFormat="false" ht="15" hidden="false" customHeight="false" outlineLevel="0" collapsed="false">
      <c r="A28" s="52" t="str">
        <f aca="false">IF($N28="","",ROWS($N$10:N28))</f>
        <v/>
      </c>
      <c r="B28" s="52" t="str">
        <f aca="false">IF($N28="","",INDEX('ALL ITEMS'!$B:$B,$N28))</f>
        <v/>
      </c>
      <c r="C28" s="53" t="str">
        <f aca="false">IF($N28="","",INDEX('ALL ITEMS'!$A:$A,$N28))</f>
        <v/>
      </c>
      <c r="D28" s="53" t="str">
        <f aca="false">IF($N28="","",INDEX('ALL ITEMS'!$D:$D,$N28))</f>
        <v/>
      </c>
      <c r="E28" s="53" t="str">
        <f aca="false">IF($N28="","",INDEX('ALL ITEMS'!$E:$E,$N28))</f>
        <v/>
      </c>
      <c r="F28" s="53" t="str">
        <f aca="false">IF($N28="","",INDEX('ALL ITEMS'!$F:$F,$N28))</f>
        <v/>
      </c>
      <c r="G28" s="53" t="str">
        <f aca="false">IF($N28="","",INDEX('ALL ITEMS'!$G:$G,$N28))</f>
        <v/>
      </c>
      <c r="H28" s="52" t="str">
        <f aca="false">IF($N28="","",INDEX('ALL ITEMS'!$H:$H,$N28))</f>
        <v/>
      </c>
      <c r="I28" s="54" t="str">
        <f aca="false">IF($N28="","",INDEX('ALL ITEMS'!$I:$I,$N28))</f>
        <v/>
      </c>
      <c r="J28" s="54" t="str">
        <f aca="false">IF($N28="","",INDEX('ALL ITEMS'!$J:$J,$N28))</f>
        <v/>
      </c>
      <c r="K28" s="54" t="str">
        <f aca="false">IF($N28="","",INDEX('ALL ITEMS'!$K:$K,$N28))</f>
        <v/>
      </c>
      <c r="L28" s="52" t="str">
        <f aca="false">IF($N28="","",INDEX('ALL ITEMS'!$L:$L,$N28))</f>
        <v/>
      </c>
      <c r="N28" s="0" t="str">
        <f aca="false">IF(ROWS($N$10:N28)&gt;$C$7,"",SMALL('ALL ITEMS'!$M$3:$M$764,ROWS($N$10:N28)))</f>
        <v/>
      </c>
    </row>
    <row r="29" customFormat="false" ht="15" hidden="false" customHeight="false" outlineLevel="0" collapsed="false">
      <c r="A29" s="52" t="str">
        <f aca="false">IF($N29="","",ROWS($N$10:N29))</f>
        <v/>
      </c>
      <c r="B29" s="52" t="str">
        <f aca="false">IF($N29="","",INDEX('ALL ITEMS'!$B:$B,$N29))</f>
        <v/>
      </c>
      <c r="C29" s="53" t="str">
        <f aca="false">IF($N29="","",INDEX('ALL ITEMS'!$A:$A,$N29))</f>
        <v/>
      </c>
      <c r="D29" s="53" t="str">
        <f aca="false">IF($N29="","",INDEX('ALL ITEMS'!$D:$D,$N29))</f>
        <v/>
      </c>
      <c r="E29" s="53" t="str">
        <f aca="false">IF($N29="","",INDEX('ALL ITEMS'!$E:$E,$N29))</f>
        <v/>
      </c>
      <c r="F29" s="53" t="str">
        <f aca="false">IF($N29="","",INDEX('ALL ITEMS'!$F:$F,$N29))</f>
        <v/>
      </c>
      <c r="G29" s="53" t="str">
        <f aca="false">IF($N29="","",INDEX('ALL ITEMS'!$G:$G,$N29))</f>
        <v/>
      </c>
      <c r="H29" s="52" t="str">
        <f aca="false">IF($N29="","",INDEX('ALL ITEMS'!$H:$H,$N29))</f>
        <v/>
      </c>
      <c r="I29" s="54" t="str">
        <f aca="false">IF($N29="","",INDEX('ALL ITEMS'!$I:$I,$N29))</f>
        <v/>
      </c>
      <c r="J29" s="54" t="str">
        <f aca="false">IF($N29="","",INDEX('ALL ITEMS'!$J:$J,$N29))</f>
        <v/>
      </c>
      <c r="K29" s="54" t="str">
        <f aca="false">IF($N29="","",INDEX('ALL ITEMS'!$K:$K,$N29))</f>
        <v/>
      </c>
      <c r="L29" s="52" t="str">
        <f aca="false">IF($N29="","",INDEX('ALL ITEMS'!$L:$L,$N29))</f>
        <v/>
      </c>
      <c r="N29" s="0" t="str">
        <f aca="false">IF(ROWS($N$10:N29)&gt;$C$7,"",SMALL('ALL ITEMS'!$M$3:$M$764,ROWS($N$10:N29)))</f>
        <v/>
      </c>
    </row>
    <row r="30" customFormat="false" ht="15" hidden="false" customHeight="false" outlineLevel="0" collapsed="false">
      <c r="A30" s="52" t="str">
        <f aca="false">IF($N30="","",ROWS($N$10:N30))</f>
        <v/>
      </c>
      <c r="B30" s="52" t="str">
        <f aca="false">IF($N30="","",INDEX('ALL ITEMS'!$B:$B,$N30))</f>
        <v/>
      </c>
      <c r="C30" s="53" t="str">
        <f aca="false">IF($N30="","",INDEX('ALL ITEMS'!$A:$A,$N30))</f>
        <v/>
      </c>
      <c r="D30" s="53" t="str">
        <f aca="false">IF($N30="","",INDEX('ALL ITEMS'!$D:$D,$N30))</f>
        <v/>
      </c>
      <c r="E30" s="53" t="str">
        <f aca="false">IF($N30="","",INDEX('ALL ITEMS'!$E:$E,$N30))</f>
        <v/>
      </c>
      <c r="F30" s="53" t="str">
        <f aca="false">IF($N30="","",INDEX('ALL ITEMS'!$F:$F,$N30))</f>
        <v/>
      </c>
      <c r="G30" s="53" t="str">
        <f aca="false">IF($N30="","",INDEX('ALL ITEMS'!$G:$G,$N30))</f>
        <v/>
      </c>
      <c r="H30" s="52" t="str">
        <f aca="false">IF($N30="","",INDEX('ALL ITEMS'!$H:$H,$N30))</f>
        <v/>
      </c>
      <c r="I30" s="54" t="str">
        <f aca="false">IF($N30="","",INDEX('ALL ITEMS'!$I:$I,$N30))</f>
        <v/>
      </c>
      <c r="J30" s="54" t="str">
        <f aca="false">IF($N30="","",INDEX('ALL ITEMS'!$J:$J,$N30))</f>
        <v/>
      </c>
      <c r="K30" s="54" t="str">
        <f aca="false">IF($N30="","",INDEX('ALL ITEMS'!$K:$K,$N30))</f>
        <v/>
      </c>
      <c r="L30" s="52" t="str">
        <f aca="false">IF($N30="","",INDEX('ALL ITEMS'!$L:$L,$N30))</f>
        <v/>
      </c>
      <c r="N30" s="0" t="str">
        <f aca="false">IF(ROWS($N$10:N30)&gt;$C$7,"",SMALL('ALL ITEMS'!$M$3:$M$764,ROWS($N$10:N30)))</f>
        <v/>
      </c>
    </row>
    <row r="31" customFormat="false" ht="15" hidden="false" customHeight="false" outlineLevel="0" collapsed="false">
      <c r="A31" s="52" t="str">
        <f aca="false">IF($N31="","",ROWS($N$10:N31))</f>
        <v/>
      </c>
      <c r="B31" s="52" t="str">
        <f aca="false">IF($N31="","",INDEX('ALL ITEMS'!$B:$B,$N31))</f>
        <v/>
      </c>
      <c r="C31" s="53" t="str">
        <f aca="false">IF($N31="","",INDEX('ALL ITEMS'!$A:$A,$N31))</f>
        <v/>
      </c>
      <c r="D31" s="53" t="str">
        <f aca="false">IF($N31="","",INDEX('ALL ITEMS'!$D:$D,$N31))</f>
        <v/>
      </c>
      <c r="E31" s="53" t="str">
        <f aca="false">IF($N31="","",INDEX('ALL ITEMS'!$E:$E,$N31))</f>
        <v/>
      </c>
      <c r="F31" s="53" t="str">
        <f aca="false">IF($N31="","",INDEX('ALL ITEMS'!$F:$F,$N31))</f>
        <v/>
      </c>
      <c r="G31" s="53" t="str">
        <f aca="false">IF($N31="","",INDEX('ALL ITEMS'!$G:$G,$N31))</f>
        <v/>
      </c>
      <c r="H31" s="52" t="str">
        <f aca="false">IF($N31="","",INDEX('ALL ITEMS'!$H:$H,$N31))</f>
        <v/>
      </c>
      <c r="I31" s="54" t="str">
        <f aca="false">IF($N31="","",INDEX('ALL ITEMS'!$I:$I,$N31))</f>
        <v/>
      </c>
      <c r="J31" s="54" t="str">
        <f aca="false">IF($N31="","",INDEX('ALL ITEMS'!$J:$J,$N31))</f>
        <v/>
      </c>
      <c r="K31" s="54" t="str">
        <f aca="false">IF($N31="","",INDEX('ALL ITEMS'!$K:$K,$N31))</f>
        <v/>
      </c>
      <c r="L31" s="52" t="str">
        <f aca="false">IF($N31="","",INDEX('ALL ITEMS'!$L:$L,$N31))</f>
        <v/>
      </c>
      <c r="N31" s="0" t="str">
        <f aca="false">IF(ROWS($N$10:N31)&gt;$C$7,"",SMALL('ALL ITEMS'!$M$3:$M$764,ROWS($N$10:N31)))</f>
        <v/>
      </c>
    </row>
    <row r="32" customFormat="false" ht="15" hidden="false" customHeight="false" outlineLevel="0" collapsed="false">
      <c r="A32" s="52" t="str">
        <f aca="false">IF($N32="","",ROWS($N$10:N32))</f>
        <v/>
      </c>
      <c r="B32" s="52" t="str">
        <f aca="false">IF($N32="","",INDEX('ALL ITEMS'!$B:$B,$N32))</f>
        <v/>
      </c>
      <c r="C32" s="53" t="str">
        <f aca="false">IF($N32="","",INDEX('ALL ITEMS'!$A:$A,$N32))</f>
        <v/>
      </c>
      <c r="D32" s="53" t="str">
        <f aca="false">IF($N32="","",INDEX('ALL ITEMS'!$D:$D,$N32))</f>
        <v/>
      </c>
      <c r="E32" s="53" t="str">
        <f aca="false">IF($N32="","",INDEX('ALL ITEMS'!$E:$E,$N32))</f>
        <v/>
      </c>
      <c r="F32" s="53" t="str">
        <f aca="false">IF($N32="","",INDEX('ALL ITEMS'!$F:$F,$N32))</f>
        <v/>
      </c>
      <c r="G32" s="53" t="str">
        <f aca="false">IF($N32="","",INDEX('ALL ITEMS'!$G:$G,$N32))</f>
        <v/>
      </c>
      <c r="H32" s="52" t="str">
        <f aca="false">IF($N32="","",INDEX('ALL ITEMS'!$H:$H,$N32))</f>
        <v/>
      </c>
      <c r="I32" s="54" t="str">
        <f aca="false">IF($N32="","",INDEX('ALL ITEMS'!$I:$I,$N32))</f>
        <v/>
      </c>
      <c r="J32" s="54" t="str">
        <f aca="false">IF($N32="","",INDEX('ALL ITEMS'!$J:$J,$N32))</f>
        <v/>
      </c>
      <c r="K32" s="54" t="str">
        <f aca="false">IF($N32="","",INDEX('ALL ITEMS'!$K:$K,$N32))</f>
        <v/>
      </c>
      <c r="L32" s="52" t="str">
        <f aca="false">IF($N32="","",INDEX('ALL ITEMS'!$L:$L,$N32))</f>
        <v/>
      </c>
      <c r="N32" s="0" t="str">
        <f aca="false">IF(ROWS($N$10:N32)&gt;$C$7,"",SMALL('ALL ITEMS'!$M$3:$M$764,ROWS($N$10:N32)))</f>
        <v/>
      </c>
    </row>
    <row r="33" customFormat="false" ht="15" hidden="false" customHeight="false" outlineLevel="0" collapsed="false">
      <c r="A33" s="52" t="str">
        <f aca="false">IF($N33="","",ROWS($N$10:N33))</f>
        <v/>
      </c>
      <c r="B33" s="52" t="str">
        <f aca="false">IF($N33="","",INDEX('ALL ITEMS'!$B:$B,$N33))</f>
        <v/>
      </c>
      <c r="C33" s="53" t="str">
        <f aca="false">IF($N33="","",INDEX('ALL ITEMS'!$A:$A,$N33))</f>
        <v/>
      </c>
      <c r="D33" s="53" t="str">
        <f aca="false">IF($N33="","",INDEX('ALL ITEMS'!$D:$D,$N33))</f>
        <v/>
      </c>
      <c r="E33" s="53" t="str">
        <f aca="false">IF($N33="","",INDEX('ALL ITEMS'!$E:$E,$N33))</f>
        <v/>
      </c>
      <c r="F33" s="53" t="str">
        <f aca="false">IF($N33="","",INDEX('ALL ITEMS'!$F:$F,$N33))</f>
        <v/>
      </c>
      <c r="G33" s="53" t="str">
        <f aca="false">IF($N33="","",INDEX('ALL ITEMS'!$G:$G,$N33))</f>
        <v/>
      </c>
      <c r="H33" s="52" t="str">
        <f aca="false">IF($N33="","",INDEX('ALL ITEMS'!$H:$H,$N33))</f>
        <v/>
      </c>
      <c r="I33" s="54" t="str">
        <f aca="false">IF($N33="","",INDEX('ALL ITEMS'!$I:$I,$N33))</f>
        <v/>
      </c>
      <c r="J33" s="54" t="str">
        <f aca="false">IF($N33="","",INDEX('ALL ITEMS'!$J:$J,$N33))</f>
        <v/>
      </c>
      <c r="K33" s="54" t="str">
        <f aca="false">IF($N33="","",INDEX('ALL ITEMS'!$K:$K,$N33))</f>
        <v/>
      </c>
      <c r="L33" s="52" t="str">
        <f aca="false">IF($N33="","",INDEX('ALL ITEMS'!$L:$L,$N33))</f>
        <v/>
      </c>
      <c r="N33" s="0" t="str">
        <f aca="false">IF(ROWS($N$10:N33)&gt;$C$7,"",SMALL('ALL ITEMS'!$M$3:$M$764,ROWS($N$10:N33)))</f>
        <v/>
      </c>
    </row>
    <row r="34" customFormat="false" ht="15" hidden="false" customHeight="false" outlineLevel="0" collapsed="false">
      <c r="A34" s="52" t="str">
        <f aca="false">IF($N34="","",ROWS($N$10:N34))</f>
        <v/>
      </c>
      <c r="B34" s="52" t="str">
        <f aca="false">IF($N34="","",INDEX('ALL ITEMS'!$B:$B,$N34))</f>
        <v/>
      </c>
      <c r="C34" s="53" t="str">
        <f aca="false">IF($N34="","",INDEX('ALL ITEMS'!$A:$A,$N34))</f>
        <v/>
      </c>
      <c r="D34" s="53" t="str">
        <f aca="false">IF($N34="","",INDEX('ALL ITEMS'!$D:$D,$N34))</f>
        <v/>
      </c>
      <c r="E34" s="53" t="str">
        <f aca="false">IF($N34="","",INDEX('ALL ITEMS'!$E:$E,$N34))</f>
        <v/>
      </c>
      <c r="F34" s="53" t="str">
        <f aca="false">IF($N34="","",INDEX('ALL ITEMS'!$F:$F,$N34))</f>
        <v/>
      </c>
      <c r="G34" s="53" t="str">
        <f aca="false">IF($N34="","",INDEX('ALL ITEMS'!$G:$G,$N34))</f>
        <v/>
      </c>
      <c r="H34" s="52" t="str">
        <f aca="false">IF($N34="","",INDEX('ALL ITEMS'!$H:$H,$N34))</f>
        <v/>
      </c>
      <c r="I34" s="54" t="str">
        <f aca="false">IF($N34="","",INDEX('ALL ITEMS'!$I:$I,$N34))</f>
        <v/>
      </c>
      <c r="J34" s="54" t="str">
        <f aca="false">IF($N34="","",INDEX('ALL ITEMS'!$J:$J,$N34))</f>
        <v/>
      </c>
      <c r="K34" s="54" t="str">
        <f aca="false">IF($N34="","",INDEX('ALL ITEMS'!$K:$K,$N34))</f>
        <v/>
      </c>
      <c r="L34" s="52" t="str">
        <f aca="false">IF($N34="","",INDEX('ALL ITEMS'!$L:$L,$N34))</f>
        <v/>
      </c>
      <c r="N34" s="0" t="str">
        <f aca="false">IF(ROWS($N$10:N34)&gt;$C$7,"",SMALL('ALL ITEMS'!$M$3:$M$764,ROWS($N$10:N34)))</f>
        <v/>
      </c>
    </row>
    <row r="35" customFormat="false" ht="15" hidden="false" customHeight="false" outlineLevel="0" collapsed="false">
      <c r="A35" s="52" t="str">
        <f aca="false">IF($N35="","",ROWS($N$10:N35))</f>
        <v/>
      </c>
      <c r="B35" s="52" t="str">
        <f aca="false">IF($N35="","",INDEX('ALL ITEMS'!$B:$B,$N35))</f>
        <v/>
      </c>
      <c r="C35" s="53" t="str">
        <f aca="false">IF($N35="","",INDEX('ALL ITEMS'!$A:$A,$N35))</f>
        <v/>
      </c>
      <c r="D35" s="53" t="str">
        <f aca="false">IF($N35="","",INDEX('ALL ITEMS'!$D:$D,$N35))</f>
        <v/>
      </c>
      <c r="E35" s="53" t="str">
        <f aca="false">IF($N35="","",INDEX('ALL ITEMS'!$E:$E,$N35))</f>
        <v/>
      </c>
      <c r="F35" s="53" t="str">
        <f aca="false">IF($N35="","",INDEX('ALL ITEMS'!$F:$F,$N35))</f>
        <v/>
      </c>
      <c r="G35" s="53" t="str">
        <f aca="false">IF($N35="","",INDEX('ALL ITEMS'!$G:$G,$N35))</f>
        <v/>
      </c>
      <c r="H35" s="52" t="str">
        <f aca="false">IF($N35="","",INDEX('ALL ITEMS'!$H:$H,$N35))</f>
        <v/>
      </c>
      <c r="I35" s="54" t="str">
        <f aca="false">IF($N35="","",INDEX('ALL ITEMS'!$I:$I,$N35))</f>
        <v/>
      </c>
      <c r="J35" s="54" t="str">
        <f aca="false">IF($N35="","",INDEX('ALL ITEMS'!$J:$J,$N35))</f>
        <v/>
      </c>
      <c r="K35" s="54" t="str">
        <f aca="false">IF($N35="","",INDEX('ALL ITEMS'!$K:$K,$N35))</f>
        <v/>
      </c>
      <c r="L35" s="52" t="str">
        <f aca="false">IF($N35="","",INDEX('ALL ITEMS'!$L:$L,$N35))</f>
        <v/>
      </c>
      <c r="N35" s="0" t="str">
        <f aca="false">IF(ROWS($N$10:N35)&gt;$C$7,"",SMALL('ALL ITEMS'!$M$3:$M$764,ROWS($N$10:N35)))</f>
        <v/>
      </c>
    </row>
    <row r="36" customFormat="false" ht="15" hidden="false" customHeight="false" outlineLevel="0" collapsed="false">
      <c r="A36" s="52" t="str">
        <f aca="false">IF($N36="","",ROWS($N$10:N36))</f>
        <v/>
      </c>
      <c r="B36" s="52" t="str">
        <f aca="false">IF($N36="","",INDEX('ALL ITEMS'!$B:$B,$N36))</f>
        <v/>
      </c>
      <c r="C36" s="53" t="str">
        <f aca="false">IF($N36="","",INDEX('ALL ITEMS'!$A:$A,$N36))</f>
        <v/>
      </c>
      <c r="D36" s="53" t="str">
        <f aca="false">IF($N36="","",INDEX('ALL ITEMS'!$D:$D,$N36))</f>
        <v/>
      </c>
      <c r="E36" s="53" t="str">
        <f aca="false">IF($N36="","",INDEX('ALL ITEMS'!$E:$E,$N36))</f>
        <v/>
      </c>
      <c r="F36" s="53" t="str">
        <f aca="false">IF($N36="","",INDEX('ALL ITEMS'!$F:$F,$N36))</f>
        <v/>
      </c>
      <c r="G36" s="53" t="str">
        <f aca="false">IF($N36="","",INDEX('ALL ITEMS'!$G:$G,$N36))</f>
        <v/>
      </c>
      <c r="H36" s="52" t="str">
        <f aca="false">IF($N36="","",INDEX('ALL ITEMS'!$H:$H,$N36))</f>
        <v/>
      </c>
      <c r="I36" s="54" t="str">
        <f aca="false">IF($N36="","",INDEX('ALL ITEMS'!$I:$I,$N36))</f>
        <v/>
      </c>
      <c r="J36" s="54" t="str">
        <f aca="false">IF($N36="","",INDEX('ALL ITEMS'!$J:$J,$N36))</f>
        <v/>
      </c>
      <c r="K36" s="54" t="str">
        <f aca="false">IF($N36="","",INDEX('ALL ITEMS'!$K:$K,$N36))</f>
        <v/>
      </c>
      <c r="L36" s="52" t="str">
        <f aca="false">IF($N36="","",INDEX('ALL ITEMS'!$L:$L,$N36))</f>
        <v/>
      </c>
      <c r="N36" s="0" t="str">
        <f aca="false">IF(ROWS($N$10:N36)&gt;$C$7,"",SMALL('ALL ITEMS'!$M$3:$M$764,ROWS($N$10:N36)))</f>
        <v/>
      </c>
    </row>
    <row r="37" customFormat="false" ht="15" hidden="false" customHeight="false" outlineLevel="0" collapsed="false">
      <c r="A37" s="52" t="str">
        <f aca="false">IF($N37="","",ROWS($N$10:N37))</f>
        <v/>
      </c>
      <c r="B37" s="52" t="str">
        <f aca="false">IF($N37="","",INDEX('ALL ITEMS'!$B:$B,$N37))</f>
        <v/>
      </c>
      <c r="C37" s="53" t="str">
        <f aca="false">IF($N37="","",INDEX('ALL ITEMS'!$A:$A,$N37))</f>
        <v/>
      </c>
      <c r="D37" s="53" t="str">
        <f aca="false">IF($N37="","",INDEX('ALL ITEMS'!$D:$D,$N37))</f>
        <v/>
      </c>
      <c r="E37" s="53" t="str">
        <f aca="false">IF($N37="","",INDEX('ALL ITEMS'!$E:$E,$N37))</f>
        <v/>
      </c>
      <c r="F37" s="53" t="str">
        <f aca="false">IF($N37="","",INDEX('ALL ITEMS'!$F:$F,$N37))</f>
        <v/>
      </c>
      <c r="G37" s="53" t="str">
        <f aca="false">IF($N37="","",INDEX('ALL ITEMS'!$G:$G,$N37))</f>
        <v/>
      </c>
      <c r="H37" s="52" t="str">
        <f aca="false">IF($N37="","",INDEX('ALL ITEMS'!$H:$H,$N37))</f>
        <v/>
      </c>
      <c r="I37" s="54" t="str">
        <f aca="false">IF($N37="","",INDEX('ALL ITEMS'!$I:$I,$N37))</f>
        <v/>
      </c>
      <c r="J37" s="54" t="str">
        <f aca="false">IF($N37="","",INDEX('ALL ITEMS'!$J:$J,$N37))</f>
        <v/>
      </c>
      <c r="K37" s="54" t="str">
        <f aca="false">IF($N37="","",INDEX('ALL ITEMS'!$K:$K,$N37))</f>
        <v/>
      </c>
      <c r="L37" s="52" t="str">
        <f aca="false">IF($N37="","",INDEX('ALL ITEMS'!$L:$L,$N37))</f>
        <v/>
      </c>
      <c r="N37" s="0" t="str">
        <f aca="false">IF(ROWS($N$10:N37)&gt;$C$7,"",SMALL('ALL ITEMS'!$M$3:$M$764,ROWS($N$10:N37)))</f>
        <v/>
      </c>
    </row>
    <row r="38" customFormat="false" ht="15" hidden="false" customHeight="false" outlineLevel="0" collapsed="false">
      <c r="A38" s="52" t="str">
        <f aca="false">IF($N38="","",ROWS($N$10:N38))</f>
        <v/>
      </c>
      <c r="B38" s="52" t="str">
        <f aca="false">IF($N38="","",INDEX('ALL ITEMS'!$B:$B,$N38))</f>
        <v/>
      </c>
      <c r="C38" s="53" t="str">
        <f aca="false">IF($N38="","",INDEX('ALL ITEMS'!$A:$A,$N38))</f>
        <v/>
      </c>
      <c r="D38" s="53" t="str">
        <f aca="false">IF($N38="","",INDEX('ALL ITEMS'!$D:$D,$N38))</f>
        <v/>
      </c>
      <c r="E38" s="53" t="str">
        <f aca="false">IF($N38="","",INDEX('ALL ITEMS'!$E:$E,$N38))</f>
        <v/>
      </c>
      <c r="F38" s="53" t="str">
        <f aca="false">IF($N38="","",INDEX('ALL ITEMS'!$F:$F,$N38))</f>
        <v/>
      </c>
      <c r="G38" s="53" t="str">
        <f aca="false">IF($N38="","",INDEX('ALL ITEMS'!$G:$G,$N38))</f>
        <v/>
      </c>
      <c r="H38" s="52" t="str">
        <f aca="false">IF($N38="","",INDEX('ALL ITEMS'!$H:$H,$N38))</f>
        <v/>
      </c>
      <c r="I38" s="54" t="str">
        <f aca="false">IF($N38="","",INDEX('ALL ITEMS'!$I:$I,$N38))</f>
        <v/>
      </c>
      <c r="J38" s="54" t="str">
        <f aca="false">IF($N38="","",INDEX('ALL ITEMS'!$J:$J,$N38))</f>
        <v/>
      </c>
      <c r="K38" s="54" t="str">
        <f aca="false">IF($N38="","",INDEX('ALL ITEMS'!$K:$K,$N38))</f>
        <v/>
      </c>
      <c r="L38" s="52" t="str">
        <f aca="false">IF($N38="","",INDEX('ALL ITEMS'!$L:$L,$N38))</f>
        <v/>
      </c>
      <c r="N38" s="0" t="str">
        <f aca="false">IF(ROWS($N$10:N38)&gt;$C$7,"",SMALL('ALL ITEMS'!$M$3:$M$764,ROWS($N$10:N38)))</f>
        <v/>
      </c>
    </row>
    <row r="39" customFormat="false" ht="15" hidden="false" customHeight="false" outlineLevel="0" collapsed="false">
      <c r="A39" s="52" t="str">
        <f aca="false">IF($N39="","",ROWS($N$10:N39))</f>
        <v/>
      </c>
      <c r="B39" s="52" t="str">
        <f aca="false">IF($N39="","",INDEX('ALL ITEMS'!$B:$B,$N39))</f>
        <v/>
      </c>
      <c r="C39" s="53" t="str">
        <f aca="false">IF($N39="","",INDEX('ALL ITEMS'!$A:$A,$N39))</f>
        <v/>
      </c>
      <c r="D39" s="53" t="str">
        <f aca="false">IF($N39="","",INDEX('ALL ITEMS'!$D:$D,$N39))</f>
        <v/>
      </c>
      <c r="E39" s="53" t="str">
        <f aca="false">IF($N39="","",INDEX('ALL ITEMS'!$E:$E,$N39))</f>
        <v/>
      </c>
      <c r="F39" s="53" t="str">
        <f aca="false">IF($N39="","",INDEX('ALL ITEMS'!$F:$F,$N39))</f>
        <v/>
      </c>
      <c r="G39" s="53" t="str">
        <f aca="false">IF($N39="","",INDEX('ALL ITEMS'!$G:$G,$N39))</f>
        <v/>
      </c>
      <c r="H39" s="52" t="str">
        <f aca="false">IF($N39="","",INDEX('ALL ITEMS'!$H:$H,$N39))</f>
        <v/>
      </c>
      <c r="I39" s="54" t="str">
        <f aca="false">IF($N39="","",INDEX('ALL ITEMS'!$I:$I,$N39))</f>
        <v/>
      </c>
      <c r="J39" s="54" t="str">
        <f aca="false">IF($N39="","",INDEX('ALL ITEMS'!$J:$J,$N39))</f>
        <v/>
      </c>
      <c r="K39" s="54" t="str">
        <f aca="false">IF($N39="","",INDEX('ALL ITEMS'!$K:$K,$N39))</f>
        <v/>
      </c>
      <c r="L39" s="52" t="str">
        <f aca="false">IF($N39="","",INDEX('ALL ITEMS'!$L:$L,$N39))</f>
        <v/>
      </c>
      <c r="N39" s="0" t="str">
        <f aca="false">IF(ROWS($N$10:N39)&gt;$C$7,"",SMALL('ALL ITEMS'!$M$3:$M$764,ROWS($N$10:N39)))</f>
        <v/>
      </c>
    </row>
    <row r="40" customFormat="false" ht="15" hidden="false" customHeight="false" outlineLevel="0" collapsed="false">
      <c r="A40" s="52" t="str">
        <f aca="false">IF($N40="","",ROWS($N$10:N40))</f>
        <v/>
      </c>
      <c r="B40" s="52" t="str">
        <f aca="false">IF($N40="","",INDEX('ALL ITEMS'!$B:$B,$N40))</f>
        <v/>
      </c>
      <c r="C40" s="53" t="str">
        <f aca="false">IF($N40="","",INDEX('ALL ITEMS'!$A:$A,$N40))</f>
        <v/>
      </c>
      <c r="D40" s="53" t="str">
        <f aca="false">IF($N40="","",INDEX('ALL ITEMS'!$D:$D,$N40))</f>
        <v/>
      </c>
      <c r="E40" s="53" t="str">
        <f aca="false">IF($N40="","",INDEX('ALL ITEMS'!$E:$E,$N40))</f>
        <v/>
      </c>
      <c r="F40" s="53" t="str">
        <f aca="false">IF($N40="","",INDEX('ALL ITEMS'!$F:$F,$N40))</f>
        <v/>
      </c>
      <c r="G40" s="53" t="str">
        <f aca="false">IF($N40="","",INDEX('ALL ITEMS'!$G:$G,$N40))</f>
        <v/>
      </c>
      <c r="H40" s="52" t="str">
        <f aca="false">IF($N40="","",INDEX('ALL ITEMS'!$H:$H,$N40))</f>
        <v/>
      </c>
      <c r="I40" s="54" t="str">
        <f aca="false">IF($N40="","",INDEX('ALL ITEMS'!$I:$I,$N40))</f>
        <v/>
      </c>
      <c r="J40" s="54" t="str">
        <f aca="false">IF($N40="","",INDEX('ALL ITEMS'!$J:$J,$N40))</f>
        <v/>
      </c>
      <c r="K40" s="54" t="str">
        <f aca="false">IF($N40="","",INDEX('ALL ITEMS'!$K:$K,$N40))</f>
        <v/>
      </c>
      <c r="L40" s="52" t="str">
        <f aca="false">IF($N40="","",INDEX('ALL ITEMS'!$L:$L,$N40))</f>
        <v/>
      </c>
      <c r="N40" s="0" t="str">
        <f aca="false">IF(ROWS($N$10:N40)&gt;$C$7,"",SMALL('ALL ITEMS'!$M$3:$M$764,ROWS($N$10:N40)))</f>
        <v/>
      </c>
    </row>
    <row r="41" customFormat="false" ht="15" hidden="false" customHeight="false" outlineLevel="0" collapsed="false">
      <c r="A41" s="52" t="str">
        <f aca="false">IF($N41="","",ROWS($N$10:N41))</f>
        <v/>
      </c>
      <c r="B41" s="52" t="str">
        <f aca="false">IF($N41="","",INDEX('ALL ITEMS'!$B:$B,$N41))</f>
        <v/>
      </c>
      <c r="C41" s="53" t="str">
        <f aca="false">IF($N41="","",INDEX('ALL ITEMS'!$A:$A,$N41))</f>
        <v/>
      </c>
      <c r="D41" s="53" t="str">
        <f aca="false">IF($N41="","",INDEX('ALL ITEMS'!$D:$D,$N41))</f>
        <v/>
      </c>
      <c r="E41" s="53" t="str">
        <f aca="false">IF($N41="","",INDEX('ALL ITEMS'!$E:$E,$N41))</f>
        <v/>
      </c>
      <c r="F41" s="53" t="str">
        <f aca="false">IF($N41="","",INDEX('ALL ITEMS'!$F:$F,$N41))</f>
        <v/>
      </c>
      <c r="G41" s="53" t="str">
        <f aca="false">IF($N41="","",INDEX('ALL ITEMS'!$G:$G,$N41))</f>
        <v/>
      </c>
      <c r="H41" s="52" t="str">
        <f aca="false">IF($N41="","",INDEX('ALL ITEMS'!$H:$H,$N41))</f>
        <v/>
      </c>
      <c r="I41" s="54" t="str">
        <f aca="false">IF($N41="","",INDEX('ALL ITEMS'!$I:$I,$N41))</f>
        <v/>
      </c>
      <c r="J41" s="54" t="str">
        <f aca="false">IF($N41="","",INDEX('ALL ITEMS'!$J:$J,$N41))</f>
        <v/>
      </c>
      <c r="K41" s="54" t="str">
        <f aca="false">IF($N41="","",INDEX('ALL ITEMS'!$K:$K,$N41))</f>
        <v/>
      </c>
      <c r="L41" s="52" t="str">
        <f aca="false">IF($N41="","",INDEX('ALL ITEMS'!$L:$L,$N41))</f>
        <v/>
      </c>
      <c r="N41" s="0" t="str">
        <f aca="false">IF(ROWS($N$10:N41)&gt;$C$7,"",SMALL('ALL ITEMS'!$M$3:$M$764,ROWS($N$10:N41)))</f>
        <v/>
      </c>
    </row>
    <row r="42" customFormat="false" ht="15" hidden="false" customHeight="false" outlineLevel="0" collapsed="false">
      <c r="A42" s="52" t="str">
        <f aca="false">IF($N42="","",ROWS($N$10:N42))</f>
        <v/>
      </c>
      <c r="B42" s="52" t="str">
        <f aca="false">IF($N42="","",INDEX('ALL ITEMS'!$B:$B,$N42))</f>
        <v/>
      </c>
      <c r="C42" s="53" t="str">
        <f aca="false">IF($N42="","",INDEX('ALL ITEMS'!$A:$A,$N42))</f>
        <v/>
      </c>
      <c r="D42" s="53" t="str">
        <f aca="false">IF($N42="","",INDEX('ALL ITEMS'!$D:$D,$N42))</f>
        <v/>
      </c>
      <c r="E42" s="53" t="str">
        <f aca="false">IF($N42="","",INDEX('ALL ITEMS'!$E:$E,$N42))</f>
        <v/>
      </c>
      <c r="F42" s="53" t="str">
        <f aca="false">IF($N42="","",INDEX('ALL ITEMS'!$F:$F,$N42))</f>
        <v/>
      </c>
      <c r="G42" s="53" t="str">
        <f aca="false">IF($N42="","",INDEX('ALL ITEMS'!$G:$G,$N42))</f>
        <v/>
      </c>
      <c r="H42" s="52" t="str">
        <f aca="false">IF($N42="","",INDEX('ALL ITEMS'!$H:$H,$N42))</f>
        <v/>
      </c>
      <c r="I42" s="54" t="str">
        <f aca="false">IF($N42="","",INDEX('ALL ITEMS'!$I:$I,$N42))</f>
        <v/>
      </c>
      <c r="J42" s="54" t="str">
        <f aca="false">IF($N42="","",INDEX('ALL ITEMS'!$J:$J,$N42))</f>
        <v/>
      </c>
      <c r="K42" s="54" t="str">
        <f aca="false">IF($N42="","",INDEX('ALL ITEMS'!$K:$K,$N42))</f>
        <v/>
      </c>
      <c r="L42" s="52" t="str">
        <f aca="false">IF($N42="","",INDEX('ALL ITEMS'!$L:$L,$N42))</f>
        <v/>
      </c>
      <c r="N42" s="0" t="str">
        <f aca="false">IF(ROWS($N$10:N42)&gt;$C$7,"",SMALL('ALL ITEMS'!$M$3:$M$764,ROWS($N$10:N42)))</f>
        <v/>
      </c>
    </row>
    <row r="43" customFormat="false" ht="15" hidden="false" customHeight="false" outlineLevel="0" collapsed="false">
      <c r="A43" s="52" t="str">
        <f aca="false">IF($N43="","",ROWS($N$10:N43))</f>
        <v/>
      </c>
      <c r="B43" s="52" t="str">
        <f aca="false">IF($N43="","",INDEX('ALL ITEMS'!$B:$B,$N43))</f>
        <v/>
      </c>
      <c r="C43" s="53" t="str">
        <f aca="false">IF($N43="","",INDEX('ALL ITEMS'!$A:$A,$N43))</f>
        <v/>
      </c>
      <c r="D43" s="53" t="str">
        <f aca="false">IF($N43="","",INDEX('ALL ITEMS'!$D:$D,$N43))</f>
        <v/>
      </c>
      <c r="E43" s="53" t="str">
        <f aca="false">IF($N43="","",INDEX('ALL ITEMS'!$E:$E,$N43))</f>
        <v/>
      </c>
      <c r="F43" s="53" t="str">
        <f aca="false">IF($N43="","",INDEX('ALL ITEMS'!$F:$F,$N43))</f>
        <v/>
      </c>
      <c r="G43" s="53" t="str">
        <f aca="false">IF($N43="","",INDEX('ALL ITEMS'!$G:$G,$N43))</f>
        <v/>
      </c>
      <c r="H43" s="52" t="str">
        <f aca="false">IF($N43="","",INDEX('ALL ITEMS'!$H:$H,$N43))</f>
        <v/>
      </c>
      <c r="I43" s="54" t="str">
        <f aca="false">IF($N43="","",INDEX('ALL ITEMS'!$I:$I,$N43))</f>
        <v/>
      </c>
      <c r="J43" s="54" t="str">
        <f aca="false">IF($N43="","",INDEX('ALL ITEMS'!$J:$J,$N43))</f>
        <v/>
      </c>
      <c r="K43" s="54" t="str">
        <f aca="false">IF($N43="","",INDEX('ALL ITEMS'!$K:$K,$N43))</f>
        <v/>
      </c>
      <c r="L43" s="52" t="str">
        <f aca="false">IF($N43="","",INDEX('ALL ITEMS'!$L:$L,$N43))</f>
        <v/>
      </c>
      <c r="N43" s="0" t="str">
        <f aca="false">IF(ROWS($N$10:N43)&gt;$C$7,"",SMALL('ALL ITEMS'!$M$3:$M$764,ROWS($N$10:N43)))</f>
        <v/>
      </c>
    </row>
    <row r="44" customFormat="false" ht="15" hidden="false" customHeight="false" outlineLevel="0" collapsed="false">
      <c r="A44" s="52" t="str">
        <f aca="false">IF($N44="","",ROWS($N$10:N44))</f>
        <v/>
      </c>
      <c r="B44" s="52" t="str">
        <f aca="false">IF($N44="","",INDEX('ALL ITEMS'!$B:$B,$N44))</f>
        <v/>
      </c>
      <c r="C44" s="53" t="str">
        <f aca="false">IF($N44="","",INDEX('ALL ITEMS'!$A:$A,$N44))</f>
        <v/>
      </c>
      <c r="D44" s="53" t="str">
        <f aca="false">IF($N44="","",INDEX('ALL ITEMS'!$D:$D,$N44))</f>
        <v/>
      </c>
      <c r="E44" s="53" t="str">
        <f aca="false">IF($N44="","",INDEX('ALL ITEMS'!$E:$E,$N44))</f>
        <v/>
      </c>
      <c r="F44" s="53" t="str">
        <f aca="false">IF($N44="","",INDEX('ALL ITEMS'!$F:$F,$N44))</f>
        <v/>
      </c>
      <c r="G44" s="53" t="str">
        <f aca="false">IF($N44="","",INDEX('ALL ITEMS'!$G:$G,$N44))</f>
        <v/>
      </c>
      <c r="H44" s="52" t="str">
        <f aca="false">IF($N44="","",INDEX('ALL ITEMS'!$H:$H,$N44))</f>
        <v/>
      </c>
      <c r="I44" s="54" t="str">
        <f aca="false">IF($N44="","",INDEX('ALL ITEMS'!$I:$I,$N44))</f>
        <v/>
      </c>
      <c r="J44" s="54" t="str">
        <f aca="false">IF($N44="","",INDEX('ALL ITEMS'!$J:$J,$N44))</f>
        <v/>
      </c>
      <c r="K44" s="54" t="str">
        <f aca="false">IF($N44="","",INDEX('ALL ITEMS'!$K:$K,$N44))</f>
        <v/>
      </c>
      <c r="L44" s="52" t="str">
        <f aca="false">IF($N44="","",INDEX('ALL ITEMS'!$L:$L,$N44))</f>
        <v/>
      </c>
      <c r="N44" s="0" t="str">
        <f aca="false">IF(ROWS($N$10:N44)&gt;$C$7,"",SMALL('ALL ITEMS'!$M$3:$M$764,ROWS($N$10:N44)))</f>
        <v/>
      </c>
    </row>
    <row r="45" customFormat="false" ht="15" hidden="false" customHeight="false" outlineLevel="0" collapsed="false">
      <c r="A45" s="52" t="str">
        <f aca="false">IF($N45="","",ROWS($N$10:N45))</f>
        <v/>
      </c>
      <c r="B45" s="52" t="str">
        <f aca="false">IF($N45="","",INDEX('ALL ITEMS'!$B:$B,$N45))</f>
        <v/>
      </c>
      <c r="C45" s="53" t="str">
        <f aca="false">IF($N45="","",INDEX('ALL ITEMS'!$A:$A,$N45))</f>
        <v/>
      </c>
      <c r="D45" s="53" t="str">
        <f aca="false">IF($N45="","",INDEX('ALL ITEMS'!$D:$D,$N45))</f>
        <v/>
      </c>
      <c r="E45" s="53" t="str">
        <f aca="false">IF($N45="","",INDEX('ALL ITEMS'!$E:$E,$N45))</f>
        <v/>
      </c>
      <c r="F45" s="53" t="str">
        <f aca="false">IF($N45="","",INDEX('ALL ITEMS'!$F:$F,$N45))</f>
        <v/>
      </c>
      <c r="G45" s="53" t="str">
        <f aca="false">IF($N45="","",INDEX('ALL ITEMS'!$G:$G,$N45))</f>
        <v/>
      </c>
      <c r="H45" s="52" t="str">
        <f aca="false">IF($N45="","",INDEX('ALL ITEMS'!$H:$H,$N45))</f>
        <v/>
      </c>
      <c r="I45" s="54" t="str">
        <f aca="false">IF($N45="","",INDEX('ALL ITEMS'!$I:$I,$N45))</f>
        <v/>
      </c>
      <c r="J45" s="54" t="str">
        <f aca="false">IF($N45="","",INDEX('ALL ITEMS'!$J:$J,$N45))</f>
        <v/>
      </c>
      <c r="K45" s="54" t="str">
        <f aca="false">IF($N45="","",INDEX('ALL ITEMS'!$K:$K,$N45))</f>
        <v/>
      </c>
      <c r="L45" s="52" t="str">
        <f aca="false">IF($N45="","",INDEX('ALL ITEMS'!$L:$L,$N45))</f>
        <v/>
      </c>
      <c r="N45" s="0" t="str">
        <f aca="false">IF(ROWS($N$10:N45)&gt;$C$7,"",SMALL('ALL ITEMS'!$M$3:$M$764,ROWS($N$10:N45)))</f>
        <v/>
      </c>
    </row>
    <row r="46" customFormat="false" ht="15" hidden="false" customHeight="false" outlineLevel="0" collapsed="false">
      <c r="A46" s="52" t="str">
        <f aca="false">IF($N46="","",ROWS($N$10:N46))</f>
        <v/>
      </c>
      <c r="B46" s="52" t="str">
        <f aca="false">IF($N46="","",INDEX('ALL ITEMS'!$B:$B,$N46))</f>
        <v/>
      </c>
      <c r="C46" s="53" t="str">
        <f aca="false">IF($N46="","",INDEX('ALL ITEMS'!$A:$A,$N46))</f>
        <v/>
      </c>
      <c r="D46" s="53" t="str">
        <f aca="false">IF($N46="","",INDEX('ALL ITEMS'!$D:$D,$N46))</f>
        <v/>
      </c>
      <c r="E46" s="53" t="str">
        <f aca="false">IF($N46="","",INDEX('ALL ITEMS'!$E:$E,$N46))</f>
        <v/>
      </c>
      <c r="F46" s="53" t="str">
        <f aca="false">IF($N46="","",INDEX('ALL ITEMS'!$F:$F,$N46))</f>
        <v/>
      </c>
      <c r="G46" s="53" t="str">
        <f aca="false">IF($N46="","",INDEX('ALL ITEMS'!$G:$G,$N46))</f>
        <v/>
      </c>
      <c r="H46" s="52" t="str">
        <f aca="false">IF($N46="","",INDEX('ALL ITEMS'!$H:$H,$N46))</f>
        <v/>
      </c>
      <c r="I46" s="54" t="str">
        <f aca="false">IF($N46="","",INDEX('ALL ITEMS'!$I:$I,$N46))</f>
        <v/>
      </c>
      <c r="J46" s="54" t="str">
        <f aca="false">IF($N46="","",INDEX('ALL ITEMS'!$J:$J,$N46))</f>
        <v/>
      </c>
      <c r="K46" s="54" t="str">
        <f aca="false">IF($N46="","",INDEX('ALL ITEMS'!$K:$K,$N46))</f>
        <v/>
      </c>
      <c r="L46" s="52" t="str">
        <f aca="false">IF($N46="","",INDEX('ALL ITEMS'!$L:$L,$N46))</f>
        <v/>
      </c>
      <c r="N46" s="0" t="str">
        <f aca="false">IF(ROWS($N$10:N46)&gt;$C$7,"",SMALL('ALL ITEMS'!$M$3:$M$764,ROWS($N$10:N46)))</f>
        <v/>
      </c>
    </row>
    <row r="47" customFormat="false" ht="15" hidden="false" customHeight="false" outlineLevel="0" collapsed="false">
      <c r="A47" s="52" t="str">
        <f aca="false">IF($N47="","",ROWS($N$10:N47))</f>
        <v/>
      </c>
      <c r="B47" s="52" t="str">
        <f aca="false">IF($N47="","",INDEX('ALL ITEMS'!$B:$B,$N47))</f>
        <v/>
      </c>
      <c r="C47" s="53" t="str">
        <f aca="false">IF($N47="","",INDEX('ALL ITEMS'!$A:$A,$N47))</f>
        <v/>
      </c>
      <c r="D47" s="53" t="str">
        <f aca="false">IF($N47="","",INDEX('ALL ITEMS'!$D:$D,$N47))</f>
        <v/>
      </c>
      <c r="E47" s="53" t="str">
        <f aca="false">IF($N47="","",INDEX('ALL ITEMS'!$E:$E,$N47))</f>
        <v/>
      </c>
      <c r="F47" s="53" t="str">
        <f aca="false">IF($N47="","",INDEX('ALL ITEMS'!$F:$F,$N47))</f>
        <v/>
      </c>
      <c r="G47" s="53" t="str">
        <f aca="false">IF($N47="","",INDEX('ALL ITEMS'!$G:$G,$N47))</f>
        <v/>
      </c>
      <c r="H47" s="52" t="str">
        <f aca="false">IF($N47="","",INDEX('ALL ITEMS'!$H:$H,$N47))</f>
        <v/>
      </c>
      <c r="I47" s="54" t="str">
        <f aca="false">IF($N47="","",INDEX('ALL ITEMS'!$I:$I,$N47))</f>
        <v/>
      </c>
      <c r="J47" s="54" t="str">
        <f aca="false">IF($N47="","",INDEX('ALL ITEMS'!$J:$J,$N47))</f>
        <v/>
      </c>
      <c r="K47" s="54" t="str">
        <f aca="false">IF($N47="","",INDEX('ALL ITEMS'!$K:$K,$N47))</f>
        <v/>
      </c>
      <c r="L47" s="52" t="str">
        <f aca="false">IF($N47="","",INDEX('ALL ITEMS'!$L:$L,$N47))</f>
        <v/>
      </c>
      <c r="N47" s="0" t="str">
        <f aca="false">IF(ROWS($N$10:N47)&gt;$C$7,"",SMALL('ALL ITEMS'!$M$3:$M$764,ROWS($N$10:N47)))</f>
        <v/>
      </c>
    </row>
    <row r="48" customFormat="false" ht="15" hidden="false" customHeight="false" outlineLevel="0" collapsed="false">
      <c r="A48" s="52" t="str">
        <f aca="false">IF($N48="","",ROWS($N$10:N48))</f>
        <v/>
      </c>
      <c r="B48" s="52" t="str">
        <f aca="false">IF($N48="","",INDEX('ALL ITEMS'!$B:$B,$N48))</f>
        <v/>
      </c>
      <c r="C48" s="53" t="str">
        <f aca="false">IF($N48="","",INDEX('ALL ITEMS'!$A:$A,$N48))</f>
        <v/>
      </c>
      <c r="D48" s="53" t="str">
        <f aca="false">IF($N48="","",INDEX('ALL ITEMS'!$D:$D,$N48))</f>
        <v/>
      </c>
      <c r="E48" s="53" t="str">
        <f aca="false">IF($N48="","",INDEX('ALL ITEMS'!$E:$E,$N48))</f>
        <v/>
      </c>
      <c r="F48" s="53" t="str">
        <f aca="false">IF($N48="","",INDEX('ALL ITEMS'!$F:$F,$N48))</f>
        <v/>
      </c>
      <c r="G48" s="53" t="str">
        <f aca="false">IF($N48="","",INDEX('ALL ITEMS'!$G:$G,$N48))</f>
        <v/>
      </c>
      <c r="H48" s="52" t="str">
        <f aca="false">IF($N48="","",INDEX('ALL ITEMS'!$H:$H,$N48))</f>
        <v/>
      </c>
      <c r="I48" s="54" t="str">
        <f aca="false">IF($N48="","",INDEX('ALL ITEMS'!$I:$I,$N48))</f>
        <v/>
      </c>
      <c r="J48" s="54" t="str">
        <f aca="false">IF($N48="","",INDEX('ALL ITEMS'!$J:$J,$N48))</f>
        <v/>
      </c>
      <c r="K48" s="54" t="str">
        <f aca="false">IF($N48="","",INDEX('ALL ITEMS'!$K:$K,$N48))</f>
        <v/>
      </c>
      <c r="L48" s="52" t="str">
        <f aca="false">IF($N48="","",INDEX('ALL ITEMS'!$L:$L,$N48))</f>
        <v/>
      </c>
      <c r="N48" s="0" t="str">
        <f aca="false">IF(ROWS($N$10:N48)&gt;$C$7,"",SMALL('ALL ITEMS'!$M$3:$M$764,ROWS($N$10:N48)))</f>
        <v/>
      </c>
    </row>
    <row r="49" customFormat="false" ht="15" hidden="false" customHeight="false" outlineLevel="0" collapsed="false">
      <c r="A49" s="52" t="str">
        <f aca="false">IF($N49="","",ROWS($N$10:N49))</f>
        <v/>
      </c>
      <c r="B49" s="52" t="str">
        <f aca="false">IF($N49="","",INDEX('ALL ITEMS'!$B:$B,$N49))</f>
        <v/>
      </c>
      <c r="C49" s="53" t="str">
        <f aca="false">IF($N49="","",INDEX('ALL ITEMS'!$A:$A,$N49))</f>
        <v/>
      </c>
      <c r="D49" s="53" t="str">
        <f aca="false">IF($N49="","",INDEX('ALL ITEMS'!$D:$D,$N49))</f>
        <v/>
      </c>
      <c r="E49" s="53" t="str">
        <f aca="false">IF($N49="","",INDEX('ALL ITEMS'!$E:$E,$N49))</f>
        <v/>
      </c>
      <c r="F49" s="53" t="str">
        <f aca="false">IF($N49="","",INDEX('ALL ITEMS'!$F:$F,$N49))</f>
        <v/>
      </c>
      <c r="G49" s="53" t="str">
        <f aca="false">IF($N49="","",INDEX('ALL ITEMS'!$G:$G,$N49))</f>
        <v/>
      </c>
      <c r="H49" s="52" t="str">
        <f aca="false">IF($N49="","",INDEX('ALL ITEMS'!$H:$H,$N49))</f>
        <v/>
      </c>
      <c r="I49" s="54" t="str">
        <f aca="false">IF($N49="","",INDEX('ALL ITEMS'!$I:$I,$N49))</f>
        <v/>
      </c>
      <c r="J49" s="54" t="str">
        <f aca="false">IF($N49="","",INDEX('ALL ITEMS'!$J:$J,$N49))</f>
        <v/>
      </c>
      <c r="K49" s="54" t="str">
        <f aca="false">IF($N49="","",INDEX('ALL ITEMS'!$K:$K,$N49))</f>
        <v/>
      </c>
      <c r="L49" s="52" t="str">
        <f aca="false">IF($N49="","",INDEX('ALL ITEMS'!$L:$L,$N49))</f>
        <v/>
      </c>
      <c r="N49" s="0" t="str">
        <f aca="false">IF(ROWS($N$10:N49)&gt;$C$7,"",SMALL('ALL ITEMS'!$M$3:$M$764,ROWS($N$10:N49)))</f>
        <v/>
      </c>
    </row>
    <row r="50" customFormat="false" ht="15" hidden="false" customHeight="false" outlineLevel="0" collapsed="false">
      <c r="A50" s="52" t="str">
        <f aca="false">IF($N50="","",ROWS($N$10:N50))</f>
        <v/>
      </c>
      <c r="B50" s="52" t="str">
        <f aca="false">IF($N50="","",INDEX('ALL ITEMS'!$B:$B,$N50))</f>
        <v/>
      </c>
      <c r="C50" s="53" t="str">
        <f aca="false">IF($N50="","",INDEX('ALL ITEMS'!$A:$A,$N50))</f>
        <v/>
      </c>
      <c r="D50" s="53" t="str">
        <f aca="false">IF($N50="","",INDEX('ALL ITEMS'!$D:$D,$N50))</f>
        <v/>
      </c>
      <c r="E50" s="53" t="str">
        <f aca="false">IF($N50="","",INDEX('ALL ITEMS'!$E:$E,$N50))</f>
        <v/>
      </c>
      <c r="F50" s="53" t="str">
        <f aca="false">IF($N50="","",INDEX('ALL ITEMS'!$F:$F,$N50))</f>
        <v/>
      </c>
      <c r="G50" s="53" t="str">
        <f aca="false">IF($N50="","",INDEX('ALL ITEMS'!$G:$G,$N50))</f>
        <v/>
      </c>
      <c r="H50" s="52" t="str">
        <f aca="false">IF($N50="","",INDEX('ALL ITEMS'!$H:$H,$N50))</f>
        <v/>
      </c>
      <c r="I50" s="54" t="str">
        <f aca="false">IF($N50="","",INDEX('ALL ITEMS'!$I:$I,$N50))</f>
        <v/>
      </c>
      <c r="J50" s="54" t="str">
        <f aca="false">IF($N50="","",INDEX('ALL ITEMS'!$J:$J,$N50))</f>
        <v/>
      </c>
      <c r="K50" s="54" t="str">
        <f aca="false">IF($N50="","",INDEX('ALL ITEMS'!$K:$K,$N50))</f>
        <v/>
      </c>
      <c r="L50" s="52" t="str">
        <f aca="false">IF($N50="","",INDEX('ALL ITEMS'!$L:$L,$N50))</f>
        <v/>
      </c>
      <c r="N50" s="0" t="str">
        <f aca="false">IF(ROWS($N$10:N50)&gt;$C$7,"",SMALL('ALL ITEMS'!$M$3:$M$764,ROWS($N$10:N50)))</f>
        <v/>
      </c>
    </row>
    <row r="51" customFormat="false" ht="15" hidden="false" customHeight="false" outlineLevel="0" collapsed="false">
      <c r="A51" s="52" t="str">
        <f aca="false">IF($N51="","",ROWS($N$10:N51))</f>
        <v/>
      </c>
      <c r="B51" s="52" t="str">
        <f aca="false">IF($N51="","",INDEX('ALL ITEMS'!$B:$B,$N51))</f>
        <v/>
      </c>
      <c r="C51" s="53" t="str">
        <f aca="false">IF($N51="","",INDEX('ALL ITEMS'!$A:$A,$N51))</f>
        <v/>
      </c>
      <c r="D51" s="53" t="str">
        <f aca="false">IF($N51="","",INDEX('ALL ITEMS'!$D:$D,$N51))</f>
        <v/>
      </c>
      <c r="E51" s="53" t="str">
        <f aca="false">IF($N51="","",INDEX('ALL ITEMS'!$E:$E,$N51))</f>
        <v/>
      </c>
      <c r="F51" s="53" t="str">
        <f aca="false">IF($N51="","",INDEX('ALL ITEMS'!$F:$F,$N51))</f>
        <v/>
      </c>
      <c r="G51" s="53" t="str">
        <f aca="false">IF($N51="","",INDEX('ALL ITEMS'!$G:$G,$N51))</f>
        <v/>
      </c>
      <c r="H51" s="52" t="str">
        <f aca="false">IF($N51="","",INDEX('ALL ITEMS'!$H:$H,$N51))</f>
        <v/>
      </c>
      <c r="I51" s="54" t="str">
        <f aca="false">IF($N51="","",INDEX('ALL ITEMS'!$I:$I,$N51))</f>
        <v/>
      </c>
      <c r="J51" s="54" t="str">
        <f aca="false">IF($N51="","",INDEX('ALL ITEMS'!$J:$J,$N51))</f>
        <v/>
      </c>
      <c r="K51" s="54" t="str">
        <f aca="false">IF($N51="","",INDEX('ALL ITEMS'!$K:$K,$N51))</f>
        <v/>
      </c>
      <c r="L51" s="52" t="str">
        <f aca="false">IF($N51="","",INDEX('ALL ITEMS'!$L:$L,$N51))</f>
        <v/>
      </c>
      <c r="N51" s="0" t="str">
        <f aca="false">IF(ROWS($N$10:N51)&gt;$C$7,"",SMALL('ALL ITEMS'!$M$3:$M$764,ROWS($N$10:N51)))</f>
        <v/>
      </c>
    </row>
    <row r="52" customFormat="false" ht="15" hidden="false" customHeight="false" outlineLevel="0" collapsed="false">
      <c r="A52" s="52" t="str">
        <f aca="false">IF($N52="","",ROWS($N$10:N52))</f>
        <v/>
      </c>
      <c r="B52" s="52" t="str">
        <f aca="false">IF($N52="","",INDEX('ALL ITEMS'!$B:$B,$N52))</f>
        <v/>
      </c>
      <c r="C52" s="53" t="str">
        <f aca="false">IF($N52="","",INDEX('ALL ITEMS'!$A:$A,$N52))</f>
        <v/>
      </c>
      <c r="D52" s="53" t="str">
        <f aca="false">IF($N52="","",INDEX('ALL ITEMS'!$D:$D,$N52))</f>
        <v/>
      </c>
      <c r="E52" s="53" t="str">
        <f aca="false">IF($N52="","",INDEX('ALL ITEMS'!$E:$E,$N52))</f>
        <v/>
      </c>
      <c r="F52" s="53" t="str">
        <f aca="false">IF($N52="","",INDEX('ALL ITEMS'!$F:$F,$N52))</f>
        <v/>
      </c>
      <c r="G52" s="53" t="str">
        <f aca="false">IF($N52="","",INDEX('ALL ITEMS'!$G:$G,$N52))</f>
        <v/>
      </c>
      <c r="H52" s="52" t="str">
        <f aca="false">IF($N52="","",INDEX('ALL ITEMS'!$H:$H,$N52))</f>
        <v/>
      </c>
      <c r="I52" s="54" t="str">
        <f aca="false">IF($N52="","",INDEX('ALL ITEMS'!$I:$I,$N52))</f>
        <v/>
      </c>
      <c r="J52" s="54" t="str">
        <f aca="false">IF($N52="","",INDEX('ALL ITEMS'!$J:$J,$N52))</f>
        <v/>
      </c>
      <c r="K52" s="54" t="str">
        <f aca="false">IF($N52="","",INDEX('ALL ITEMS'!$K:$K,$N52))</f>
        <v/>
      </c>
      <c r="L52" s="52" t="str">
        <f aca="false">IF($N52="","",INDEX('ALL ITEMS'!$L:$L,$N52))</f>
        <v/>
      </c>
      <c r="N52" s="0" t="str">
        <f aca="false">IF(ROWS($N$10:N52)&gt;$C$7,"",SMALL('ALL ITEMS'!$M$3:$M$764,ROWS($N$10:N52)))</f>
        <v/>
      </c>
    </row>
    <row r="53" customFormat="false" ht="15" hidden="false" customHeight="false" outlineLevel="0" collapsed="false">
      <c r="A53" s="52" t="str">
        <f aca="false">IF($N53="","",ROWS($N$10:N53))</f>
        <v/>
      </c>
      <c r="B53" s="52" t="str">
        <f aca="false">IF($N53="","",INDEX('ALL ITEMS'!$B:$B,$N53))</f>
        <v/>
      </c>
      <c r="C53" s="53" t="str">
        <f aca="false">IF($N53="","",INDEX('ALL ITEMS'!$A:$A,$N53))</f>
        <v/>
      </c>
      <c r="D53" s="53" t="str">
        <f aca="false">IF($N53="","",INDEX('ALL ITEMS'!$D:$D,$N53))</f>
        <v/>
      </c>
      <c r="E53" s="53" t="str">
        <f aca="false">IF($N53="","",INDEX('ALL ITEMS'!$E:$E,$N53))</f>
        <v/>
      </c>
      <c r="F53" s="53" t="str">
        <f aca="false">IF($N53="","",INDEX('ALL ITEMS'!$F:$F,$N53))</f>
        <v/>
      </c>
      <c r="G53" s="53" t="str">
        <f aca="false">IF($N53="","",INDEX('ALL ITEMS'!$G:$G,$N53))</f>
        <v/>
      </c>
      <c r="H53" s="52" t="str">
        <f aca="false">IF($N53="","",INDEX('ALL ITEMS'!$H:$H,$N53))</f>
        <v/>
      </c>
      <c r="I53" s="54" t="str">
        <f aca="false">IF($N53="","",INDEX('ALL ITEMS'!$I:$I,$N53))</f>
        <v/>
      </c>
      <c r="J53" s="54" t="str">
        <f aca="false">IF($N53="","",INDEX('ALL ITEMS'!$J:$J,$N53))</f>
        <v/>
      </c>
      <c r="K53" s="54" t="str">
        <f aca="false">IF($N53="","",INDEX('ALL ITEMS'!$K:$K,$N53))</f>
        <v/>
      </c>
      <c r="L53" s="52" t="str">
        <f aca="false">IF($N53="","",INDEX('ALL ITEMS'!$L:$L,$N53))</f>
        <v/>
      </c>
      <c r="N53" s="0" t="str">
        <f aca="false">IF(ROWS($N$10:N53)&gt;$C$7,"",SMALL('ALL ITEMS'!$M$3:$M$764,ROWS($N$10:N53)))</f>
        <v/>
      </c>
    </row>
    <row r="54" customFormat="false" ht="15" hidden="false" customHeight="false" outlineLevel="0" collapsed="false">
      <c r="A54" s="52" t="str">
        <f aca="false">IF($N54="","",ROWS($N$10:N54))</f>
        <v/>
      </c>
      <c r="B54" s="52" t="str">
        <f aca="false">IF($N54="","",INDEX('ALL ITEMS'!$B:$B,$N54))</f>
        <v/>
      </c>
      <c r="C54" s="53" t="str">
        <f aca="false">IF($N54="","",INDEX('ALL ITEMS'!$A:$A,$N54))</f>
        <v/>
      </c>
      <c r="D54" s="53" t="str">
        <f aca="false">IF($N54="","",INDEX('ALL ITEMS'!$D:$D,$N54))</f>
        <v/>
      </c>
      <c r="E54" s="53" t="str">
        <f aca="false">IF($N54="","",INDEX('ALL ITEMS'!$E:$E,$N54))</f>
        <v/>
      </c>
      <c r="F54" s="53" t="str">
        <f aca="false">IF($N54="","",INDEX('ALL ITEMS'!$F:$F,$N54))</f>
        <v/>
      </c>
      <c r="G54" s="53" t="str">
        <f aca="false">IF($N54="","",INDEX('ALL ITEMS'!$G:$G,$N54))</f>
        <v/>
      </c>
      <c r="H54" s="52" t="str">
        <f aca="false">IF($N54="","",INDEX('ALL ITEMS'!$H:$H,$N54))</f>
        <v/>
      </c>
      <c r="I54" s="54" t="str">
        <f aca="false">IF($N54="","",INDEX('ALL ITEMS'!$I:$I,$N54))</f>
        <v/>
      </c>
      <c r="J54" s="54" t="str">
        <f aca="false">IF($N54="","",INDEX('ALL ITEMS'!$J:$J,$N54))</f>
        <v/>
      </c>
      <c r="K54" s="54" t="str">
        <f aca="false">IF($N54="","",INDEX('ALL ITEMS'!$K:$K,$N54))</f>
        <v/>
      </c>
      <c r="L54" s="52" t="str">
        <f aca="false">IF($N54="","",INDEX('ALL ITEMS'!$L:$L,$N54))</f>
        <v/>
      </c>
      <c r="N54" s="0" t="str">
        <f aca="false">IF(ROWS($N$10:N54)&gt;$C$7,"",SMALL('ALL ITEMS'!$M$3:$M$764,ROWS($N$10:N54)))</f>
        <v/>
      </c>
    </row>
    <row r="55" customFormat="false" ht="15" hidden="false" customHeight="false" outlineLevel="0" collapsed="false">
      <c r="A55" s="52" t="str">
        <f aca="false">IF($N55="","",ROWS($N$10:N55))</f>
        <v/>
      </c>
      <c r="B55" s="52" t="str">
        <f aca="false">IF($N55="","",INDEX('ALL ITEMS'!$B:$B,$N55))</f>
        <v/>
      </c>
      <c r="C55" s="53" t="str">
        <f aca="false">IF($N55="","",INDEX('ALL ITEMS'!$A:$A,$N55))</f>
        <v/>
      </c>
      <c r="D55" s="53" t="str">
        <f aca="false">IF($N55="","",INDEX('ALL ITEMS'!$D:$D,$N55))</f>
        <v/>
      </c>
      <c r="E55" s="53" t="str">
        <f aca="false">IF($N55="","",INDEX('ALL ITEMS'!$E:$E,$N55))</f>
        <v/>
      </c>
      <c r="F55" s="53" t="str">
        <f aca="false">IF($N55="","",INDEX('ALL ITEMS'!$F:$F,$N55))</f>
        <v/>
      </c>
      <c r="G55" s="53" t="str">
        <f aca="false">IF($N55="","",INDEX('ALL ITEMS'!$G:$G,$N55))</f>
        <v/>
      </c>
      <c r="H55" s="52" t="str">
        <f aca="false">IF($N55="","",INDEX('ALL ITEMS'!$H:$H,$N55))</f>
        <v/>
      </c>
      <c r="I55" s="54" t="str">
        <f aca="false">IF($N55="","",INDEX('ALL ITEMS'!$I:$I,$N55))</f>
        <v/>
      </c>
      <c r="J55" s="54" t="str">
        <f aca="false">IF($N55="","",INDEX('ALL ITEMS'!$J:$J,$N55))</f>
        <v/>
      </c>
      <c r="K55" s="54" t="str">
        <f aca="false">IF($N55="","",INDEX('ALL ITEMS'!$K:$K,$N55))</f>
        <v/>
      </c>
      <c r="L55" s="52" t="str">
        <f aca="false">IF($N55="","",INDEX('ALL ITEMS'!$L:$L,$N55))</f>
        <v/>
      </c>
      <c r="N55" s="0" t="str">
        <f aca="false">IF(ROWS($N$10:N55)&gt;$C$7,"",SMALL('ALL ITEMS'!$M$3:$M$764,ROWS($N$10:N55)))</f>
        <v/>
      </c>
    </row>
    <row r="56" customFormat="false" ht="15" hidden="false" customHeight="false" outlineLevel="0" collapsed="false">
      <c r="A56" s="52" t="str">
        <f aca="false">IF($N56="","",ROWS($N$10:N56))</f>
        <v/>
      </c>
      <c r="B56" s="52" t="str">
        <f aca="false">IF($N56="","",INDEX('ALL ITEMS'!$B:$B,$N56))</f>
        <v/>
      </c>
      <c r="C56" s="53" t="str">
        <f aca="false">IF($N56="","",INDEX('ALL ITEMS'!$A:$A,$N56))</f>
        <v/>
      </c>
      <c r="D56" s="53" t="str">
        <f aca="false">IF($N56="","",INDEX('ALL ITEMS'!$D:$D,$N56))</f>
        <v/>
      </c>
      <c r="E56" s="53" t="str">
        <f aca="false">IF($N56="","",INDEX('ALL ITEMS'!$E:$E,$N56))</f>
        <v/>
      </c>
      <c r="F56" s="53" t="str">
        <f aca="false">IF($N56="","",INDEX('ALL ITEMS'!$F:$F,$N56))</f>
        <v/>
      </c>
      <c r="G56" s="53" t="str">
        <f aca="false">IF($N56="","",INDEX('ALL ITEMS'!$G:$G,$N56))</f>
        <v/>
      </c>
      <c r="H56" s="52" t="str">
        <f aca="false">IF($N56="","",INDEX('ALL ITEMS'!$H:$H,$N56))</f>
        <v/>
      </c>
      <c r="I56" s="54" t="str">
        <f aca="false">IF($N56="","",INDEX('ALL ITEMS'!$I:$I,$N56))</f>
        <v/>
      </c>
      <c r="J56" s="54" t="str">
        <f aca="false">IF($N56="","",INDEX('ALL ITEMS'!$J:$J,$N56))</f>
        <v/>
      </c>
      <c r="K56" s="54" t="str">
        <f aca="false">IF($N56="","",INDEX('ALL ITEMS'!$K:$K,$N56))</f>
        <v/>
      </c>
      <c r="L56" s="52" t="str">
        <f aca="false">IF($N56="","",INDEX('ALL ITEMS'!$L:$L,$N56))</f>
        <v/>
      </c>
      <c r="N56" s="0" t="str">
        <f aca="false">IF(ROWS($N$10:N56)&gt;$C$7,"",SMALL('ALL ITEMS'!$M$3:$M$764,ROWS($N$10:N56)))</f>
        <v/>
      </c>
    </row>
    <row r="57" customFormat="false" ht="15" hidden="false" customHeight="false" outlineLevel="0" collapsed="false">
      <c r="A57" s="52" t="str">
        <f aca="false">IF($N57="","",ROWS($N$10:N57))</f>
        <v/>
      </c>
      <c r="B57" s="52" t="str">
        <f aca="false">IF($N57="","",INDEX('ALL ITEMS'!$B:$B,$N57))</f>
        <v/>
      </c>
      <c r="C57" s="53" t="str">
        <f aca="false">IF($N57="","",INDEX('ALL ITEMS'!$A:$A,$N57))</f>
        <v/>
      </c>
      <c r="D57" s="53" t="str">
        <f aca="false">IF($N57="","",INDEX('ALL ITEMS'!$D:$D,$N57))</f>
        <v/>
      </c>
      <c r="E57" s="53" t="str">
        <f aca="false">IF($N57="","",INDEX('ALL ITEMS'!$E:$E,$N57))</f>
        <v/>
      </c>
      <c r="F57" s="53" t="str">
        <f aca="false">IF($N57="","",INDEX('ALL ITEMS'!$F:$F,$N57))</f>
        <v/>
      </c>
      <c r="G57" s="53" t="str">
        <f aca="false">IF($N57="","",INDEX('ALL ITEMS'!$G:$G,$N57))</f>
        <v/>
      </c>
      <c r="H57" s="52" t="str">
        <f aca="false">IF($N57="","",INDEX('ALL ITEMS'!$H:$H,$N57))</f>
        <v/>
      </c>
      <c r="I57" s="54" t="str">
        <f aca="false">IF($N57="","",INDEX('ALL ITEMS'!$I:$I,$N57))</f>
        <v/>
      </c>
      <c r="J57" s="54" t="str">
        <f aca="false">IF($N57="","",INDEX('ALL ITEMS'!$J:$J,$N57))</f>
        <v/>
      </c>
      <c r="K57" s="54" t="str">
        <f aca="false">IF($N57="","",INDEX('ALL ITEMS'!$K:$K,$N57))</f>
        <v/>
      </c>
      <c r="L57" s="52" t="str">
        <f aca="false">IF($N57="","",INDEX('ALL ITEMS'!$L:$L,$N57))</f>
        <v/>
      </c>
      <c r="N57" s="0" t="str">
        <f aca="false">IF(ROWS($N$10:N57)&gt;$C$7,"",SMALL('ALL ITEMS'!$M$3:$M$764,ROWS($N$10:N57)))</f>
        <v/>
      </c>
    </row>
    <row r="58" customFormat="false" ht="15" hidden="false" customHeight="false" outlineLevel="0" collapsed="false">
      <c r="A58" s="52" t="str">
        <f aca="false">IF($N58="","",ROWS($N$10:N58))</f>
        <v/>
      </c>
      <c r="B58" s="52" t="str">
        <f aca="false">IF($N58="","",INDEX('ALL ITEMS'!$B:$B,$N58))</f>
        <v/>
      </c>
      <c r="C58" s="53" t="str">
        <f aca="false">IF($N58="","",INDEX('ALL ITEMS'!$A:$A,$N58))</f>
        <v/>
      </c>
      <c r="D58" s="53" t="str">
        <f aca="false">IF($N58="","",INDEX('ALL ITEMS'!$D:$D,$N58))</f>
        <v/>
      </c>
      <c r="E58" s="53" t="str">
        <f aca="false">IF($N58="","",INDEX('ALL ITEMS'!$E:$E,$N58))</f>
        <v/>
      </c>
      <c r="F58" s="53" t="str">
        <f aca="false">IF($N58="","",INDEX('ALL ITEMS'!$F:$F,$N58))</f>
        <v/>
      </c>
      <c r="G58" s="53" t="str">
        <f aca="false">IF($N58="","",INDEX('ALL ITEMS'!$G:$G,$N58))</f>
        <v/>
      </c>
      <c r="H58" s="52" t="str">
        <f aca="false">IF($N58="","",INDEX('ALL ITEMS'!$H:$H,$N58))</f>
        <v/>
      </c>
      <c r="I58" s="54" t="str">
        <f aca="false">IF($N58="","",INDEX('ALL ITEMS'!$I:$I,$N58))</f>
        <v/>
      </c>
      <c r="J58" s="54" t="str">
        <f aca="false">IF($N58="","",INDEX('ALL ITEMS'!$J:$J,$N58))</f>
        <v/>
      </c>
      <c r="K58" s="54" t="str">
        <f aca="false">IF($N58="","",INDEX('ALL ITEMS'!$K:$K,$N58))</f>
        <v/>
      </c>
      <c r="L58" s="52" t="str">
        <f aca="false">IF($N58="","",INDEX('ALL ITEMS'!$L:$L,$N58))</f>
        <v/>
      </c>
      <c r="N58" s="0" t="str">
        <f aca="false">IF(ROWS($N$10:N58)&gt;$C$7,"",SMALL('ALL ITEMS'!$M$3:$M$764,ROWS($N$10:N58)))</f>
        <v/>
      </c>
    </row>
    <row r="59" customFormat="false" ht="15" hidden="false" customHeight="false" outlineLevel="0" collapsed="false">
      <c r="A59" s="52" t="str">
        <f aca="false">IF($N59="","",ROWS($N$10:N59))</f>
        <v/>
      </c>
      <c r="B59" s="52" t="str">
        <f aca="false">IF($N59="","",INDEX('ALL ITEMS'!$B:$B,$N59))</f>
        <v/>
      </c>
      <c r="C59" s="53" t="str">
        <f aca="false">IF($N59="","",INDEX('ALL ITEMS'!$A:$A,$N59))</f>
        <v/>
      </c>
      <c r="D59" s="53" t="str">
        <f aca="false">IF($N59="","",INDEX('ALL ITEMS'!$D:$D,$N59))</f>
        <v/>
      </c>
      <c r="E59" s="53" t="str">
        <f aca="false">IF($N59="","",INDEX('ALL ITEMS'!$E:$E,$N59))</f>
        <v/>
      </c>
      <c r="F59" s="53" t="str">
        <f aca="false">IF($N59="","",INDEX('ALL ITEMS'!$F:$F,$N59))</f>
        <v/>
      </c>
      <c r="G59" s="53" t="str">
        <f aca="false">IF($N59="","",INDEX('ALL ITEMS'!$G:$G,$N59))</f>
        <v/>
      </c>
      <c r="H59" s="52" t="str">
        <f aca="false">IF($N59="","",INDEX('ALL ITEMS'!$H:$H,$N59))</f>
        <v/>
      </c>
      <c r="I59" s="54" t="str">
        <f aca="false">IF($N59="","",INDEX('ALL ITEMS'!$I:$I,$N59))</f>
        <v/>
      </c>
      <c r="J59" s="54" t="str">
        <f aca="false">IF($N59="","",INDEX('ALL ITEMS'!$J:$J,$N59))</f>
        <v/>
      </c>
      <c r="K59" s="54" t="str">
        <f aca="false">IF($N59="","",INDEX('ALL ITEMS'!$K:$K,$N59))</f>
        <v/>
      </c>
      <c r="L59" s="52" t="str">
        <f aca="false">IF($N59="","",INDEX('ALL ITEMS'!$L:$L,$N59))</f>
        <v/>
      </c>
      <c r="N59" s="0" t="str">
        <f aca="false">IF(ROWS($N$10:N59)&gt;$C$7,"",SMALL('ALL ITEMS'!$M$3:$M$764,ROWS($N$10:N59)))</f>
        <v/>
      </c>
    </row>
    <row r="60" customFormat="false" ht="15" hidden="false" customHeight="false" outlineLevel="0" collapsed="false">
      <c r="A60" s="52" t="str">
        <f aca="false">IF($N60="","",ROWS($N$10:N60))</f>
        <v/>
      </c>
      <c r="B60" s="52" t="str">
        <f aca="false">IF($N60="","",INDEX('ALL ITEMS'!$B:$B,$N60))</f>
        <v/>
      </c>
      <c r="C60" s="53" t="str">
        <f aca="false">IF($N60="","",INDEX('ALL ITEMS'!$A:$A,$N60))</f>
        <v/>
      </c>
      <c r="D60" s="53" t="str">
        <f aca="false">IF($N60="","",INDEX('ALL ITEMS'!$D:$D,$N60))</f>
        <v/>
      </c>
      <c r="E60" s="53" t="str">
        <f aca="false">IF($N60="","",INDEX('ALL ITEMS'!$E:$E,$N60))</f>
        <v/>
      </c>
      <c r="F60" s="53" t="str">
        <f aca="false">IF($N60="","",INDEX('ALL ITEMS'!$F:$F,$N60))</f>
        <v/>
      </c>
      <c r="G60" s="53" t="str">
        <f aca="false">IF($N60="","",INDEX('ALL ITEMS'!$G:$G,$N60))</f>
        <v/>
      </c>
      <c r="H60" s="52" t="str">
        <f aca="false">IF($N60="","",INDEX('ALL ITEMS'!$H:$H,$N60))</f>
        <v/>
      </c>
      <c r="I60" s="54" t="str">
        <f aca="false">IF($N60="","",INDEX('ALL ITEMS'!$I:$I,$N60))</f>
        <v/>
      </c>
      <c r="J60" s="54" t="str">
        <f aca="false">IF($N60="","",INDEX('ALL ITEMS'!$J:$J,$N60))</f>
        <v/>
      </c>
      <c r="K60" s="54" t="str">
        <f aca="false">IF($N60="","",INDEX('ALL ITEMS'!$K:$K,$N60))</f>
        <v/>
      </c>
      <c r="L60" s="52" t="str">
        <f aca="false">IF($N60="","",INDEX('ALL ITEMS'!$L:$L,$N60))</f>
        <v/>
      </c>
      <c r="N60" s="0" t="str">
        <f aca="false">IF(ROWS($N$10:N60)&gt;$C$7,"",SMALL('ALL ITEMS'!$M$3:$M$764,ROWS($N$10:N60)))</f>
        <v/>
      </c>
    </row>
    <row r="61" customFormat="false" ht="15" hidden="false" customHeight="false" outlineLevel="0" collapsed="false">
      <c r="A61" s="52" t="str">
        <f aca="false">IF($N61="","",ROWS($N$10:N61))</f>
        <v/>
      </c>
      <c r="B61" s="52" t="str">
        <f aca="false">IF($N61="","",INDEX('ALL ITEMS'!$B:$B,$N61))</f>
        <v/>
      </c>
      <c r="C61" s="53" t="str">
        <f aca="false">IF($N61="","",INDEX('ALL ITEMS'!$A:$A,$N61))</f>
        <v/>
      </c>
      <c r="D61" s="53" t="str">
        <f aca="false">IF($N61="","",INDEX('ALL ITEMS'!$D:$D,$N61))</f>
        <v/>
      </c>
      <c r="E61" s="53" t="str">
        <f aca="false">IF($N61="","",INDEX('ALL ITEMS'!$E:$E,$N61))</f>
        <v/>
      </c>
      <c r="F61" s="53" t="str">
        <f aca="false">IF($N61="","",INDEX('ALL ITEMS'!$F:$F,$N61))</f>
        <v/>
      </c>
      <c r="G61" s="53" t="str">
        <f aca="false">IF($N61="","",INDEX('ALL ITEMS'!$G:$G,$N61))</f>
        <v/>
      </c>
      <c r="H61" s="52" t="str">
        <f aca="false">IF($N61="","",INDEX('ALL ITEMS'!$H:$H,$N61))</f>
        <v/>
      </c>
      <c r="I61" s="54" t="str">
        <f aca="false">IF($N61="","",INDEX('ALL ITEMS'!$I:$I,$N61))</f>
        <v/>
      </c>
      <c r="J61" s="54" t="str">
        <f aca="false">IF($N61="","",INDEX('ALL ITEMS'!$J:$J,$N61))</f>
        <v/>
      </c>
      <c r="K61" s="54" t="str">
        <f aca="false">IF($N61="","",INDEX('ALL ITEMS'!$K:$K,$N61))</f>
        <v/>
      </c>
      <c r="L61" s="52" t="str">
        <f aca="false">IF($N61="","",INDEX('ALL ITEMS'!$L:$L,$N61))</f>
        <v/>
      </c>
      <c r="N61" s="0" t="str">
        <f aca="false">IF(ROWS($N$10:N61)&gt;$C$7,"",SMALL('ALL ITEMS'!$M$3:$M$764,ROWS($N$10:N61)))</f>
        <v/>
      </c>
    </row>
    <row r="62" customFormat="false" ht="15" hidden="false" customHeight="false" outlineLevel="0" collapsed="false">
      <c r="A62" s="52" t="str">
        <f aca="false">IF($N62="","",ROWS($N$10:N62))</f>
        <v/>
      </c>
      <c r="B62" s="52" t="str">
        <f aca="false">IF($N62="","",INDEX('ALL ITEMS'!$B:$B,$N62))</f>
        <v/>
      </c>
      <c r="C62" s="53" t="str">
        <f aca="false">IF($N62="","",INDEX('ALL ITEMS'!$A:$A,$N62))</f>
        <v/>
      </c>
      <c r="D62" s="53" t="str">
        <f aca="false">IF($N62="","",INDEX('ALL ITEMS'!$D:$D,$N62))</f>
        <v/>
      </c>
      <c r="E62" s="53" t="str">
        <f aca="false">IF($N62="","",INDEX('ALL ITEMS'!$E:$E,$N62))</f>
        <v/>
      </c>
      <c r="F62" s="53" t="str">
        <f aca="false">IF($N62="","",INDEX('ALL ITEMS'!$F:$F,$N62))</f>
        <v/>
      </c>
      <c r="G62" s="53" t="str">
        <f aca="false">IF($N62="","",INDEX('ALL ITEMS'!$G:$G,$N62))</f>
        <v/>
      </c>
      <c r="H62" s="52" t="str">
        <f aca="false">IF($N62="","",INDEX('ALL ITEMS'!$H:$H,$N62))</f>
        <v/>
      </c>
      <c r="I62" s="54" t="str">
        <f aca="false">IF($N62="","",INDEX('ALL ITEMS'!$I:$I,$N62))</f>
        <v/>
      </c>
      <c r="J62" s="54" t="str">
        <f aca="false">IF($N62="","",INDEX('ALL ITEMS'!$J:$J,$N62))</f>
        <v/>
      </c>
      <c r="K62" s="54" t="str">
        <f aca="false">IF($N62="","",INDEX('ALL ITEMS'!$K:$K,$N62))</f>
        <v/>
      </c>
      <c r="L62" s="52" t="str">
        <f aca="false">IF($N62="","",INDEX('ALL ITEMS'!$L:$L,$N62))</f>
        <v/>
      </c>
      <c r="N62" s="0" t="str">
        <f aca="false">IF(ROWS($N$10:N62)&gt;$C$7,"",SMALL('ALL ITEMS'!$M$3:$M$764,ROWS($N$10:N62)))</f>
        <v/>
      </c>
    </row>
    <row r="63" customFormat="false" ht="15" hidden="false" customHeight="false" outlineLevel="0" collapsed="false">
      <c r="A63" s="52" t="str">
        <f aca="false">IF($N63="","",ROWS($N$10:N63))</f>
        <v/>
      </c>
      <c r="B63" s="52" t="str">
        <f aca="false">IF($N63="","",INDEX('ALL ITEMS'!$B:$B,$N63))</f>
        <v/>
      </c>
      <c r="C63" s="53" t="str">
        <f aca="false">IF($N63="","",INDEX('ALL ITEMS'!$A:$A,$N63))</f>
        <v/>
      </c>
      <c r="D63" s="53" t="str">
        <f aca="false">IF($N63="","",INDEX('ALL ITEMS'!$D:$D,$N63))</f>
        <v/>
      </c>
      <c r="E63" s="53" t="str">
        <f aca="false">IF($N63="","",INDEX('ALL ITEMS'!$E:$E,$N63))</f>
        <v/>
      </c>
      <c r="F63" s="53" t="str">
        <f aca="false">IF($N63="","",INDEX('ALL ITEMS'!$F:$F,$N63))</f>
        <v/>
      </c>
      <c r="G63" s="53" t="str">
        <f aca="false">IF($N63="","",INDEX('ALL ITEMS'!$G:$G,$N63))</f>
        <v/>
      </c>
      <c r="H63" s="52" t="str">
        <f aca="false">IF($N63="","",INDEX('ALL ITEMS'!$H:$H,$N63))</f>
        <v/>
      </c>
      <c r="I63" s="54" t="str">
        <f aca="false">IF($N63="","",INDEX('ALL ITEMS'!$I:$I,$N63))</f>
        <v/>
      </c>
      <c r="J63" s="54" t="str">
        <f aca="false">IF($N63="","",INDEX('ALL ITEMS'!$J:$J,$N63))</f>
        <v/>
      </c>
      <c r="K63" s="54" t="str">
        <f aca="false">IF($N63="","",INDEX('ALL ITEMS'!$K:$K,$N63))</f>
        <v/>
      </c>
      <c r="L63" s="52" t="str">
        <f aca="false">IF($N63="","",INDEX('ALL ITEMS'!$L:$L,$N63))</f>
        <v/>
      </c>
      <c r="N63" s="0" t="str">
        <f aca="false">IF(ROWS($N$10:N63)&gt;$C$7,"",SMALL('ALL ITEMS'!$M$3:$M$764,ROWS($N$10:N63)))</f>
        <v/>
      </c>
    </row>
    <row r="64" customFormat="false" ht="15" hidden="false" customHeight="false" outlineLevel="0" collapsed="false">
      <c r="A64" s="52" t="str">
        <f aca="false">IF($N64="","",ROWS($N$10:N64))</f>
        <v/>
      </c>
      <c r="B64" s="52" t="str">
        <f aca="false">IF($N64="","",INDEX('ALL ITEMS'!$B:$B,$N64))</f>
        <v/>
      </c>
      <c r="C64" s="53" t="str">
        <f aca="false">IF($N64="","",INDEX('ALL ITEMS'!$A:$A,$N64))</f>
        <v/>
      </c>
      <c r="D64" s="53" t="str">
        <f aca="false">IF($N64="","",INDEX('ALL ITEMS'!$D:$D,$N64))</f>
        <v/>
      </c>
      <c r="E64" s="53" t="str">
        <f aca="false">IF($N64="","",INDEX('ALL ITEMS'!$E:$E,$N64))</f>
        <v/>
      </c>
      <c r="F64" s="53" t="str">
        <f aca="false">IF($N64="","",INDEX('ALL ITEMS'!$F:$F,$N64))</f>
        <v/>
      </c>
      <c r="G64" s="53" t="str">
        <f aca="false">IF($N64="","",INDEX('ALL ITEMS'!$G:$G,$N64))</f>
        <v/>
      </c>
      <c r="H64" s="52" t="str">
        <f aca="false">IF($N64="","",INDEX('ALL ITEMS'!$H:$H,$N64))</f>
        <v/>
      </c>
      <c r="I64" s="54" t="str">
        <f aca="false">IF($N64="","",INDEX('ALL ITEMS'!$I:$I,$N64))</f>
        <v/>
      </c>
      <c r="J64" s="54" t="str">
        <f aca="false">IF($N64="","",INDEX('ALL ITEMS'!$J:$J,$N64))</f>
        <v/>
      </c>
      <c r="K64" s="54" t="str">
        <f aca="false">IF($N64="","",INDEX('ALL ITEMS'!$K:$K,$N64))</f>
        <v/>
      </c>
      <c r="L64" s="52" t="str">
        <f aca="false">IF($N64="","",INDEX('ALL ITEMS'!$L:$L,$N64))</f>
        <v/>
      </c>
      <c r="N64" s="0" t="str">
        <f aca="false">IF(ROWS($N$10:N64)&gt;$C$7,"",SMALL('ALL ITEMS'!$M$3:$M$764,ROWS($N$10:N64)))</f>
        <v/>
      </c>
    </row>
    <row r="65" customFormat="false" ht="15" hidden="false" customHeight="false" outlineLevel="0" collapsed="false">
      <c r="A65" s="52" t="str">
        <f aca="false">IF($N65="","",ROWS($N$10:N65))</f>
        <v/>
      </c>
      <c r="B65" s="52" t="str">
        <f aca="false">IF($N65="","",INDEX('ALL ITEMS'!$B:$B,$N65))</f>
        <v/>
      </c>
      <c r="C65" s="53" t="str">
        <f aca="false">IF($N65="","",INDEX('ALL ITEMS'!$A:$A,$N65))</f>
        <v/>
      </c>
      <c r="D65" s="53" t="str">
        <f aca="false">IF($N65="","",INDEX('ALL ITEMS'!$D:$D,$N65))</f>
        <v/>
      </c>
      <c r="E65" s="53" t="str">
        <f aca="false">IF($N65="","",INDEX('ALL ITEMS'!$E:$E,$N65))</f>
        <v/>
      </c>
      <c r="F65" s="53" t="str">
        <f aca="false">IF($N65="","",INDEX('ALL ITEMS'!$F:$F,$N65))</f>
        <v/>
      </c>
      <c r="G65" s="53" t="str">
        <f aca="false">IF($N65="","",INDEX('ALL ITEMS'!$G:$G,$N65))</f>
        <v/>
      </c>
      <c r="H65" s="52" t="str">
        <f aca="false">IF($N65="","",INDEX('ALL ITEMS'!$H:$H,$N65))</f>
        <v/>
      </c>
      <c r="I65" s="54" t="str">
        <f aca="false">IF($N65="","",INDEX('ALL ITEMS'!$I:$I,$N65))</f>
        <v/>
      </c>
      <c r="J65" s="54" t="str">
        <f aca="false">IF($N65="","",INDEX('ALL ITEMS'!$J:$J,$N65))</f>
        <v/>
      </c>
      <c r="K65" s="54" t="str">
        <f aca="false">IF($N65="","",INDEX('ALL ITEMS'!$K:$K,$N65))</f>
        <v/>
      </c>
      <c r="L65" s="52" t="str">
        <f aca="false">IF($N65="","",INDEX('ALL ITEMS'!$L:$L,$N65))</f>
        <v/>
      </c>
      <c r="N65" s="0" t="str">
        <f aca="false">IF(ROWS($N$10:N65)&gt;$C$7,"",SMALL('ALL ITEMS'!$M$3:$M$764,ROWS($N$10:N65)))</f>
        <v/>
      </c>
    </row>
    <row r="66" customFormat="false" ht="15" hidden="false" customHeight="false" outlineLevel="0" collapsed="false">
      <c r="A66" s="52" t="str">
        <f aca="false">IF($N66="","",ROWS($N$10:N66))</f>
        <v/>
      </c>
      <c r="B66" s="52" t="str">
        <f aca="false">IF($N66="","",INDEX('ALL ITEMS'!$B:$B,$N66))</f>
        <v/>
      </c>
      <c r="C66" s="53" t="str">
        <f aca="false">IF($N66="","",INDEX('ALL ITEMS'!$A:$A,$N66))</f>
        <v/>
      </c>
      <c r="D66" s="53" t="str">
        <f aca="false">IF($N66="","",INDEX('ALL ITEMS'!$D:$D,$N66))</f>
        <v/>
      </c>
      <c r="E66" s="53" t="str">
        <f aca="false">IF($N66="","",INDEX('ALL ITEMS'!$E:$E,$N66))</f>
        <v/>
      </c>
      <c r="F66" s="53" t="str">
        <f aca="false">IF($N66="","",INDEX('ALL ITEMS'!$F:$F,$N66))</f>
        <v/>
      </c>
      <c r="G66" s="53" t="str">
        <f aca="false">IF($N66="","",INDEX('ALL ITEMS'!$G:$G,$N66))</f>
        <v/>
      </c>
      <c r="H66" s="52" t="str">
        <f aca="false">IF($N66="","",INDEX('ALL ITEMS'!$H:$H,$N66))</f>
        <v/>
      </c>
      <c r="I66" s="54" t="str">
        <f aca="false">IF($N66="","",INDEX('ALL ITEMS'!$I:$I,$N66))</f>
        <v/>
      </c>
      <c r="J66" s="54" t="str">
        <f aca="false">IF($N66="","",INDEX('ALL ITEMS'!$J:$J,$N66))</f>
        <v/>
      </c>
      <c r="K66" s="54" t="str">
        <f aca="false">IF($N66="","",INDEX('ALL ITEMS'!$K:$K,$N66))</f>
        <v/>
      </c>
      <c r="L66" s="52" t="str">
        <f aca="false">IF($N66="","",INDEX('ALL ITEMS'!$L:$L,$N66))</f>
        <v/>
      </c>
      <c r="N66" s="0" t="str">
        <f aca="false">IF(ROWS($N$10:N66)&gt;$C$7,"",SMALL('ALL ITEMS'!$M$3:$M$764,ROWS($N$10:N66)))</f>
        <v/>
      </c>
    </row>
    <row r="67" customFormat="false" ht="15" hidden="false" customHeight="false" outlineLevel="0" collapsed="false">
      <c r="A67" s="52" t="str">
        <f aca="false">IF($N67="","",ROWS($N$10:N67))</f>
        <v/>
      </c>
      <c r="B67" s="52" t="str">
        <f aca="false">IF($N67="","",INDEX('ALL ITEMS'!$B:$B,$N67))</f>
        <v/>
      </c>
      <c r="C67" s="53" t="str">
        <f aca="false">IF($N67="","",INDEX('ALL ITEMS'!$A:$A,$N67))</f>
        <v/>
      </c>
      <c r="D67" s="53" t="str">
        <f aca="false">IF($N67="","",INDEX('ALL ITEMS'!$D:$D,$N67))</f>
        <v/>
      </c>
      <c r="E67" s="53" t="str">
        <f aca="false">IF($N67="","",INDEX('ALL ITEMS'!$E:$E,$N67))</f>
        <v/>
      </c>
      <c r="F67" s="53" t="str">
        <f aca="false">IF($N67="","",INDEX('ALL ITEMS'!$F:$F,$N67))</f>
        <v/>
      </c>
      <c r="G67" s="53" t="str">
        <f aca="false">IF($N67="","",INDEX('ALL ITEMS'!$G:$G,$N67))</f>
        <v/>
      </c>
      <c r="H67" s="52" t="str">
        <f aca="false">IF($N67="","",INDEX('ALL ITEMS'!$H:$H,$N67))</f>
        <v/>
      </c>
      <c r="I67" s="54" t="str">
        <f aca="false">IF($N67="","",INDEX('ALL ITEMS'!$I:$I,$N67))</f>
        <v/>
      </c>
      <c r="J67" s="54" t="str">
        <f aca="false">IF($N67="","",INDEX('ALL ITEMS'!$J:$J,$N67))</f>
        <v/>
      </c>
      <c r="K67" s="54" t="str">
        <f aca="false">IF($N67="","",INDEX('ALL ITEMS'!$K:$K,$N67))</f>
        <v/>
      </c>
      <c r="L67" s="52" t="str">
        <f aca="false">IF($N67="","",INDEX('ALL ITEMS'!$L:$L,$N67))</f>
        <v/>
      </c>
      <c r="N67" s="0" t="str">
        <f aca="false">IF(ROWS($N$10:N67)&gt;$C$7,"",SMALL('ALL ITEMS'!$M$3:$M$764,ROWS($N$10:N67)))</f>
        <v/>
      </c>
    </row>
    <row r="68" customFormat="false" ht="15" hidden="false" customHeight="false" outlineLevel="0" collapsed="false">
      <c r="A68" s="52" t="str">
        <f aca="false">IF($N68="","",ROWS($N$10:N68))</f>
        <v/>
      </c>
      <c r="B68" s="52" t="str">
        <f aca="false">IF($N68="","",INDEX('ALL ITEMS'!$B:$B,$N68))</f>
        <v/>
      </c>
      <c r="C68" s="53" t="str">
        <f aca="false">IF($N68="","",INDEX('ALL ITEMS'!$A:$A,$N68))</f>
        <v/>
      </c>
      <c r="D68" s="53" t="str">
        <f aca="false">IF($N68="","",INDEX('ALL ITEMS'!$D:$D,$N68))</f>
        <v/>
      </c>
      <c r="E68" s="53" t="str">
        <f aca="false">IF($N68="","",INDEX('ALL ITEMS'!$E:$E,$N68))</f>
        <v/>
      </c>
      <c r="F68" s="53" t="str">
        <f aca="false">IF($N68="","",INDEX('ALL ITEMS'!$F:$F,$N68))</f>
        <v/>
      </c>
      <c r="G68" s="53" t="str">
        <f aca="false">IF($N68="","",INDEX('ALL ITEMS'!$G:$G,$N68))</f>
        <v/>
      </c>
      <c r="H68" s="52" t="str">
        <f aca="false">IF($N68="","",INDEX('ALL ITEMS'!$H:$H,$N68))</f>
        <v/>
      </c>
      <c r="I68" s="54" t="str">
        <f aca="false">IF($N68="","",INDEX('ALL ITEMS'!$I:$I,$N68))</f>
        <v/>
      </c>
      <c r="J68" s="54" t="str">
        <f aca="false">IF($N68="","",INDEX('ALL ITEMS'!$J:$J,$N68))</f>
        <v/>
      </c>
      <c r="K68" s="54" t="str">
        <f aca="false">IF($N68="","",INDEX('ALL ITEMS'!$K:$K,$N68))</f>
        <v/>
      </c>
      <c r="L68" s="52" t="str">
        <f aca="false">IF($N68="","",INDEX('ALL ITEMS'!$L:$L,$N68))</f>
        <v/>
      </c>
      <c r="N68" s="0" t="str">
        <f aca="false">IF(ROWS($N$10:N68)&gt;$C$7,"",SMALL('ALL ITEMS'!$M$3:$M$764,ROWS($N$10:N68)))</f>
        <v/>
      </c>
    </row>
    <row r="69" customFormat="false" ht="15" hidden="false" customHeight="false" outlineLevel="0" collapsed="false">
      <c r="A69" s="52" t="str">
        <f aca="false">IF($N69="","",ROWS($N$10:N69))</f>
        <v/>
      </c>
      <c r="B69" s="52" t="str">
        <f aca="false">IF($N69="","",INDEX('ALL ITEMS'!$B:$B,$N69))</f>
        <v/>
      </c>
      <c r="C69" s="53" t="str">
        <f aca="false">IF($N69="","",INDEX('ALL ITEMS'!$A:$A,$N69))</f>
        <v/>
      </c>
      <c r="D69" s="53" t="str">
        <f aca="false">IF($N69="","",INDEX('ALL ITEMS'!$D:$D,$N69))</f>
        <v/>
      </c>
      <c r="E69" s="53" t="str">
        <f aca="false">IF($N69="","",INDEX('ALL ITEMS'!$E:$E,$N69))</f>
        <v/>
      </c>
      <c r="F69" s="53" t="str">
        <f aca="false">IF($N69="","",INDEX('ALL ITEMS'!$F:$F,$N69))</f>
        <v/>
      </c>
      <c r="G69" s="53" t="str">
        <f aca="false">IF($N69="","",INDEX('ALL ITEMS'!$G:$G,$N69))</f>
        <v/>
      </c>
      <c r="H69" s="52" t="str">
        <f aca="false">IF($N69="","",INDEX('ALL ITEMS'!$H:$H,$N69))</f>
        <v/>
      </c>
      <c r="I69" s="54" t="str">
        <f aca="false">IF($N69="","",INDEX('ALL ITEMS'!$I:$I,$N69))</f>
        <v/>
      </c>
      <c r="J69" s="54" t="str">
        <f aca="false">IF($N69="","",INDEX('ALL ITEMS'!$J:$J,$N69))</f>
        <v/>
      </c>
      <c r="K69" s="54" t="str">
        <f aca="false">IF($N69="","",INDEX('ALL ITEMS'!$K:$K,$N69))</f>
        <v/>
      </c>
      <c r="L69" s="52" t="str">
        <f aca="false">IF($N69="","",INDEX('ALL ITEMS'!$L:$L,$N69))</f>
        <v/>
      </c>
      <c r="N69" s="0" t="str">
        <f aca="false">IF(ROWS($N$10:N69)&gt;$C$7,"",SMALL('ALL ITEMS'!$M$3:$M$764,ROWS($N$10:N69)))</f>
        <v/>
      </c>
    </row>
    <row r="70" customFormat="false" ht="15" hidden="false" customHeight="false" outlineLevel="0" collapsed="false">
      <c r="A70" s="52" t="str">
        <f aca="false">IF($N70="","",ROWS($N$10:N70))</f>
        <v/>
      </c>
      <c r="B70" s="52" t="str">
        <f aca="false">IF($N70="","",INDEX('ALL ITEMS'!$B:$B,$N70))</f>
        <v/>
      </c>
      <c r="C70" s="53" t="str">
        <f aca="false">IF($N70="","",INDEX('ALL ITEMS'!$A:$A,$N70))</f>
        <v/>
      </c>
      <c r="D70" s="53" t="str">
        <f aca="false">IF($N70="","",INDEX('ALL ITEMS'!$D:$D,$N70))</f>
        <v/>
      </c>
      <c r="E70" s="53" t="str">
        <f aca="false">IF($N70="","",INDEX('ALL ITEMS'!$E:$E,$N70))</f>
        <v/>
      </c>
      <c r="F70" s="53" t="str">
        <f aca="false">IF($N70="","",INDEX('ALL ITEMS'!$F:$F,$N70))</f>
        <v/>
      </c>
      <c r="G70" s="53" t="str">
        <f aca="false">IF($N70="","",INDEX('ALL ITEMS'!$G:$G,$N70))</f>
        <v/>
      </c>
      <c r="H70" s="52" t="str">
        <f aca="false">IF($N70="","",INDEX('ALL ITEMS'!$H:$H,$N70))</f>
        <v/>
      </c>
      <c r="I70" s="54" t="str">
        <f aca="false">IF($N70="","",INDEX('ALL ITEMS'!$I:$I,$N70))</f>
        <v/>
      </c>
      <c r="J70" s="54" t="str">
        <f aca="false">IF($N70="","",INDEX('ALL ITEMS'!$J:$J,$N70))</f>
        <v/>
      </c>
      <c r="K70" s="54" t="str">
        <f aca="false">IF($N70="","",INDEX('ALL ITEMS'!$K:$K,$N70))</f>
        <v/>
      </c>
      <c r="L70" s="52" t="str">
        <f aca="false">IF($N70="","",INDEX('ALL ITEMS'!$L:$L,$N70))</f>
        <v/>
      </c>
      <c r="N70" s="0" t="str">
        <f aca="false">IF(ROWS($N$10:N70)&gt;$C$7,"",SMALL('ALL ITEMS'!$M$3:$M$764,ROWS($N$10:N70)))</f>
        <v/>
      </c>
    </row>
    <row r="71" customFormat="false" ht="15" hidden="false" customHeight="false" outlineLevel="0" collapsed="false">
      <c r="A71" s="52" t="str">
        <f aca="false">IF($N71="","",ROWS($N$10:N71))</f>
        <v/>
      </c>
      <c r="B71" s="52" t="str">
        <f aca="false">IF($N71="","",INDEX('ALL ITEMS'!$B:$B,$N71))</f>
        <v/>
      </c>
      <c r="C71" s="53" t="str">
        <f aca="false">IF($N71="","",INDEX('ALL ITEMS'!$A:$A,$N71))</f>
        <v/>
      </c>
      <c r="D71" s="53" t="str">
        <f aca="false">IF($N71="","",INDEX('ALL ITEMS'!$D:$D,$N71))</f>
        <v/>
      </c>
      <c r="E71" s="53" t="str">
        <f aca="false">IF($N71="","",INDEX('ALL ITEMS'!$E:$E,$N71))</f>
        <v/>
      </c>
      <c r="F71" s="53" t="str">
        <f aca="false">IF($N71="","",INDEX('ALL ITEMS'!$F:$F,$N71))</f>
        <v/>
      </c>
      <c r="G71" s="53" t="str">
        <f aca="false">IF($N71="","",INDEX('ALL ITEMS'!$G:$G,$N71))</f>
        <v/>
      </c>
      <c r="H71" s="52" t="str">
        <f aca="false">IF($N71="","",INDEX('ALL ITEMS'!$H:$H,$N71))</f>
        <v/>
      </c>
      <c r="I71" s="54" t="str">
        <f aca="false">IF($N71="","",INDEX('ALL ITEMS'!$I:$I,$N71))</f>
        <v/>
      </c>
      <c r="J71" s="54" t="str">
        <f aca="false">IF($N71="","",INDEX('ALL ITEMS'!$J:$J,$N71))</f>
        <v/>
      </c>
      <c r="K71" s="54" t="str">
        <f aca="false">IF($N71="","",INDEX('ALL ITEMS'!$K:$K,$N71))</f>
        <v/>
      </c>
      <c r="L71" s="52" t="str">
        <f aca="false">IF($N71="","",INDEX('ALL ITEMS'!$L:$L,$N71))</f>
        <v/>
      </c>
      <c r="N71" s="0" t="str">
        <f aca="false">IF(ROWS($N$10:N71)&gt;$C$7,"",SMALL('ALL ITEMS'!$M$3:$M$764,ROWS($N$10:N71)))</f>
        <v/>
      </c>
    </row>
    <row r="72" customFormat="false" ht="15" hidden="false" customHeight="false" outlineLevel="0" collapsed="false">
      <c r="A72" s="52" t="str">
        <f aca="false">IF($N72="","",ROWS($N$10:N72))</f>
        <v/>
      </c>
      <c r="B72" s="52" t="str">
        <f aca="false">IF($N72="","",INDEX('ALL ITEMS'!$B:$B,$N72))</f>
        <v/>
      </c>
      <c r="C72" s="53" t="str">
        <f aca="false">IF($N72="","",INDEX('ALL ITEMS'!$A:$A,$N72))</f>
        <v/>
      </c>
      <c r="D72" s="53" t="str">
        <f aca="false">IF($N72="","",INDEX('ALL ITEMS'!$D:$D,$N72))</f>
        <v/>
      </c>
      <c r="E72" s="53" t="str">
        <f aca="false">IF($N72="","",INDEX('ALL ITEMS'!$E:$E,$N72))</f>
        <v/>
      </c>
      <c r="F72" s="53" t="str">
        <f aca="false">IF($N72="","",INDEX('ALL ITEMS'!$F:$F,$N72))</f>
        <v/>
      </c>
      <c r="G72" s="53" t="str">
        <f aca="false">IF($N72="","",INDEX('ALL ITEMS'!$G:$G,$N72))</f>
        <v/>
      </c>
      <c r="H72" s="52" t="str">
        <f aca="false">IF($N72="","",INDEX('ALL ITEMS'!$H:$H,$N72))</f>
        <v/>
      </c>
      <c r="I72" s="54" t="str">
        <f aca="false">IF($N72="","",INDEX('ALL ITEMS'!$I:$I,$N72))</f>
        <v/>
      </c>
      <c r="J72" s="54" t="str">
        <f aca="false">IF($N72="","",INDEX('ALL ITEMS'!$J:$J,$N72))</f>
        <v/>
      </c>
      <c r="K72" s="54" t="str">
        <f aca="false">IF($N72="","",INDEX('ALL ITEMS'!$K:$K,$N72))</f>
        <v/>
      </c>
      <c r="L72" s="52" t="str">
        <f aca="false">IF($N72="","",INDEX('ALL ITEMS'!$L:$L,$N72))</f>
        <v/>
      </c>
      <c r="N72" s="0" t="str">
        <f aca="false">IF(ROWS($N$10:N72)&gt;$C$7,"",SMALL('ALL ITEMS'!$M$3:$M$764,ROWS($N$10:N72)))</f>
        <v/>
      </c>
    </row>
    <row r="73" customFormat="false" ht="15" hidden="false" customHeight="false" outlineLevel="0" collapsed="false">
      <c r="A73" s="52" t="str">
        <f aca="false">IF($N73="","",ROWS($N$10:N73))</f>
        <v/>
      </c>
      <c r="B73" s="52" t="str">
        <f aca="false">IF($N73="","",INDEX('ALL ITEMS'!$B:$B,$N73))</f>
        <v/>
      </c>
      <c r="C73" s="53" t="str">
        <f aca="false">IF($N73="","",INDEX('ALL ITEMS'!$A:$A,$N73))</f>
        <v/>
      </c>
      <c r="D73" s="53" t="str">
        <f aca="false">IF($N73="","",INDEX('ALL ITEMS'!$D:$D,$N73))</f>
        <v/>
      </c>
      <c r="E73" s="53" t="str">
        <f aca="false">IF($N73="","",INDEX('ALL ITEMS'!$E:$E,$N73))</f>
        <v/>
      </c>
      <c r="F73" s="53" t="str">
        <f aca="false">IF($N73="","",INDEX('ALL ITEMS'!$F:$F,$N73))</f>
        <v/>
      </c>
      <c r="G73" s="53" t="str">
        <f aca="false">IF($N73="","",INDEX('ALL ITEMS'!$G:$G,$N73))</f>
        <v/>
      </c>
      <c r="H73" s="52" t="str">
        <f aca="false">IF($N73="","",INDEX('ALL ITEMS'!$H:$H,$N73))</f>
        <v/>
      </c>
      <c r="I73" s="54" t="str">
        <f aca="false">IF($N73="","",INDEX('ALL ITEMS'!$I:$I,$N73))</f>
        <v/>
      </c>
      <c r="J73" s="54" t="str">
        <f aca="false">IF($N73="","",INDEX('ALL ITEMS'!$J:$J,$N73))</f>
        <v/>
      </c>
      <c r="K73" s="54" t="str">
        <f aca="false">IF($N73="","",INDEX('ALL ITEMS'!$K:$K,$N73))</f>
        <v/>
      </c>
      <c r="L73" s="52" t="str">
        <f aca="false">IF($N73="","",INDEX('ALL ITEMS'!$L:$L,$N73))</f>
        <v/>
      </c>
      <c r="N73" s="0" t="str">
        <f aca="false">IF(ROWS($N$10:N73)&gt;$C$7,"",SMALL('ALL ITEMS'!$M$3:$M$764,ROWS($N$10:N73)))</f>
        <v/>
      </c>
    </row>
    <row r="74" customFormat="false" ht="15" hidden="false" customHeight="false" outlineLevel="0" collapsed="false">
      <c r="A74" s="52" t="str">
        <f aca="false">IF($N74="","",ROWS($N$10:N74))</f>
        <v/>
      </c>
      <c r="B74" s="52" t="str">
        <f aca="false">IF($N74="","",INDEX('ALL ITEMS'!$B:$B,$N74))</f>
        <v/>
      </c>
      <c r="C74" s="53" t="str">
        <f aca="false">IF($N74="","",INDEX('ALL ITEMS'!$A:$A,$N74))</f>
        <v/>
      </c>
      <c r="D74" s="53" t="str">
        <f aca="false">IF($N74="","",INDEX('ALL ITEMS'!$D:$D,$N74))</f>
        <v/>
      </c>
      <c r="E74" s="53" t="str">
        <f aca="false">IF($N74="","",INDEX('ALL ITEMS'!$E:$E,$N74))</f>
        <v/>
      </c>
      <c r="F74" s="53" t="str">
        <f aca="false">IF($N74="","",INDEX('ALL ITEMS'!$F:$F,$N74))</f>
        <v/>
      </c>
      <c r="G74" s="53" t="str">
        <f aca="false">IF($N74="","",INDEX('ALL ITEMS'!$G:$G,$N74))</f>
        <v/>
      </c>
      <c r="H74" s="52" t="str">
        <f aca="false">IF($N74="","",INDEX('ALL ITEMS'!$H:$H,$N74))</f>
        <v/>
      </c>
      <c r="I74" s="54" t="str">
        <f aca="false">IF($N74="","",INDEX('ALL ITEMS'!$I:$I,$N74))</f>
        <v/>
      </c>
      <c r="J74" s="54" t="str">
        <f aca="false">IF($N74="","",INDEX('ALL ITEMS'!$J:$J,$N74))</f>
        <v/>
      </c>
      <c r="K74" s="54" t="str">
        <f aca="false">IF($N74="","",INDEX('ALL ITEMS'!$K:$K,$N74))</f>
        <v/>
      </c>
      <c r="L74" s="52" t="str">
        <f aca="false">IF($N74="","",INDEX('ALL ITEMS'!$L:$L,$N74))</f>
        <v/>
      </c>
      <c r="N74" s="0" t="str">
        <f aca="false">IF(ROWS($N$10:N74)&gt;$C$7,"",SMALL('ALL ITEMS'!$M$3:$M$764,ROWS($N$10:N74)))</f>
        <v/>
      </c>
    </row>
    <row r="75" customFormat="false" ht="15" hidden="false" customHeight="false" outlineLevel="0" collapsed="false">
      <c r="A75" s="52" t="str">
        <f aca="false">IF($N75="","",ROWS($N$10:N75))</f>
        <v/>
      </c>
      <c r="B75" s="52" t="str">
        <f aca="false">IF($N75="","",INDEX('ALL ITEMS'!$B:$B,$N75))</f>
        <v/>
      </c>
      <c r="C75" s="53" t="str">
        <f aca="false">IF($N75="","",INDEX('ALL ITEMS'!$A:$A,$N75))</f>
        <v/>
      </c>
      <c r="D75" s="53" t="str">
        <f aca="false">IF($N75="","",INDEX('ALL ITEMS'!$D:$D,$N75))</f>
        <v/>
      </c>
      <c r="E75" s="53" t="str">
        <f aca="false">IF($N75="","",INDEX('ALL ITEMS'!$E:$E,$N75))</f>
        <v/>
      </c>
      <c r="F75" s="53" t="str">
        <f aca="false">IF($N75="","",INDEX('ALL ITEMS'!$F:$F,$N75))</f>
        <v/>
      </c>
      <c r="G75" s="53" t="str">
        <f aca="false">IF($N75="","",INDEX('ALL ITEMS'!$G:$G,$N75))</f>
        <v/>
      </c>
      <c r="H75" s="52" t="str">
        <f aca="false">IF($N75="","",INDEX('ALL ITEMS'!$H:$H,$N75))</f>
        <v/>
      </c>
      <c r="I75" s="54" t="str">
        <f aca="false">IF($N75="","",INDEX('ALL ITEMS'!$I:$I,$N75))</f>
        <v/>
      </c>
      <c r="J75" s="54" t="str">
        <f aca="false">IF($N75="","",INDEX('ALL ITEMS'!$J:$J,$N75))</f>
        <v/>
      </c>
      <c r="K75" s="54" t="str">
        <f aca="false">IF($N75="","",INDEX('ALL ITEMS'!$K:$K,$N75))</f>
        <v/>
      </c>
      <c r="L75" s="52" t="str">
        <f aca="false">IF($N75="","",INDEX('ALL ITEMS'!$L:$L,$N75))</f>
        <v/>
      </c>
      <c r="N75" s="0" t="str">
        <f aca="false">IF(ROWS($N$10:N75)&gt;$C$7,"",SMALL('ALL ITEMS'!$M$3:$M$764,ROWS($N$10:N75)))</f>
        <v/>
      </c>
    </row>
    <row r="76" customFormat="false" ht="15" hidden="false" customHeight="false" outlineLevel="0" collapsed="false">
      <c r="A76" s="52" t="str">
        <f aca="false">IF($N76="","",ROWS($N$10:N76))</f>
        <v/>
      </c>
      <c r="B76" s="52" t="str">
        <f aca="false">IF($N76="","",INDEX('ALL ITEMS'!$B:$B,$N76))</f>
        <v/>
      </c>
      <c r="C76" s="53" t="str">
        <f aca="false">IF($N76="","",INDEX('ALL ITEMS'!$A:$A,$N76))</f>
        <v/>
      </c>
      <c r="D76" s="53" t="str">
        <f aca="false">IF($N76="","",INDEX('ALL ITEMS'!$D:$D,$N76))</f>
        <v/>
      </c>
      <c r="E76" s="53" t="str">
        <f aca="false">IF($N76="","",INDEX('ALL ITEMS'!$E:$E,$N76))</f>
        <v/>
      </c>
      <c r="F76" s="53" t="str">
        <f aca="false">IF($N76="","",INDEX('ALL ITEMS'!$F:$F,$N76))</f>
        <v/>
      </c>
      <c r="G76" s="53" t="str">
        <f aca="false">IF($N76="","",INDEX('ALL ITEMS'!$G:$G,$N76))</f>
        <v/>
      </c>
      <c r="H76" s="52" t="str">
        <f aca="false">IF($N76="","",INDEX('ALL ITEMS'!$H:$H,$N76))</f>
        <v/>
      </c>
      <c r="I76" s="54" t="str">
        <f aca="false">IF($N76="","",INDEX('ALL ITEMS'!$I:$I,$N76))</f>
        <v/>
      </c>
      <c r="J76" s="54" t="str">
        <f aca="false">IF($N76="","",INDEX('ALL ITEMS'!$J:$J,$N76))</f>
        <v/>
      </c>
      <c r="K76" s="54" t="str">
        <f aca="false">IF($N76="","",INDEX('ALL ITEMS'!$K:$K,$N76))</f>
        <v/>
      </c>
      <c r="L76" s="52" t="str">
        <f aca="false">IF($N76="","",INDEX('ALL ITEMS'!$L:$L,$N76))</f>
        <v/>
      </c>
      <c r="N76" s="0" t="str">
        <f aca="false">IF(ROWS($N$10:N76)&gt;$C$7,"",SMALL('ALL ITEMS'!$M$3:$M$764,ROWS($N$10:N76)))</f>
        <v/>
      </c>
    </row>
    <row r="77" customFormat="false" ht="15" hidden="false" customHeight="false" outlineLevel="0" collapsed="false">
      <c r="A77" s="52" t="str">
        <f aca="false">IF($N77="","",ROWS($N$10:N77))</f>
        <v/>
      </c>
      <c r="B77" s="52" t="str">
        <f aca="false">IF($N77="","",INDEX('ALL ITEMS'!$B:$B,$N77))</f>
        <v/>
      </c>
      <c r="C77" s="53" t="str">
        <f aca="false">IF($N77="","",INDEX('ALL ITEMS'!$A:$A,$N77))</f>
        <v/>
      </c>
      <c r="D77" s="53" t="str">
        <f aca="false">IF($N77="","",INDEX('ALL ITEMS'!$D:$D,$N77))</f>
        <v/>
      </c>
      <c r="E77" s="53" t="str">
        <f aca="false">IF($N77="","",INDEX('ALL ITEMS'!$E:$E,$N77))</f>
        <v/>
      </c>
      <c r="F77" s="53" t="str">
        <f aca="false">IF($N77="","",INDEX('ALL ITEMS'!$F:$F,$N77))</f>
        <v/>
      </c>
      <c r="G77" s="53" t="str">
        <f aca="false">IF($N77="","",INDEX('ALL ITEMS'!$G:$G,$N77))</f>
        <v/>
      </c>
      <c r="H77" s="52" t="str">
        <f aca="false">IF($N77="","",INDEX('ALL ITEMS'!$H:$H,$N77))</f>
        <v/>
      </c>
      <c r="I77" s="54" t="str">
        <f aca="false">IF($N77="","",INDEX('ALL ITEMS'!$I:$I,$N77))</f>
        <v/>
      </c>
      <c r="J77" s="54" t="str">
        <f aca="false">IF($N77="","",INDEX('ALL ITEMS'!$J:$J,$N77))</f>
        <v/>
      </c>
      <c r="K77" s="54" t="str">
        <f aca="false">IF($N77="","",INDEX('ALL ITEMS'!$K:$K,$N77))</f>
        <v/>
      </c>
      <c r="L77" s="52" t="str">
        <f aca="false">IF($N77="","",INDEX('ALL ITEMS'!$L:$L,$N77))</f>
        <v/>
      </c>
      <c r="N77" s="0" t="str">
        <f aca="false">IF(ROWS($N$10:N77)&gt;$C$7,"",SMALL('ALL ITEMS'!$M$3:$M$764,ROWS($N$10:N77)))</f>
        <v/>
      </c>
    </row>
    <row r="78" customFormat="false" ht="15" hidden="false" customHeight="false" outlineLevel="0" collapsed="false">
      <c r="A78" s="52" t="str">
        <f aca="false">IF($N78="","",ROWS($N$10:N78))</f>
        <v/>
      </c>
      <c r="B78" s="52" t="str">
        <f aca="false">IF($N78="","",INDEX('ALL ITEMS'!$B:$B,$N78))</f>
        <v/>
      </c>
      <c r="C78" s="53" t="str">
        <f aca="false">IF($N78="","",INDEX('ALL ITEMS'!$A:$A,$N78))</f>
        <v/>
      </c>
      <c r="D78" s="53" t="str">
        <f aca="false">IF($N78="","",INDEX('ALL ITEMS'!$D:$D,$N78))</f>
        <v/>
      </c>
      <c r="E78" s="53" t="str">
        <f aca="false">IF($N78="","",INDEX('ALL ITEMS'!$E:$E,$N78))</f>
        <v/>
      </c>
      <c r="F78" s="53" t="str">
        <f aca="false">IF($N78="","",INDEX('ALL ITEMS'!$F:$F,$N78))</f>
        <v/>
      </c>
      <c r="G78" s="53" t="str">
        <f aca="false">IF($N78="","",INDEX('ALL ITEMS'!$G:$G,$N78))</f>
        <v/>
      </c>
      <c r="H78" s="52" t="str">
        <f aca="false">IF($N78="","",INDEX('ALL ITEMS'!$H:$H,$N78))</f>
        <v/>
      </c>
      <c r="I78" s="54" t="str">
        <f aca="false">IF($N78="","",INDEX('ALL ITEMS'!$I:$I,$N78))</f>
        <v/>
      </c>
      <c r="J78" s="54" t="str">
        <f aca="false">IF($N78="","",INDEX('ALL ITEMS'!$J:$J,$N78))</f>
        <v/>
      </c>
      <c r="K78" s="54" t="str">
        <f aca="false">IF($N78="","",INDEX('ALL ITEMS'!$K:$K,$N78))</f>
        <v/>
      </c>
      <c r="L78" s="52" t="str">
        <f aca="false">IF($N78="","",INDEX('ALL ITEMS'!$L:$L,$N78))</f>
        <v/>
      </c>
      <c r="N78" s="0" t="str">
        <f aca="false">IF(ROWS($N$10:N78)&gt;$C$7,"",SMALL('ALL ITEMS'!$M$3:$M$764,ROWS($N$10:N78)))</f>
        <v/>
      </c>
    </row>
    <row r="79" customFormat="false" ht="15" hidden="false" customHeight="false" outlineLevel="0" collapsed="false">
      <c r="A79" s="52" t="str">
        <f aca="false">IF($N79="","",ROWS($N$10:N79))</f>
        <v/>
      </c>
      <c r="B79" s="52" t="str">
        <f aca="false">IF($N79="","",INDEX('ALL ITEMS'!$B:$B,$N79))</f>
        <v/>
      </c>
      <c r="C79" s="53" t="str">
        <f aca="false">IF($N79="","",INDEX('ALL ITEMS'!$A:$A,$N79))</f>
        <v/>
      </c>
      <c r="D79" s="53" t="str">
        <f aca="false">IF($N79="","",INDEX('ALL ITEMS'!$D:$D,$N79))</f>
        <v/>
      </c>
      <c r="E79" s="53" t="str">
        <f aca="false">IF($N79="","",INDEX('ALL ITEMS'!$E:$E,$N79))</f>
        <v/>
      </c>
      <c r="F79" s="53" t="str">
        <f aca="false">IF($N79="","",INDEX('ALL ITEMS'!$F:$F,$N79))</f>
        <v/>
      </c>
      <c r="G79" s="53" t="str">
        <f aca="false">IF($N79="","",INDEX('ALL ITEMS'!$G:$G,$N79))</f>
        <v/>
      </c>
      <c r="H79" s="52" t="str">
        <f aca="false">IF($N79="","",INDEX('ALL ITEMS'!$H:$H,$N79))</f>
        <v/>
      </c>
      <c r="I79" s="54" t="str">
        <f aca="false">IF($N79="","",INDEX('ALL ITEMS'!$I:$I,$N79))</f>
        <v/>
      </c>
      <c r="J79" s="54" t="str">
        <f aca="false">IF($N79="","",INDEX('ALL ITEMS'!$J:$J,$N79))</f>
        <v/>
      </c>
      <c r="K79" s="54" t="str">
        <f aca="false">IF($N79="","",INDEX('ALL ITEMS'!$K:$K,$N79))</f>
        <v/>
      </c>
      <c r="L79" s="52" t="str">
        <f aca="false">IF($N79="","",INDEX('ALL ITEMS'!$L:$L,$N79))</f>
        <v/>
      </c>
      <c r="N79" s="0" t="str">
        <f aca="false">IF(ROWS($N$10:N79)&gt;$C$7,"",SMALL('ALL ITEMS'!$M$3:$M$764,ROWS($N$10:N79)))</f>
        <v/>
      </c>
    </row>
    <row r="80" customFormat="false" ht="15" hidden="false" customHeight="false" outlineLevel="0" collapsed="false">
      <c r="A80" s="52" t="str">
        <f aca="false">IF($N80="","",ROWS($N$10:N80))</f>
        <v/>
      </c>
      <c r="B80" s="52" t="str">
        <f aca="false">IF($N80="","",INDEX('ALL ITEMS'!$B:$B,$N80))</f>
        <v/>
      </c>
      <c r="C80" s="53" t="str">
        <f aca="false">IF($N80="","",INDEX('ALL ITEMS'!$A:$A,$N80))</f>
        <v/>
      </c>
      <c r="D80" s="53" t="str">
        <f aca="false">IF($N80="","",INDEX('ALL ITEMS'!$D:$D,$N80))</f>
        <v/>
      </c>
      <c r="E80" s="53" t="str">
        <f aca="false">IF($N80="","",INDEX('ALL ITEMS'!$E:$E,$N80))</f>
        <v/>
      </c>
      <c r="F80" s="53" t="str">
        <f aca="false">IF($N80="","",INDEX('ALL ITEMS'!$F:$F,$N80))</f>
        <v/>
      </c>
      <c r="G80" s="53" t="str">
        <f aca="false">IF($N80="","",INDEX('ALL ITEMS'!$G:$G,$N80))</f>
        <v/>
      </c>
      <c r="H80" s="52" t="str">
        <f aca="false">IF($N80="","",INDEX('ALL ITEMS'!$H:$H,$N80))</f>
        <v/>
      </c>
      <c r="I80" s="54" t="str">
        <f aca="false">IF($N80="","",INDEX('ALL ITEMS'!$I:$I,$N80))</f>
        <v/>
      </c>
      <c r="J80" s="54" t="str">
        <f aca="false">IF($N80="","",INDEX('ALL ITEMS'!$J:$J,$N80))</f>
        <v/>
      </c>
      <c r="K80" s="54" t="str">
        <f aca="false">IF($N80="","",INDEX('ALL ITEMS'!$K:$K,$N80))</f>
        <v/>
      </c>
      <c r="L80" s="52" t="str">
        <f aca="false">IF($N80="","",INDEX('ALL ITEMS'!$L:$L,$N80))</f>
        <v/>
      </c>
      <c r="N80" s="0" t="str">
        <f aca="false">IF(ROWS($N$10:N80)&gt;$C$7,"",SMALL('ALL ITEMS'!$M$3:$M$764,ROWS($N$10:N80)))</f>
        <v/>
      </c>
    </row>
    <row r="81" customFormat="false" ht="15" hidden="false" customHeight="false" outlineLevel="0" collapsed="false">
      <c r="A81" s="52" t="str">
        <f aca="false">IF($N81="","",ROWS($N$10:N81))</f>
        <v/>
      </c>
      <c r="B81" s="52" t="str">
        <f aca="false">IF($N81="","",INDEX('ALL ITEMS'!$B:$B,$N81))</f>
        <v/>
      </c>
      <c r="C81" s="53" t="str">
        <f aca="false">IF($N81="","",INDEX('ALL ITEMS'!$A:$A,$N81))</f>
        <v/>
      </c>
      <c r="D81" s="53" t="str">
        <f aca="false">IF($N81="","",INDEX('ALL ITEMS'!$D:$D,$N81))</f>
        <v/>
      </c>
      <c r="E81" s="53" t="str">
        <f aca="false">IF($N81="","",INDEX('ALL ITEMS'!$E:$E,$N81))</f>
        <v/>
      </c>
      <c r="F81" s="53" t="str">
        <f aca="false">IF($N81="","",INDEX('ALL ITEMS'!$F:$F,$N81))</f>
        <v/>
      </c>
      <c r="G81" s="53" t="str">
        <f aca="false">IF($N81="","",INDEX('ALL ITEMS'!$G:$G,$N81))</f>
        <v/>
      </c>
      <c r="H81" s="52" t="str">
        <f aca="false">IF($N81="","",INDEX('ALL ITEMS'!$H:$H,$N81))</f>
        <v/>
      </c>
      <c r="I81" s="54" t="str">
        <f aca="false">IF($N81="","",INDEX('ALL ITEMS'!$I:$I,$N81))</f>
        <v/>
      </c>
      <c r="J81" s="54" t="str">
        <f aca="false">IF($N81="","",INDEX('ALL ITEMS'!$J:$J,$N81))</f>
        <v/>
      </c>
      <c r="K81" s="54" t="str">
        <f aca="false">IF($N81="","",INDEX('ALL ITEMS'!$K:$K,$N81))</f>
        <v/>
      </c>
      <c r="L81" s="52" t="str">
        <f aca="false">IF($N81="","",INDEX('ALL ITEMS'!$L:$L,$N81))</f>
        <v/>
      </c>
      <c r="N81" s="0" t="str">
        <f aca="false">IF(ROWS($N$10:N81)&gt;$C$7,"",SMALL('ALL ITEMS'!$M$3:$M$764,ROWS($N$10:N81)))</f>
        <v/>
      </c>
    </row>
    <row r="82" customFormat="false" ht="15" hidden="false" customHeight="false" outlineLevel="0" collapsed="false">
      <c r="A82" s="52" t="str">
        <f aca="false">IF($N82="","",ROWS($N$10:N82))</f>
        <v/>
      </c>
      <c r="B82" s="52" t="str">
        <f aca="false">IF($N82="","",INDEX('ALL ITEMS'!$B:$B,$N82))</f>
        <v/>
      </c>
      <c r="C82" s="53" t="str">
        <f aca="false">IF($N82="","",INDEX('ALL ITEMS'!$A:$A,$N82))</f>
        <v/>
      </c>
      <c r="D82" s="53" t="str">
        <f aca="false">IF($N82="","",INDEX('ALL ITEMS'!$D:$D,$N82))</f>
        <v/>
      </c>
      <c r="E82" s="53" t="str">
        <f aca="false">IF($N82="","",INDEX('ALL ITEMS'!$E:$E,$N82))</f>
        <v/>
      </c>
      <c r="F82" s="53" t="str">
        <f aca="false">IF($N82="","",INDEX('ALL ITEMS'!$F:$F,$N82))</f>
        <v/>
      </c>
      <c r="G82" s="53" t="str">
        <f aca="false">IF($N82="","",INDEX('ALL ITEMS'!$G:$G,$N82))</f>
        <v/>
      </c>
      <c r="H82" s="52" t="str">
        <f aca="false">IF($N82="","",INDEX('ALL ITEMS'!$H:$H,$N82))</f>
        <v/>
      </c>
      <c r="I82" s="54" t="str">
        <f aca="false">IF($N82="","",INDEX('ALL ITEMS'!$I:$I,$N82))</f>
        <v/>
      </c>
      <c r="J82" s="54" t="str">
        <f aca="false">IF($N82="","",INDEX('ALL ITEMS'!$J:$J,$N82))</f>
        <v/>
      </c>
      <c r="K82" s="54" t="str">
        <f aca="false">IF($N82="","",INDEX('ALL ITEMS'!$K:$K,$N82))</f>
        <v/>
      </c>
      <c r="L82" s="52" t="str">
        <f aca="false">IF($N82="","",INDEX('ALL ITEMS'!$L:$L,$N82))</f>
        <v/>
      </c>
      <c r="N82" s="0" t="str">
        <f aca="false">IF(ROWS($N$10:N82)&gt;$C$7,"",SMALL('ALL ITEMS'!$M$3:$M$764,ROWS($N$10:N82)))</f>
        <v/>
      </c>
    </row>
    <row r="83" customFormat="false" ht="15" hidden="false" customHeight="false" outlineLevel="0" collapsed="false">
      <c r="A83" s="52" t="str">
        <f aca="false">IF($N83="","",ROWS($N$10:N83))</f>
        <v/>
      </c>
      <c r="B83" s="52" t="str">
        <f aca="false">IF($N83="","",INDEX('ALL ITEMS'!$B:$B,$N83))</f>
        <v/>
      </c>
      <c r="C83" s="53" t="str">
        <f aca="false">IF($N83="","",INDEX('ALL ITEMS'!$A:$A,$N83))</f>
        <v/>
      </c>
      <c r="D83" s="53" t="str">
        <f aca="false">IF($N83="","",INDEX('ALL ITEMS'!$D:$D,$N83))</f>
        <v/>
      </c>
      <c r="E83" s="53" t="str">
        <f aca="false">IF($N83="","",INDEX('ALL ITEMS'!$E:$E,$N83))</f>
        <v/>
      </c>
      <c r="F83" s="53" t="str">
        <f aca="false">IF($N83="","",INDEX('ALL ITEMS'!$F:$F,$N83))</f>
        <v/>
      </c>
      <c r="G83" s="53" t="str">
        <f aca="false">IF($N83="","",INDEX('ALL ITEMS'!$G:$G,$N83))</f>
        <v/>
      </c>
      <c r="H83" s="52" t="str">
        <f aca="false">IF($N83="","",INDEX('ALL ITEMS'!$H:$H,$N83))</f>
        <v/>
      </c>
      <c r="I83" s="54" t="str">
        <f aca="false">IF($N83="","",INDEX('ALL ITEMS'!$I:$I,$N83))</f>
        <v/>
      </c>
      <c r="J83" s="54" t="str">
        <f aca="false">IF($N83="","",INDEX('ALL ITEMS'!$J:$J,$N83))</f>
        <v/>
      </c>
      <c r="K83" s="54" t="str">
        <f aca="false">IF($N83="","",INDEX('ALL ITEMS'!$K:$K,$N83))</f>
        <v/>
      </c>
      <c r="L83" s="52" t="str">
        <f aca="false">IF($N83="","",INDEX('ALL ITEMS'!$L:$L,$N83))</f>
        <v/>
      </c>
      <c r="N83" s="0" t="str">
        <f aca="false">IF(ROWS($N$10:N83)&gt;$C$7,"",SMALL('ALL ITEMS'!$M$3:$M$764,ROWS($N$10:N83)))</f>
        <v/>
      </c>
    </row>
    <row r="84" customFormat="false" ht="15" hidden="false" customHeight="false" outlineLevel="0" collapsed="false">
      <c r="A84" s="52" t="str">
        <f aca="false">IF($N84="","",ROWS($N$10:N84))</f>
        <v/>
      </c>
      <c r="B84" s="52" t="str">
        <f aca="false">IF($N84="","",INDEX('ALL ITEMS'!$B:$B,$N84))</f>
        <v/>
      </c>
      <c r="C84" s="53" t="str">
        <f aca="false">IF($N84="","",INDEX('ALL ITEMS'!$A:$A,$N84))</f>
        <v/>
      </c>
      <c r="D84" s="53" t="str">
        <f aca="false">IF($N84="","",INDEX('ALL ITEMS'!$D:$D,$N84))</f>
        <v/>
      </c>
      <c r="E84" s="53" t="str">
        <f aca="false">IF($N84="","",INDEX('ALL ITEMS'!$E:$E,$N84))</f>
        <v/>
      </c>
      <c r="F84" s="53" t="str">
        <f aca="false">IF($N84="","",INDEX('ALL ITEMS'!$F:$F,$N84))</f>
        <v/>
      </c>
      <c r="G84" s="53" t="str">
        <f aca="false">IF($N84="","",INDEX('ALL ITEMS'!$G:$G,$N84))</f>
        <v/>
      </c>
      <c r="H84" s="52" t="str">
        <f aca="false">IF($N84="","",INDEX('ALL ITEMS'!$H:$H,$N84))</f>
        <v/>
      </c>
      <c r="I84" s="54" t="str">
        <f aca="false">IF($N84="","",INDEX('ALL ITEMS'!$I:$I,$N84))</f>
        <v/>
      </c>
      <c r="J84" s="54" t="str">
        <f aca="false">IF($N84="","",INDEX('ALL ITEMS'!$J:$J,$N84))</f>
        <v/>
      </c>
      <c r="K84" s="54" t="str">
        <f aca="false">IF($N84="","",INDEX('ALL ITEMS'!$K:$K,$N84))</f>
        <v/>
      </c>
      <c r="L84" s="52" t="str">
        <f aca="false">IF($N84="","",INDEX('ALL ITEMS'!$L:$L,$N84))</f>
        <v/>
      </c>
      <c r="N84" s="0" t="str">
        <f aca="false">IF(ROWS($N$10:N84)&gt;$C$7,"",SMALL('ALL ITEMS'!$M$3:$M$764,ROWS($N$10:N84)))</f>
        <v/>
      </c>
    </row>
    <row r="85" customFormat="false" ht="15" hidden="false" customHeight="false" outlineLevel="0" collapsed="false">
      <c r="A85" s="52" t="str">
        <f aca="false">IF($N85="","",ROWS($N$10:N85))</f>
        <v/>
      </c>
      <c r="B85" s="52" t="str">
        <f aca="false">IF($N85="","",INDEX('ALL ITEMS'!$B:$B,$N85))</f>
        <v/>
      </c>
      <c r="C85" s="53" t="str">
        <f aca="false">IF($N85="","",INDEX('ALL ITEMS'!$A:$A,$N85))</f>
        <v/>
      </c>
      <c r="D85" s="53" t="str">
        <f aca="false">IF($N85="","",INDEX('ALL ITEMS'!$D:$D,$N85))</f>
        <v/>
      </c>
      <c r="E85" s="53" t="str">
        <f aca="false">IF($N85="","",INDEX('ALL ITEMS'!$E:$E,$N85))</f>
        <v/>
      </c>
      <c r="F85" s="53" t="str">
        <f aca="false">IF($N85="","",INDEX('ALL ITEMS'!$F:$F,$N85))</f>
        <v/>
      </c>
      <c r="G85" s="53" t="str">
        <f aca="false">IF($N85="","",INDEX('ALL ITEMS'!$G:$G,$N85))</f>
        <v/>
      </c>
      <c r="H85" s="52" t="str">
        <f aca="false">IF($N85="","",INDEX('ALL ITEMS'!$H:$H,$N85))</f>
        <v/>
      </c>
      <c r="I85" s="54" t="str">
        <f aca="false">IF($N85="","",INDEX('ALL ITEMS'!$I:$I,$N85))</f>
        <v/>
      </c>
      <c r="J85" s="54" t="str">
        <f aca="false">IF($N85="","",INDEX('ALL ITEMS'!$J:$J,$N85))</f>
        <v/>
      </c>
      <c r="K85" s="54" t="str">
        <f aca="false">IF($N85="","",INDEX('ALL ITEMS'!$K:$K,$N85))</f>
        <v/>
      </c>
      <c r="L85" s="52" t="str">
        <f aca="false">IF($N85="","",INDEX('ALL ITEMS'!$L:$L,$N85))</f>
        <v/>
      </c>
      <c r="N85" s="0" t="str">
        <f aca="false">IF(ROWS($N$10:N85)&gt;$C$7,"",SMALL('ALL ITEMS'!$M$3:$M$764,ROWS($N$10:N85)))</f>
        <v/>
      </c>
    </row>
    <row r="86" customFormat="false" ht="15" hidden="false" customHeight="false" outlineLevel="0" collapsed="false">
      <c r="A86" s="52" t="str">
        <f aca="false">IF($N86="","",ROWS($N$10:N86))</f>
        <v/>
      </c>
      <c r="B86" s="52" t="str">
        <f aca="false">IF($N86="","",INDEX('ALL ITEMS'!$B:$B,$N86))</f>
        <v/>
      </c>
      <c r="C86" s="53" t="str">
        <f aca="false">IF($N86="","",INDEX('ALL ITEMS'!$A:$A,$N86))</f>
        <v/>
      </c>
      <c r="D86" s="53" t="str">
        <f aca="false">IF($N86="","",INDEX('ALL ITEMS'!$D:$D,$N86))</f>
        <v/>
      </c>
      <c r="E86" s="53" t="str">
        <f aca="false">IF($N86="","",INDEX('ALL ITEMS'!$E:$E,$N86))</f>
        <v/>
      </c>
      <c r="F86" s="53" t="str">
        <f aca="false">IF($N86="","",INDEX('ALL ITEMS'!$F:$F,$N86))</f>
        <v/>
      </c>
      <c r="G86" s="53" t="str">
        <f aca="false">IF($N86="","",INDEX('ALL ITEMS'!$G:$G,$N86))</f>
        <v/>
      </c>
      <c r="H86" s="52" t="str">
        <f aca="false">IF($N86="","",INDEX('ALL ITEMS'!$H:$H,$N86))</f>
        <v/>
      </c>
      <c r="I86" s="54" t="str">
        <f aca="false">IF($N86="","",INDEX('ALL ITEMS'!$I:$I,$N86))</f>
        <v/>
      </c>
      <c r="J86" s="54" t="str">
        <f aca="false">IF($N86="","",INDEX('ALL ITEMS'!$J:$J,$N86))</f>
        <v/>
      </c>
      <c r="K86" s="54" t="str">
        <f aca="false">IF($N86="","",INDEX('ALL ITEMS'!$K:$K,$N86))</f>
        <v/>
      </c>
      <c r="L86" s="52" t="str">
        <f aca="false">IF($N86="","",INDEX('ALL ITEMS'!$L:$L,$N86))</f>
        <v/>
      </c>
      <c r="N86" s="0" t="str">
        <f aca="false">IF(ROWS($N$10:N86)&gt;$C$7,"",SMALL('ALL ITEMS'!$M$3:$M$764,ROWS($N$10:N86)))</f>
        <v/>
      </c>
    </row>
    <row r="87" customFormat="false" ht="15" hidden="false" customHeight="false" outlineLevel="0" collapsed="false">
      <c r="A87" s="52" t="str">
        <f aca="false">IF($N87="","",ROWS($N$10:N87))</f>
        <v/>
      </c>
      <c r="B87" s="52" t="str">
        <f aca="false">IF($N87="","",INDEX('ALL ITEMS'!$B:$B,$N87))</f>
        <v/>
      </c>
      <c r="C87" s="53" t="str">
        <f aca="false">IF($N87="","",INDEX('ALL ITEMS'!$A:$A,$N87))</f>
        <v/>
      </c>
      <c r="D87" s="53" t="str">
        <f aca="false">IF($N87="","",INDEX('ALL ITEMS'!$D:$D,$N87))</f>
        <v/>
      </c>
      <c r="E87" s="53" t="str">
        <f aca="false">IF($N87="","",INDEX('ALL ITEMS'!$E:$E,$N87))</f>
        <v/>
      </c>
      <c r="F87" s="53" t="str">
        <f aca="false">IF($N87="","",INDEX('ALL ITEMS'!$F:$F,$N87))</f>
        <v/>
      </c>
      <c r="G87" s="53" t="str">
        <f aca="false">IF($N87="","",INDEX('ALL ITEMS'!$G:$G,$N87))</f>
        <v/>
      </c>
      <c r="H87" s="52" t="str">
        <f aca="false">IF($N87="","",INDEX('ALL ITEMS'!$H:$H,$N87))</f>
        <v/>
      </c>
      <c r="I87" s="54" t="str">
        <f aca="false">IF($N87="","",INDEX('ALL ITEMS'!$I:$I,$N87))</f>
        <v/>
      </c>
      <c r="J87" s="54" t="str">
        <f aca="false">IF($N87="","",INDEX('ALL ITEMS'!$J:$J,$N87))</f>
        <v/>
      </c>
      <c r="K87" s="54" t="str">
        <f aca="false">IF($N87="","",INDEX('ALL ITEMS'!$K:$K,$N87))</f>
        <v/>
      </c>
      <c r="L87" s="52" t="str">
        <f aca="false">IF($N87="","",INDEX('ALL ITEMS'!$L:$L,$N87))</f>
        <v/>
      </c>
      <c r="N87" s="0" t="str">
        <f aca="false">IF(ROWS($N$10:N87)&gt;$C$7,"",SMALL('ALL ITEMS'!$M$3:$M$764,ROWS($N$10:N87)))</f>
        <v/>
      </c>
    </row>
    <row r="88" customFormat="false" ht="15" hidden="false" customHeight="false" outlineLevel="0" collapsed="false">
      <c r="A88" s="52" t="str">
        <f aca="false">IF($N88="","",ROWS($N$10:N88))</f>
        <v/>
      </c>
      <c r="B88" s="52" t="str">
        <f aca="false">IF($N88="","",INDEX('ALL ITEMS'!$B:$B,$N88))</f>
        <v/>
      </c>
      <c r="C88" s="53" t="str">
        <f aca="false">IF($N88="","",INDEX('ALL ITEMS'!$A:$A,$N88))</f>
        <v/>
      </c>
      <c r="D88" s="53" t="str">
        <f aca="false">IF($N88="","",INDEX('ALL ITEMS'!$D:$D,$N88))</f>
        <v/>
      </c>
      <c r="E88" s="53" t="str">
        <f aca="false">IF($N88="","",INDEX('ALL ITEMS'!$E:$E,$N88))</f>
        <v/>
      </c>
      <c r="F88" s="53" t="str">
        <f aca="false">IF($N88="","",INDEX('ALL ITEMS'!$F:$F,$N88))</f>
        <v/>
      </c>
      <c r="G88" s="53" t="str">
        <f aca="false">IF($N88="","",INDEX('ALL ITEMS'!$G:$G,$N88))</f>
        <v/>
      </c>
      <c r="H88" s="52" t="str">
        <f aca="false">IF($N88="","",INDEX('ALL ITEMS'!$H:$H,$N88))</f>
        <v/>
      </c>
      <c r="I88" s="54" t="str">
        <f aca="false">IF($N88="","",INDEX('ALL ITEMS'!$I:$I,$N88))</f>
        <v/>
      </c>
      <c r="J88" s="54" t="str">
        <f aca="false">IF($N88="","",INDEX('ALL ITEMS'!$J:$J,$N88))</f>
        <v/>
      </c>
      <c r="K88" s="54" t="str">
        <f aca="false">IF($N88="","",INDEX('ALL ITEMS'!$K:$K,$N88))</f>
        <v/>
      </c>
      <c r="L88" s="52" t="str">
        <f aca="false">IF($N88="","",INDEX('ALL ITEMS'!$L:$L,$N88))</f>
        <v/>
      </c>
      <c r="N88" s="0" t="str">
        <f aca="false">IF(ROWS($N$10:N88)&gt;$C$7,"",SMALL('ALL ITEMS'!$M$3:$M$764,ROWS($N$10:N88)))</f>
        <v/>
      </c>
    </row>
    <row r="89" customFormat="false" ht="15" hidden="false" customHeight="false" outlineLevel="0" collapsed="false">
      <c r="A89" s="52" t="str">
        <f aca="false">IF($N89="","",ROWS($N$10:N89))</f>
        <v/>
      </c>
      <c r="B89" s="52" t="str">
        <f aca="false">IF($N89="","",INDEX('ALL ITEMS'!$B:$B,$N89))</f>
        <v/>
      </c>
      <c r="C89" s="53" t="str">
        <f aca="false">IF($N89="","",INDEX('ALL ITEMS'!$A:$A,$N89))</f>
        <v/>
      </c>
      <c r="D89" s="53" t="str">
        <f aca="false">IF($N89="","",INDEX('ALL ITEMS'!$D:$D,$N89))</f>
        <v/>
      </c>
      <c r="E89" s="53" t="str">
        <f aca="false">IF($N89="","",INDEX('ALL ITEMS'!$E:$E,$N89))</f>
        <v/>
      </c>
      <c r="F89" s="53" t="str">
        <f aca="false">IF($N89="","",INDEX('ALL ITEMS'!$F:$F,$N89))</f>
        <v/>
      </c>
      <c r="G89" s="53" t="str">
        <f aca="false">IF($N89="","",INDEX('ALL ITEMS'!$G:$G,$N89))</f>
        <v/>
      </c>
      <c r="H89" s="52" t="str">
        <f aca="false">IF($N89="","",INDEX('ALL ITEMS'!$H:$H,$N89))</f>
        <v/>
      </c>
      <c r="I89" s="54" t="str">
        <f aca="false">IF($N89="","",INDEX('ALL ITEMS'!$I:$I,$N89))</f>
        <v/>
      </c>
      <c r="J89" s="54" t="str">
        <f aca="false">IF($N89="","",INDEX('ALL ITEMS'!$J:$J,$N89))</f>
        <v/>
      </c>
      <c r="K89" s="54" t="str">
        <f aca="false">IF($N89="","",INDEX('ALL ITEMS'!$K:$K,$N89))</f>
        <v/>
      </c>
      <c r="L89" s="52" t="str">
        <f aca="false">IF($N89="","",INDEX('ALL ITEMS'!$L:$L,$N89))</f>
        <v/>
      </c>
      <c r="N89" s="0" t="str">
        <f aca="false">IF(ROWS($N$10:N89)&gt;$C$7,"",SMALL('ALL ITEMS'!$M$3:$M$764,ROWS($N$10:N89)))</f>
        <v/>
      </c>
    </row>
    <row r="90" customFormat="false" ht="15" hidden="false" customHeight="false" outlineLevel="0" collapsed="false">
      <c r="A90" s="52" t="str">
        <f aca="false">IF($N90="","",ROWS($N$10:N90))</f>
        <v/>
      </c>
      <c r="B90" s="52" t="str">
        <f aca="false">IF($N90="","",INDEX('ALL ITEMS'!$B:$B,$N90))</f>
        <v/>
      </c>
      <c r="C90" s="53" t="str">
        <f aca="false">IF($N90="","",INDEX('ALL ITEMS'!$A:$A,$N90))</f>
        <v/>
      </c>
      <c r="D90" s="53" t="str">
        <f aca="false">IF($N90="","",INDEX('ALL ITEMS'!$D:$D,$N90))</f>
        <v/>
      </c>
      <c r="E90" s="53" t="str">
        <f aca="false">IF($N90="","",INDEX('ALL ITEMS'!$E:$E,$N90))</f>
        <v/>
      </c>
      <c r="F90" s="53" t="str">
        <f aca="false">IF($N90="","",INDEX('ALL ITEMS'!$F:$F,$N90))</f>
        <v/>
      </c>
      <c r="G90" s="53" t="str">
        <f aca="false">IF($N90="","",INDEX('ALL ITEMS'!$G:$G,$N90))</f>
        <v/>
      </c>
      <c r="H90" s="52" t="str">
        <f aca="false">IF($N90="","",INDEX('ALL ITEMS'!$H:$H,$N90))</f>
        <v/>
      </c>
      <c r="I90" s="54" t="str">
        <f aca="false">IF($N90="","",INDEX('ALL ITEMS'!$I:$I,$N90))</f>
        <v/>
      </c>
      <c r="J90" s="54" t="str">
        <f aca="false">IF($N90="","",INDEX('ALL ITEMS'!$J:$J,$N90))</f>
        <v/>
      </c>
      <c r="K90" s="54" t="str">
        <f aca="false">IF($N90="","",INDEX('ALL ITEMS'!$K:$K,$N90))</f>
        <v/>
      </c>
      <c r="L90" s="52" t="str">
        <f aca="false">IF($N90="","",INDEX('ALL ITEMS'!$L:$L,$N90))</f>
        <v/>
      </c>
      <c r="N90" s="0" t="str">
        <f aca="false">IF(ROWS($N$10:N90)&gt;$C$7,"",SMALL('ALL ITEMS'!$M$3:$M$764,ROWS($N$10:N90)))</f>
        <v/>
      </c>
    </row>
    <row r="91" customFormat="false" ht="15" hidden="false" customHeight="false" outlineLevel="0" collapsed="false">
      <c r="A91" s="52" t="str">
        <f aca="false">IF($N91="","",ROWS($N$10:N91))</f>
        <v/>
      </c>
      <c r="B91" s="52" t="str">
        <f aca="false">IF($N91="","",INDEX('ALL ITEMS'!$B:$B,$N91))</f>
        <v/>
      </c>
      <c r="C91" s="53" t="str">
        <f aca="false">IF($N91="","",INDEX('ALL ITEMS'!$A:$A,$N91))</f>
        <v/>
      </c>
      <c r="D91" s="53" t="str">
        <f aca="false">IF($N91="","",INDEX('ALL ITEMS'!$D:$D,$N91))</f>
        <v/>
      </c>
      <c r="E91" s="53" t="str">
        <f aca="false">IF($N91="","",INDEX('ALL ITEMS'!$E:$E,$N91))</f>
        <v/>
      </c>
      <c r="F91" s="53" t="str">
        <f aca="false">IF($N91="","",INDEX('ALL ITEMS'!$F:$F,$N91))</f>
        <v/>
      </c>
      <c r="G91" s="53" t="str">
        <f aca="false">IF($N91="","",INDEX('ALL ITEMS'!$G:$G,$N91))</f>
        <v/>
      </c>
      <c r="H91" s="52" t="str">
        <f aca="false">IF($N91="","",INDEX('ALL ITEMS'!$H:$H,$N91))</f>
        <v/>
      </c>
      <c r="I91" s="54" t="str">
        <f aca="false">IF($N91="","",INDEX('ALL ITEMS'!$I:$I,$N91))</f>
        <v/>
      </c>
      <c r="J91" s="54" t="str">
        <f aca="false">IF($N91="","",INDEX('ALL ITEMS'!$J:$J,$N91))</f>
        <v/>
      </c>
      <c r="K91" s="54" t="str">
        <f aca="false">IF($N91="","",INDEX('ALL ITEMS'!$K:$K,$N91))</f>
        <v/>
      </c>
      <c r="L91" s="52" t="str">
        <f aca="false">IF($N91="","",INDEX('ALL ITEMS'!$L:$L,$N91))</f>
        <v/>
      </c>
      <c r="N91" s="0" t="str">
        <f aca="false">IF(ROWS($N$10:N91)&gt;$C$7,"",SMALL('ALL ITEMS'!$M$3:$M$764,ROWS($N$10:N91)))</f>
        <v/>
      </c>
    </row>
    <row r="92" customFormat="false" ht="15" hidden="false" customHeight="false" outlineLevel="0" collapsed="false">
      <c r="A92" s="52" t="str">
        <f aca="false">IF($N92="","",ROWS($N$10:N92))</f>
        <v/>
      </c>
      <c r="B92" s="52" t="str">
        <f aca="false">IF($N92="","",INDEX('ALL ITEMS'!$B:$B,$N92))</f>
        <v/>
      </c>
      <c r="C92" s="53" t="str">
        <f aca="false">IF($N92="","",INDEX('ALL ITEMS'!$A:$A,$N92))</f>
        <v/>
      </c>
      <c r="D92" s="53" t="str">
        <f aca="false">IF($N92="","",INDEX('ALL ITEMS'!$D:$D,$N92))</f>
        <v/>
      </c>
      <c r="E92" s="53" t="str">
        <f aca="false">IF($N92="","",INDEX('ALL ITEMS'!$E:$E,$N92))</f>
        <v/>
      </c>
      <c r="F92" s="53" t="str">
        <f aca="false">IF($N92="","",INDEX('ALL ITEMS'!$F:$F,$N92))</f>
        <v/>
      </c>
      <c r="G92" s="53" t="str">
        <f aca="false">IF($N92="","",INDEX('ALL ITEMS'!$G:$G,$N92))</f>
        <v/>
      </c>
      <c r="H92" s="52" t="str">
        <f aca="false">IF($N92="","",INDEX('ALL ITEMS'!$H:$H,$N92))</f>
        <v/>
      </c>
      <c r="I92" s="54" t="str">
        <f aca="false">IF($N92="","",INDEX('ALL ITEMS'!$I:$I,$N92))</f>
        <v/>
      </c>
      <c r="J92" s="54" t="str">
        <f aca="false">IF($N92="","",INDEX('ALL ITEMS'!$J:$J,$N92))</f>
        <v/>
      </c>
      <c r="K92" s="54" t="str">
        <f aca="false">IF($N92="","",INDEX('ALL ITEMS'!$K:$K,$N92))</f>
        <v/>
      </c>
      <c r="L92" s="52" t="str">
        <f aca="false">IF($N92="","",INDEX('ALL ITEMS'!$L:$L,$N92))</f>
        <v/>
      </c>
      <c r="N92" s="0" t="str">
        <f aca="false">IF(ROWS($N$10:N92)&gt;$C$7,"",SMALL('ALL ITEMS'!$M$3:$M$764,ROWS($N$10:N92)))</f>
        <v/>
      </c>
    </row>
    <row r="93" customFormat="false" ht="15" hidden="false" customHeight="false" outlineLevel="0" collapsed="false">
      <c r="A93" s="52" t="str">
        <f aca="false">IF($N93="","",ROWS($N$10:N93))</f>
        <v/>
      </c>
      <c r="B93" s="52" t="str">
        <f aca="false">IF($N93="","",INDEX('ALL ITEMS'!$B:$B,$N93))</f>
        <v/>
      </c>
      <c r="C93" s="53" t="str">
        <f aca="false">IF($N93="","",INDEX('ALL ITEMS'!$A:$A,$N93))</f>
        <v/>
      </c>
      <c r="D93" s="53" t="str">
        <f aca="false">IF($N93="","",INDEX('ALL ITEMS'!$D:$D,$N93))</f>
        <v/>
      </c>
      <c r="E93" s="53" t="str">
        <f aca="false">IF($N93="","",INDEX('ALL ITEMS'!$E:$E,$N93))</f>
        <v/>
      </c>
      <c r="F93" s="53" t="str">
        <f aca="false">IF($N93="","",INDEX('ALL ITEMS'!$F:$F,$N93))</f>
        <v/>
      </c>
      <c r="G93" s="53" t="str">
        <f aca="false">IF($N93="","",INDEX('ALL ITEMS'!$G:$G,$N93))</f>
        <v/>
      </c>
      <c r="H93" s="52" t="str">
        <f aca="false">IF($N93="","",INDEX('ALL ITEMS'!$H:$H,$N93))</f>
        <v/>
      </c>
      <c r="I93" s="54" t="str">
        <f aca="false">IF($N93="","",INDEX('ALL ITEMS'!$I:$I,$N93))</f>
        <v/>
      </c>
      <c r="J93" s="54" t="str">
        <f aca="false">IF($N93="","",INDEX('ALL ITEMS'!$J:$J,$N93))</f>
        <v/>
      </c>
      <c r="K93" s="54" t="str">
        <f aca="false">IF($N93="","",INDEX('ALL ITEMS'!$K:$K,$N93))</f>
        <v/>
      </c>
      <c r="L93" s="52" t="str">
        <f aca="false">IF($N93="","",INDEX('ALL ITEMS'!$L:$L,$N93))</f>
        <v/>
      </c>
      <c r="N93" s="0" t="str">
        <f aca="false">IF(ROWS($N$10:N93)&gt;$C$7,"",SMALL('ALL ITEMS'!$M$3:$M$764,ROWS($N$10:N93)))</f>
        <v/>
      </c>
    </row>
    <row r="94" customFormat="false" ht="15" hidden="false" customHeight="false" outlineLevel="0" collapsed="false">
      <c r="A94" s="52" t="str">
        <f aca="false">IF($N94="","",ROWS($N$10:N94))</f>
        <v/>
      </c>
      <c r="B94" s="52" t="str">
        <f aca="false">IF($N94="","",INDEX('ALL ITEMS'!$B:$B,$N94))</f>
        <v/>
      </c>
      <c r="C94" s="53" t="str">
        <f aca="false">IF($N94="","",INDEX('ALL ITEMS'!$A:$A,$N94))</f>
        <v/>
      </c>
      <c r="D94" s="53" t="str">
        <f aca="false">IF($N94="","",INDEX('ALL ITEMS'!$D:$D,$N94))</f>
        <v/>
      </c>
      <c r="E94" s="53" t="str">
        <f aca="false">IF($N94="","",INDEX('ALL ITEMS'!$E:$E,$N94))</f>
        <v/>
      </c>
      <c r="F94" s="53" t="str">
        <f aca="false">IF($N94="","",INDEX('ALL ITEMS'!$F:$F,$N94))</f>
        <v/>
      </c>
      <c r="G94" s="53" t="str">
        <f aca="false">IF($N94="","",INDEX('ALL ITEMS'!$G:$G,$N94))</f>
        <v/>
      </c>
      <c r="H94" s="52" t="str">
        <f aca="false">IF($N94="","",INDEX('ALL ITEMS'!$H:$H,$N94))</f>
        <v/>
      </c>
      <c r="I94" s="54" t="str">
        <f aca="false">IF($N94="","",INDEX('ALL ITEMS'!$I:$I,$N94))</f>
        <v/>
      </c>
      <c r="J94" s="54" t="str">
        <f aca="false">IF($N94="","",INDEX('ALL ITEMS'!$J:$J,$N94))</f>
        <v/>
      </c>
      <c r="K94" s="54" t="str">
        <f aca="false">IF($N94="","",INDEX('ALL ITEMS'!$K:$K,$N94))</f>
        <v/>
      </c>
      <c r="L94" s="52" t="str">
        <f aca="false">IF($N94="","",INDEX('ALL ITEMS'!$L:$L,$N94))</f>
        <v/>
      </c>
      <c r="N94" s="0" t="str">
        <f aca="false">IF(ROWS($N$10:N94)&gt;$C$7,"",SMALL('ALL ITEMS'!$M$3:$M$764,ROWS($N$10:N94)))</f>
        <v/>
      </c>
    </row>
    <row r="95" customFormat="false" ht="15" hidden="false" customHeight="false" outlineLevel="0" collapsed="false">
      <c r="A95" s="52" t="str">
        <f aca="false">IF($N95="","",ROWS($N$10:N95))</f>
        <v/>
      </c>
      <c r="B95" s="52" t="str">
        <f aca="false">IF($N95="","",INDEX('ALL ITEMS'!$B:$B,$N95))</f>
        <v/>
      </c>
      <c r="C95" s="53" t="str">
        <f aca="false">IF($N95="","",INDEX('ALL ITEMS'!$A:$A,$N95))</f>
        <v/>
      </c>
      <c r="D95" s="53" t="str">
        <f aca="false">IF($N95="","",INDEX('ALL ITEMS'!$D:$D,$N95))</f>
        <v/>
      </c>
      <c r="E95" s="53" t="str">
        <f aca="false">IF($N95="","",INDEX('ALL ITEMS'!$E:$E,$N95))</f>
        <v/>
      </c>
      <c r="F95" s="53" t="str">
        <f aca="false">IF($N95="","",INDEX('ALL ITEMS'!$F:$F,$N95))</f>
        <v/>
      </c>
      <c r="G95" s="53" t="str">
        <f aca="false">IF($N95="","",INDEX('ALL ITEMS'!$G:$G,$N95))</f>
        <v/>
      </c>
      <c r="H95" s="52" t="str">
        <f aca="false">IF($N95="","",INDEX('ALL ITEMS'!$H:$H,$N95))</f>
        <v/>
      </c>
      <c r="I95" s="54" t="str">
        <f aca="false">IF($N95="","",INDEX('ALL ITEMS'!$I:$I,$N95))</f>
        <v/>
      </c>
      <c r="J95" s="54" t="str">
        <f aca="false">IF($N95="","",INDEX('ALL ITEMS'!$J:$J,$N95))</f>
        <v/>
      </c>
      <c r="K95" s="54" t="str">
        <f aca="false">IF($N95="","",INDEX('ALL ITEMS'!$K:$K,$N95))</f>
        <v/>
      </c>
      <c r="L95" s="52" t="str">
        <f aca="false">IF($N95="","",INDEX('ALL ITEMS'!$L:$L,$N95))</f>
        <v/>
      </c>
      <c r="N95" s="0" t="str">
        <f aca="false">IF(ROWS($N$10:N95)&gt;$C$7,"",SMALL('ALL ITEMS'!$M$3:$M$764,ROWS($N$10:N95)))</f>
        <v/>
      </c>
    </row>
    <row r="96" customFormat="false" ht="15" hidden="false" customHeight="false" outlineLevel="0" collapsed="false">
      <c r="A96" s="52" t="str">
        <f aca="false">IF($N96="","",ROWS($N$10:N96))</f>
        <v/>
      </c>
      <c r="B96" s="52" t="str">
        <f aca="false">IF($N96="","",INDEX('ALL ITEMS'!$B:$B,$N96))</f>
        <v/>
      </c>
      <c r="C96" s="53" t="str">
        <f aca="false">IF($N96="","",INDEX('ALL ITEMS'!$A:$A,$N96))</f>
        <v/>
      </c>
      <c r="D96" s="53" t="str">
        <f aca="false">IF($N96="","",INDEX('ALL ITEMS'!$D:$D,$N96))</f>
        <v/>
      </c>
      <c r="E96" s="53" t="str">
        <f aca="false">IF($N96="","",INDEX('ALL ITEMS'!$E:$E,$N96))</f>
        <v/>
      </c>
      <c r="F96" s="53" t="str">
        <f aca="false">IF($N96="","",INDEX('ALL ITEMS'!$F:$F,$N96))</f>
        <v/>
      </c>
      <c r="G96" s="53" t="str">
        <f aca="false">IF($N96="","",INDEX('ALL ITEMS'!$G:$G,$N96))</f>
        <v/>
      </c>
      <c r="H96" s="52" t="str">
        <f aca="false">IF($N96="","",INDEX('ALL ITEMS'!$H:$H,$N96))</f>
        <v/>
      </c>
      <c r="I96" s="54" t="str">
        <f aca="false">IF($N96="","",INDEX('ALL ITEMS'!$I:$I,$N96))</f>
        <v/>
      </c>
      <c r="J96" s="54" t="str">
        <f aca="false">IF($N96="","",INDEX('ALL ITEMS'!$J:$J,$N96))</f>
        <v/>
      </c>
      <c r="K96" s="54" t="str">
        <f aca="false">IF($N96="","",INDEX('ALL ITEMS'!$K:$K,$N96))</f>
        <v/>
      </c>
      <c r="L96" s="52" t="str">
        <f aca="false">IF($N96="","",INDEX('ALL ITEMS'!$L:$L,$N96))</f>
        <v/>
      </c>
      <c r="N96" s="0" t="str">
        <f aca="false">IF(ROWS($N$10:N96)&gt;$C$7,"",SMALL('ALL ITEMS'!$M$3:$M$764,ROWS($N$10:N96)))</f>
        <v/>
      </c>
    </row>
    <row r="97" customFormat="false" ht="15" hidden="false" customHeight="false" outlineLevel="0" collapsed="false">
      <c r="A97" s="52" t="str">
        <f aca="false">IF($N97="","",ROWS($N$10:N97))</f>
        <v/>
      </c>
      <c r="B97" s="52" t="str">
        <f aca="false">IF($N97="","",INDEX('ALL ITEMS'!$B:$B,$N97))</f>
        <v/>
      </c>
      <c r="C97" s="53" t="str">
        <f aca="false">IF($N97="","",INDEX('ALL ITEMS'!$A:$A,$N97))</f>
        <v/>
      </c>
      <c r="D97" s="53" t="str">
        <f aca="false">IF($N97="","",INDEX('ALL ITEMS'!$D:$D,$N97))</f>
        <v/>
      </c>
      <c r="E97" s="53" t="str">
        <f aca="false">IF($N97="","",INDEX('ALL ITEMS'!$E:$E,$N97))</f>
        <v/>
      </c>
      <c r="F97" s="53" t="str">
        <f aca="false">IF($N97="","",INDEX('ALL ITEMS'!$F:$F,$N97))</f>
        <v/>
      </c>
      <c r="G97" s="53" t="str">
        <f aca="false">IF($N97="","",INDEX('ALL ITEMS'!$G:$G,$N97))</f>
        <v/>
      </c>
      <c r="H97" s="52" t="str">
        <f aca="false">IF($N97="","",INDEX('ALL ITEMS'!$H:$H,$N97))</f>
        <v/>
      </c>
      <c r="I97" s="54" t="str">
        <f aca="false">IF($N97="","",INDEX('ALL ITEMS'!$I:$I,$N97))</f>
        <v/>
      </c>
      <c r="J97" s="54" t="str">
        <f aca="false">IF($N97="","",INDEX('ALL ITEMS'!$J:$J,$N97))</f>
        <v/>
      </c>
      <c r="K97" s="54" t="str">
        <f aca="false">IF($N97="","",INDEX('ALL ITEMS'!$K:$K,$N97))</f>
        <v/>
      </c>
      <c r="L97" s="52" t="str">
        <f aca="false">IF($N97="","",INDEX('ALL ITEMS'!$L:$L,$N97))</f>
        <v/>
      </c>
      <c r="N97" s="0" t="str">
        <f aca="false">IF(ROWS($N$10:N97)&gt;$C$7,"",SMALL('ALL ITEMS'!$M$3:$M$764,ROWS($N$10:N97)))</f>
        <v/>
      </c>
    </row>
    <row r="98" customFormat="false" ht="15" hidden="false" customHeight="false" outlineLevel="0" collapsed="false">
      <c r="A98" s="52" t="str">
        <f aca="false">IF($N98="","",ROWS($N$10:N98))</f>
        <v/>
      </c>
      <c r="B98" s="52" t="str">
        <f aca="false">IF($N98="","",INDEX('ALL ITEMS'!$B:$B,$N98))</f>
        <v/>
      </c>
      <c r="C98" s="53" t="str">
        <f aca="false">IF($N98="","",INDEX('ALL ITEMS'!$A:$A,$N98))</f>
        <v/>
      </c>
      <c r="D98" s="53" t="str">
        <f aca="false">IF($N98="","",INDEX('ALL ITEMS'!$D:$D,$N98))</f>
        <v/>
      </c>
      <c r="E98" s="53" t="str">
        <f aca="false">IF($N98="","",INDEX('ALL ITEMS'!$E:$E,$N98))</f>
        <v/>
      </c>
      <c r="F98" s="53" t="str">
        <f aca="false">IF($N98="","",INDEX('ALL ITEMS'!$F:$F,$N98))</f>
        <v/>
      </c>
      <c r="G98" s="53" t="str">
        <f aca="false">IF($N98="","",INDEX('ALL ITEMS'!$G:$G,$N98))</f>
        <v/>
      </c>
      <c r="H98" s="52" t="str">
        <f aca="false">IF($N98="","",INDEX('ALL ITEMS'!$H:$H,$N98))</f>
        <v/>
      </c>
      <c r="I98" s="54" t="str">
        <f aca="false">IF($N98="","",INDEX('ALL ITEMS'!$I:$I,$N98))</f>
        <v/>
      </c>
      <c r="J98" s="54" t="str">
        <f aca="false">IF($N98="","",INDEX('ALL ITEMS'!$J:$J,$N98))</f>
        <v/>
      </c>
      <c r="K98" s="54" t="str">
        <f aca="false">IF($N98="","",INDEX('ALL ITEMS'!$K:$K,$N98))</f>
        <v/>
      </c>
      <c r="L98" s="52" t="str">
        <f aca="false">IF($N98="","",INDEX('ALL ITEMS'!$L:$L,$N98))</f>
        <v/>
      </c>
      <c r="N98" s="0" t="str">
        <f aca="false">IF(ROWS($N$10:N98)&gt;$C$7,"",SMALL('ALL ITEMS'!$M$3:$M$764,ROWS($N$10:N98)))</f>
        <v/>
      </c>
    </row>
    <row r="99" customFormat="false" ht="15" hidden="false" customHeight="false" outlineLevel="0" collapsed="false">
      <c r="A99" s="52" t="str">
        <f aca="false">IF($N99="","",ROWS($N$10:N99))</f>
        <v/>
      </c>
      <c r="B99" s="52" t="str">
        <f aca="false">IF($N99="","",INDEX('ALL ITEMS'!$B:$B,$N99))</f>
        <v/>
      </c>
      <c r="C99" s="53" t="str">
        <f aca="false">IF($N99="","",INDEX('ALL ITEMS'!$A:$A,$N99))</f>
        <v/>
      </c>
      <c r="D99" s="53" t="str">
        <f aca="false">IF($N99="","",INDEX('ALL ITEMS'!$D:$D,$N99))</f>
        <v/>
      </c>
      <c r="E99" s="53" t="str">
        <f aca="false">IF($N99="","",INDEX('ALL ITEMS'!$E:$E,$N99))</f>
        <v/>
      </c>
      <c r="F99" s="53" t="str">
        <f aca="false">IF($N99="","",INDEX('ALL ITEMS'!$F:$F,$N99))</f>
        <v/>
      </c>
      <c r="G99" s="53" t="str">
        <f aca="false">IF($N99="","",INDEX('ALL ITEMS'!$G:$G,$N99))</f>
        <v/>
      </c>
      <c r="H99" s="52" t="str">
        <f aca="false">IF($N99="","",INDEX('ALL ITEMS'!$H:$H,$N99))</f>
        <v/>
      </c>
      <c r="I99" s="54" t="str">
        <f aca="false">IF($N99="","",INDEX('ALL ITEMS'!$I:$I,$N99))</f>
        <v/>
      </c>
      <c r="J99" s="54" t="str">
        <f aca="false">IF($N99="","",INDEX('ALL ITEMS'!$J:$J,$N99))</f>
        <v/>
      </c>
      <c r="K99" s="54" t="str">
        <f aca="false">IF($N99="","",INDEX('ALL ITEMS'!$K:$K,$N99))</f>
        <v/>
      </c>
      <c r="L99" s="52" t="str">
        <f aca="false">IF($N99="","",INDEX('ALL ITEMS'!$L:$L,$N99))</f>
        <v/>
      </c>
      <c r="N99" s="0" t="str">
        <f aca="false">IF(ROWS($N$10:N99)&gt;$C$7,"",SMALL('ALL ITEMS'!$M$3:$M$764,ROWS($N$10:N99)))</f>
        <v/>
      </c>
    </row>
    <row r="100" customFormat="false" ht="15" hidden="false" customHeight="false" outlineLevel="0" collapsed="false">
      <c r="A100" s="52" t="str">
        <f aca="false">IF($N100="","",ROWS($N$10:N100))</f>
        <v/>
      </c>
      <c r="B100" s="52" t="str">
        <f aca="false">IF($N100="","",INDEX('ALL ITEMS'!$B:$B,$N100))</f>
        <v/>
      </c>
      <c r="C100" s="53" t="str">
        <f aca="false">IF($N100="","",INDEX('ALL ITEMS'!$A:$A,$N100))</f>
        <v/>
      </c>
      <c r="D100" s="53" t="str">
        <f aca="false">IF($N100="","",INDEX('ALL ITEMS'!$D:$D,$N100))</f>
        <v/>
      </c>
      <c r="E100" s="53" t="str">
        <f aca="false">IF($N100="","",INDEX('ALL ITEMS'!$E:$E,$N100))</f>
        <v/>
      </c>
      <c r="F100" s="53" t="str">
        <f aca="false">IF($N100="","",INDEX('ALL ITEMS'!$F:$F,$N100))</f>
        <v/>
      </c>
      <c r="G100" s="53" t="str">
        <f aca="false">IF($N100="","",INDEX('ALL ITEMS'!$G:$G,$N100))</f>
        <v/>
      </c>
      <c r="H100" s="52" t="str">
        <f aca="false">IF($N100="","",INDEX('ALL ITEMS'!$H:$H,$N100))</f>
        <v/>
      </c>
      <c r="I100" s="54" t="str">
        <f aca="false">IF($N100="","",INDEX('ALL ITEMS'!$I:$I,$N100))</f>
        <v/>
      </c>
      <c r="J100" s="54" t="str">
        <f aca="false">IF($N100="","",INDEX('ALL ITEMS'!$J:$J,$N100))</f>
        <v/>
      </c>
      <c r="K100" s="54" t="str">
        <f aca="false">IF($N100="","",INDEX('ALL ITEMS'!$K:$K,$N100))</f>
        <v/>
      </c>
      <c r="L100" s="52" t="str">
        <f aca="false">IF($N100="","",INDEX('ALL ITEMS'!$L:$L,$N100))</f>
        <v/>
      </c>
      <c r="N100" s="0" t="str">
        <f aca="false">IF(ROWS($N$10:N100)&gt;$C$7,"",SMALL('ALL ITEMS'!$M$3:$M$764,ROWS($N$10:N100)))</f>
        <v/>
      </c>
    </row>
    <row r="101" customFormat="false" ht="15" hidden="false" customHeight="false" outlineLevel="0" collapsed="false">
      <c r="A101" s="52" t="str">
        <f aca="false">IF($N101="","",ROWS($N$10:N101))</f>
        <v/>
      </c>
      <c r="B101" s="52" t="str">
        <f aca="false">IF($N101="","",INDEX('ALL ITEMS'!$B:$B,$N101))</f>
        <v/>
      </c>
      <c r="C101" s="53" t="str">
        <f aca="false">IF($N101="","",INDEX('ALL ITEMS'!$A:$A,$N101))</f>
        <v/>
      </c>
      <c r="D101" s="53" t="str">
        <f aca="false">IF($N101="","",INDEX('ALL ITEMS'!$D:$D,$N101))</f>
        <v/>
      </c>
      <c r="E101" s="53" t="str">
        <f aca="false">IF($N101="","",INDEX('ALL ITEMS'!$E:$E,$N101))</f>
        <v/>
      </c>
      <c r="F101" s="53" t="str">
        <f aca="false">IF($N101="","",INDEX('ALL ITEMS'!$F:$F,$N101))</f>
        <v/>
      </c>
      <c r="G101" s="53" t="str">
        <f aca="false">IF($N101="","",INDEX('ALL ITEMS'!$G:$G,$N101))</f>
        <v/>
      </c>
      <c r="H101" s="52" t="str">
        <f aca="false">IF($N101="","",INDEX('ALL ITEMS'!$H:$H,$N101))</f>
        <v/>
      </c>
      <c r="I101" s="54" t="str">
        <f aca="false">IF($N101="","",INDEX('ALL ITEMS'!$I:$I,$N101))</f>
        <v/>
      </c>
      <c r="J101" s="54" t="str">
        <f aca="false">IF($N101="","",INDEX('ALL ITEMS'!$J:$J,$N101))</f>
        <v/>
      </c>
      <c r="K101" s="54" t="str">
        <f aca="false">IF($N101="","",INDEX('ALL ITEMS'!$K:$K,$N101))</f>
        <v/>
      </c>
      <c r="L101" s="52" t="str">
        <f aca="false">IF($N101="","",INDEX('ALL ITEMS'!$L:$L,$N101))</f>
        <v/>
      </c>
      <c r="N101" s="0" t="str">
        <f aca="false">IF(ROWS($N$10:N101)&gt;$C$7,"",SMALL('ALL ITEMS'!$M$3:$M$764,ROWS($N$10:N101)))</f>
        <v/>
      </c>
    </row>
    <row r="102" customFormat="false" ht="15" hidden="false" customHeight="false" outlineLevel="0" collapsed="false">
      <c r="A102" s="52" t="str">
        <f aca="false">IF($N102="","",ROWS($N$10:N102))</f>
        <v/>
      </c>
      <c r="B102" s="52" t="str">
        <f aca="false">IF($N102="","",INDEX('ALL ITEMS'!$B:$B,$N102))</f>
        <v/>
      </c>
      <c r="C102" s="53" t="str">
        <f aca="false">IF($N102="","",INDEX('ALL ITEMS'!$A:$A,$N102))</f>
        <v/>
      </c>
      <c r="D102" s="53" t="str">
        <f aca="false">IF($N102="","",INDEX('ALL ITEMS'!$D:$D,$N102))</f>
        <v/>
      </c>
      <c r="E102" s="53" t="str">
        <f aca="false">IF($N102="","",INDEX('ALL ITEMS'!$E:$E,$N102))</f>
        <v/>
      </c>
      <c r="F102" s="53" t="str">
        <f aca="false">IF($N102="","",INDEX('ALL ITEMS'!$F:$F,$N102))</f>
        <v/>
      </c>
      <c r="G102" s="53" t="str">
        <f aca="false">IF($N102="","",INDEX('ALL ITEMS'!$G:$G,$N102))</f>
        <v/>
      </c>
      <c r="H102" s="52" t="str">
        <f aca="false">IF($N102="","",INDEX('ALL ITEMS'!$H:$H,$N102))</f>
        <v/>
      </c>
      <c r="I102" s="54" t="str">
        <f aca="false">IF($N102="","",INDEX('ALL ITEMS'!$I:$I,$N102))</f>
        <v/>
      </c>
      <c r="J102" s="54" t="str">
        <f aca="false">IF($N102="","",INDEX('ALL ITEMS'!$J:$J,$N102))</f>
        <v/>
      </c>
      <c r="K102" s="54" t="str">
        <f aca="false">IF($N102="","",INDEX('ALL ITEMS'!$K:$K,$N102))</f>
        <v/>
      </c>
      <c r="L102" s="52" t="str">
        <f aca="false">IF($N102="","",INDEX('ALL ITEMS'!$L:$L,$N102))</f>
        <v/>
      </c>
      <c r="N102" s="0" t="str">
        <f aca="false">IF(ROWS($N$10:N102)&gt;$C$7,"",SMALL('ALL ITEMS'!$M$3:$M$764,ROWS($N$10:N102)))</f>
        <v/>
      </c>
    </row>
    <row r="103" customFormat="false" ht="15" hidden="false" customHeight="false" outlineLevel="0" collapsed="false">
      <c r="A103" s="52" t="str">
        <f aca="false">IF($N103="","",ROWS($N$10:N103))</f>
        <v/>
      </c>
      <c r="B103" s="52" t="str">
        <f aca="false">IF($N103="","",INDEX('ALL ITEMS'!$B:$B,$N103))</f>
        <v/>
      </c>
      <c r="C103" s="53" t="str">
        <f aca="false">IF($N103="","",INDEX('ALL ITEMS'!$A:$A,$N103))</f>
        <v/>
      </c>
      <c r="D103" s="53" t="str">
        <f aca="false">IF($N103="","",INDEX('ALL ITEMS'!$D:$D,$N103))</f>
        <v/>
      </c>
      <c r="E103" s="53" t="str">
        <f aca="false">IF($N103="","",INDEX('ALL ITEMS'!$E:$E,$N103))</f>
        <v/>
      </c>
      <c r="F103" s="53" t="str">
        <f aca="false">IF($N103="","",INDEX('ALL ITEMS'!$F:$F,$N103))</f>
        <v/>
      </c>
      <c r="G103" s="53" t="str">
        <f aca="false">IF($N103="","",INDEX('ALL ITEMS'!$G:$G,$N103))</f>
        <v/>
      </c>
      <c r="H103" s="52" t="str">
        <f aca="false">IF($N103="","",INDEX('ALL ITEMS'!$H:$H,$N103))</f>
        <v/>
      </c>
      <c r="I103" s="54" t="str">
        <f aca="false">IF($N103="","",INDEX('ALL ITEMS'!$I:$I,$N103))</f>
        <v/>
      </c>
      <c r="J103" s="54" t="str">
        <f aca="false">IF($N103="","",INDEX('ALL ITEMS'!$J:$J,$N103))</f>
        <v/>
      </c>
      <c r="K103" s="54" t="str">
        <f aca="false">IF($N103="","",INDEX('ALL ITEMS'!$K:$K,$N103))</f>
        <v/>
      </c>
      <c r="L103" s="52" t="str">
        <f aca="false">IF($N103="","",INDEX('ALL ITEMS'!$L:$L,$N103))</f>
        <v/>
      </c>
      <c r="N103" s="0" t="str">
        <f aca="false">IF(ROWS($N$10:N103)&gt;$C$7,"",SMALL('ALL ITEMS'!$M$3:$M$764,ROWS($N$10:N103)))</f>
        <v/>
      </c>
    </row>
    <row r="104" customFormat="false" ht="15" hidden="false" customHeight="false" outlineLevel="0" collapsed="false">
      <c r="A104" s="52" t="str">
        <f aca="false">IF($N104="","",ROWS($N$10:N104))</f>
        <v/>
      </c>
      <c r="B104" s="52" t="str">
        <f aca="false">IF($N104="","",INDEX('ALL ITEMS'!$B:$B,$N104))</f>
        <v/>
      </c>
      <c r="C104" s="53" t="str">
        <f aca="false">IF($N104="","",INDEX('ALL ITEMS'!$A:$A,$N104))</f>
        <v/>
      </c>
      <c r="D104" s="53" t="str">
        <f aca="false">IF($N104="","",INDEX('ALL ITEMS'!$D:$D,$N104))</f>
        <v/>
      </c>
      <c r="E104" s="53" t="str">
        <f aca="false">IF($N104="","",INDEX('ALL ITEMS'!$E:$E,$N104))</f>
        <v/>
      </c>
      <c r="F104" s="53" t="str">
        <f aca="false">IF($N104="","",INDEX('ALL ITEMS'!$F:$F,$N104))</f>
        <v/>
      </c>
      <c r="G104" s="53" t="str">
        <f aca="false">IF($N104="","",INDEX('ALL ITEMS'!$G:$G,$N104))</f>
        <v/>
      </c>
      <c r="H104" s="52" t="str">
        <f aca="false">IF($N104="","",INDEX('ALL ITEMS'!$H:$H,$N104))</f>
        <v/>
      </c>
      <c r="I104" s="54" t="str">
        <f aca="false">IF($N104="","",INDEX('ALL ITEMS'!$I:$I,$N104))</f>
        <v/>
      </c>
      <c r="J104" s="54" t="str">
        <f aca="false">IF($N104="","",INDEX('ALL ITEMS'!$J:$J,$N104))</f>
        <v/>
      </c>
      <c r="K104" s="54" t="str">
        <f aca="false">IF($N104="","",INDEX('ALL ITEMS'!$K:$K,$N104))</f>
        <v/>
      </c>
      <c r="L104" s="52" t="str">
        <f aca="false">IF($N104="","",INDEX('ALL ITEMS'!$L:$L,$N104))</f>
        <v/>
      </c>
      <c r="N104" s="0" t="str">
        <f aca="false">IF(ROWS($N$10:N104)&gt;$C$7,"",SMALL('ALL ITEMS'!$M$3:$M$764,ROWS($N$10:N104)))</f>
        <v/>
      </c>
    </row>
    <row r="105" customFormat="false" ht="15" hidden="false" customHeight="false" outlineLevel="0" collapsed="false">
      <c r="A105" s="52" t="str">
        <f aca="false">IF($N105="","",ROWS($N$10:N105))</f>
        <v/>
      </c>
      <c r="B105" s="52" t="str">
        <f aca="false">IF($N105="","",INDEX('ALL ITEMS'!$B:$B,$N105))</f>
        <v/>
      </c>
      <c r="C105" s="53" t="str">
        <f aca="false">IF($N105="","",INDEX('ALL ITEMS'!$A:$A,$N105))</f>
        <v/>
      </c>
      <c r="D105" s="53" t="str">
        <f aca="false">IF($N105="","",INDEX('ALL ITEMS'!$D:$D,$N105))</f>
        <v/>
      </c>
      <c r="E105" s="53" t="str">
        <f aca="false">IF($N105="","",INDEX('ALL ITEMS'!$E:$E,$N105))</f>
        <v/>
      </c>
      <c r="F105" s="53" t="str">
        <f aca="false">IF($N105="","",INDEX('ALL ITEMS'!$F:$F,$N105))</f>
        <v/>
      </c>
      <c r="G105" s="53" t="str">
        <f aca="false">IF($N105="","",INDEX('ALL ITEMS'!$G:$G,$N105))</f>
        <v/>
      </c>
      <c r="H105" s="52" t="str">
        <f aca="false">IF($N105="","",INDEX('ALL ITEMS'!$H:$H,$N105))</f>
        <v/>
      </c>
      <c r="I105" s="54" t="str">
        <f aca="false">IF($N105="","",INDEX('ALL ITEMS'!$I:$I,$N105))</f>
        <v/>
      </c>
      <c r="J105" s="54" t="str">
        <f aca="false">IF($N105="","",INDEX('ALL ITEMS'!$J:$J,$N105))</f>
        <v/>
      </c>
      <c r="K105" s="54" t="str">
        <f aca="false">IF($N105="","",INDEX('ALL ITEMS'!$K:$K,$N105))</f>
        <v/>
      </c>
      <c r="L105" s="52" t="str">
        <f aca="false">IF($N105="","",INDEX('ALL ITEMS'!$L:$L,$N105))</f>
        <v/>
      </c>
      <c r="N105" s="0" t="str">
        <f aca="false">IF(ROWS($N$10:N105)&gt;$C$7,"",SMALL('ALL ITEMS'!$M$3:$M$764,ROWS($N$10:N105)))</f>
        <v/>
      </c>
    </row>
    <row r="106" customFormat="false" ht="15" hidden="false" customHeight="false" outlineLevel="0" collapsed="false">
      <c r="A106" s="52" t="str">
        <f aca="false">IF($N106="","",ROWS($N$10:N106))</f>
        <v/>
      </c>
      <c r="B106" s="52" t="str">
        <f aca="false">IF($N106="","",INDEX('ALL ITEMS'!$B:$B,$N106))</f>
        <v/>
      </c>
      <c r="C106" s="53" t="str">
        <f aca="false">IF($N106="","",INDEX('ALL ITEMS'!$A:$A,$N106))</f>
        <v/>
      </c>
      <c r="D106" s="53" t="str">
        <f aca="false">IF($N106="","",INDEX('ALL ITEMS'!$D:$D,$N106))</f>
        <v/>
      </c>
      <c r="E106" s="53" t="str">
        <f aca="false">IF($N106="","",INDEX('ALL ITEMS'!$E:$E,$N106))</f>
        <v/>
      </c>
      <c r="F106" s="53" t="str">
        <f aca="false">IF($N106="","",INDEX('ALL ITEMS'!$F:$F,$N106))</f>
        <v/>
      </c>
      <c r="G106" s="53" t="str">
        <f aca="false">IF($N106="","",INDEX('ALL ITEMS'!$G:$G,$N106))</f>
        <v/>
      </c>
      <c r="H106" s="52" t="str">
        <f aca="false">IF($N106="","",INDEX('ALL ITEMS'!$H:$H,$N106))</f>
        <v/>
      </c>
      <c r="I106" s="54" t="str">
        <f aca="false">IF($N106="","",INDEX('ALL ITEMS'!$I:$I,$N106))</f>
        <v/>
      </c>
      <c r="J106" s="54" t="str">
        <f aca="false">IF($N106="","",INDEX('ALL ITEMS'!$J:$J,$N106))</f>
        <v/>
      </c>
      <c r="K106" s="54" t="str">
        <f aca="false">IF($N106="","",INDEX('ALL ITEMS'!$K:$K,$N106))</f>
        <v/>
      </c>
      <c r="L106" s="52" t="str">
        <f aca="false">IF($N106="","",INDEX('ALL ITEMS'!$L:$L,$N106))</f>
        <v/>
      </c>
      <c r="N106" s="0" t="str">
        <f aca="false">IF(ROWS($N$10:N106)&gt;$C$7,"",SMALL('ALL ITEMS'!$M$3:$M$764,ROWS($N$10:N106)))</f>
        <v/>
      </c>
    </row>
    <row r="107" customFormat="false" ht="15" hidden="false" customHeight="false" outlineLevel="0" collapsed="false">
      <c r="A107" s="52" t="str">
        <f aca="false">IF($N107="","",ROWS($N$10:N107))</f>
        <v/>
      </c>
      <c r="B107" s="52" t="str">
        <f aca="false">IF($N107="","",INDEX('ALL ITEMS'!$B:$B,$N107))</f>
        <v/>
      </c>
      <c r="C107" s="53" t="str">
        <f aca="false">IF($N107="","",INDEX('ALL ITEMS'!$A:$A,$N107))</f>
        <v/>
      </c>
      <c r="D107" s="53" t="str">
        <f aca="false">IF($N107="","",INDEX('ALL ITEMS'!$D:$D,$N107))</f>
        <v/>
      </c>
      <c r="E107" s="53" t="str">
        <f aca="false">IF($N107="","",INDEX('ALL ITEMS'!$E:$E,$N107))</f>
        <v/>
      </c>
      <c r="F107" s="53" t="str">
        <f aca="false">IF($N107="","",INDEX('ALL ITEMS'!$F:$F,$N107))</f>
        <v/>
      </c>
      <c r="G107" s="53" t="str">
        <f aca="false">IF($N107="","",INDEX('ALL ITEMS'!$G:$G,$N107))</f>
        <v/>
      </c>
      <c r="H107" s="52" t="str">
        <f aca="false">IF($N107="","",INDEX('ALL ITEMS'!$H:$H,$N107))</f>
        <v/>
      </c>
      <c r="I107" s="54" t="str">
        <f aca="false">IF($N107="","",INDEX('ALL ITEMS'!$I:$I,$N107))</f>
        <v/>
      </c>
      <c r="J107" s="54" t="str">
        <f aca="false">IF($N107="","",INDEX('ALL ITEMS'!$J:$J,$N107))</f>
        <v/>
      </c>
      <c r="K107" s="54" t="str">
        <f aca="false">IF($N107="","",INDEX('ALL ITEMS'!$K:$K,$N107))</f>
        <v/>
      </c>
      <c r="L107" s="52" t="str">
        <f aca="false">IF($N107="","",INDEX('ALL ITEMS'!$L:$L,$N107))</f>
        <v/>
      </c>
      <c r="N107" s="0" t="str">
        <f aca="false">IF(ROWS($N$10:N107)&gt;$C$7,"",SMALL('ALL ITEMS'!$M$3:$M$764,ROWS($N$10:N107)))</f>
        <v/>
      </c>
    </row>
    <row r="108" customFormat="false" ht="15" hidden="false" customHeight="false" outlineLevel="0" collapsed="false">
      <c r="A108" s="52" t="str">
        <f aca="false">IF($N108="","",ROWS($N$10:N108))</f>
        <v/>
      </c>
      <c r="B108" s="52" t="str">
        <f aca="false">IF($N108="","",INDEX('ALL ITEMS'!$B:$B,$N108))</f>
        <v/>
      </c>
      <c r="C108" s="53" t="str">
        <f aca="false">IF($N108="","",INDEX('ALL ITEMS'!$A:$A,$N108))</f>
        <v/>
      </c>
      <c r="D108" s="53" t="str">
        <f aca="false">IF($N108="","",INDEX('ALL ITEMS'!$D:$D,$N108))</f>
        <v/>
      </c>
      <c r="E108" s="53" t="str">
        <f aca="false">IF($N108="","",INDEX('ALL ITEMS'!$E:$E,$N108))</f>
        <v/>
      </c>
      <c r="F108" s="53" t="str">
        <f aca="false">IF($N108="","",INDEX('ALL ITEMS'!$F:$F,$N108))</f>
        <v/>
      </c>
      <c r="G108" s="53" t="str">
        <f aca="false">IF($N108="","",INDEX('ALL ITEMS'!$G:$G,$N108))</f>
        <v/>
      </c>
      <c r="H108" s="52" t="str">
        <f aca="false">IF($N108="","",INDEX('ALL ITEMS'!$H:$H,$N108))</f>
        <v/>
      </c>
      <c r="I108" s="54" t="str">
        <f aca="false">IF($N108="","",INDEX('ALL ITEMS'!$I:$I,$N108))</f>
        <v/>
      </c>
      <c r="J108" s="54" t="str">
        <f aca="false">IF($N108="","",INDEX('ALL ITEMS'!$J:$J,$N108))</f>
        <v/>
      </c>
      <c r="K108" s="54" t="str">
        <f aca="false">IF($N108="","",INDEX('ALL ITEMS'!$K:$K,$N108))</f>
        <v/>
      </c>
      <c r="L108" s="52" t="str">
        <f aca="false">IF($N108="","",INDEX('ALL ITEMS'!$L:$L,$N108))</f>
        <v/>
      </c>
      <c r="N108" s="0" t="str">
        <f aca="false">IF(ROWS($N$10:N108)&gt;$C$7,"",SMALL('ALL ITEMS'!$M$3:$M$764,ROWS($N$10:N108)))</f>
        <v/>
      </c>
    </row>
    <row r="109" customFormat="false" ht="15" hidden="false" customHeight="false" outlineLevel="0" collapsed="false">
      <c r="A109" s="52" t="str">
        <f aca="false">IF($N109="","",ROWS($N$10:N109))</f>
        <v/>
      </c>
      <c r="B109" s="52" t="str">
        <f aca="false">IF($N109="","",INDEX('ALL ITEMS'!$B:$B,$N109))</f>
        <v/>
      </c>
      <c r="C109" s="53" t="str">
        <f aca="false">IF($N109="","",INDEX('ALL ITEMS'!$A:$A,$N109))</f>
        <v/>
      </c>
      <c r="D109" s="53" t="str">
        <f aca="false">IF($N109="","",INDEX('ALL ITEMS'!$D:$D,$N109))</f>
        <v/>
      </c>
      <c r="E109" s="53" t="str">
        <f aca="false">IF($N109="","",INDEX('ALL ITEMS'!$E:$E,$N109))</f>
        <v/>
      </c>
      <c r="F109" s="53" t="str">
        <f aca="false">IF($N109="","",INDEX('ALL ITEMS'!$F:$F,$N109))</f>
        <v/>
      </c>
      <c r="G109" s="53" t="str">
        <f aca="false">IF($N109="","",INDEX('ALL ITEMS'!$G:$G,$N109))</f>
        <v/>
      </c>
      <c r="H109" s="52" t="str">
        <f aca="false">IF($N109="","",INDEX('ALL ITEMS'!$H:$H,$N109))</f>
        <v/>
      </c>
      <c r="I109" s="54" t="str">
        <f aca="false">IF($N109="","",INDEX('ALL ITEMS'!$I:$I,$N109))</f>
        <v/>
      </c>
      <c r="J109" s="54" t="str">
        <f aca="false">IF($N109="","",INDEX('ALL ITEMS'!$J:$J,$N109))</f>
        <v/>
      </c>
      <c r="K109" s="54" t="str">
        <f aca="false">IF($N109="","",INDEX('ALL ITEMS'!$K:$K,$N109))</f>
        <v/>
      </c>
      <c r="L109" s="52" t="str">
        <f aca="false">IF($N109="","",INDEX('ALL ITEMS'!$L:$L,$N109))</f>
        <v/>
      </c>
      <c r="N109" s="0" t="str">
        <f aca="false">IF(ROWS($N$10:N109)&gt;$C$7,"",SMALL('ALL ITEMS'!$M$3:$M$764,ROWS($N$10:N109)))</f>
        <v/>
      </c>
    </row>
    <row r="110" customFormat="false" ht="15" hidden="false" customHeight="false" outlineLevel="0" collapsed="false">
      <c r="A110" s="52" t="str">
        <f aca="false">IF($N110="","",ROWS($N$10:N110))</f>
        <v/>
      </c>
      <c r="B110" s="52" t="str">
        <f aca="false">IF($N110="","",INDEX('ALL ITEMS'!$B:$B,$N110))</f>
        <v/>
      </c>
      <c r="C110" s="53" t="str">
        <f aca="false">IF($N110="","",INDEX('ALL ITEMS'!$A:$A,$N110))</f>
        <v/>
      </c>
      <c r="D110" s="53" t="str">
        <f aca="false">IF($N110="","",INDEX('ALL ITEMS'!$D:$D,$N110))</f>
        <v/>
      </c>
      <c r="E110" s="53" t="str">
        <f aca="false">IF($N110="","",INDEX('ALL ITEMS'!$E:$E,$N110))</f>
        <v/>
      </c>
      <c r="F110" s="53" t="str">
        <f aca="false">IF($N110="","",INDEX('ALL ITEMS'!$F:$F,$N110))</f>
        <v/>
      </c>
      <c r="G110" s="53" t="str">
        <f aca="false">IF($N110="","",INDEX('ALL ITEMS'!$G:$G,$N110))</f>
        <v/>
      </c>
      <c r="H110" s="52" t="str">
        <f aca="false">IF($N110="","",INDEX('ALL ITEMS'!$H:$H,$N110))</f>
        <v/>
      </c>
      <c r="I110" s="54" t="str">
        <f aca="false">IF($N110="","",INDEX('ALL ITEMS'!$I:$I,$N110))</f>
        <v/>
      </c>
      <c r="J110" s="54" t="str">
        <f aca="false">IF($N110="","",INDEX('ALL ITEMS'!$J:$J,$N110))</f>
        <v/>
      </c>
      <c r="K110" s="54" t="str">
        <f aca="false">IF($N110="","",INDEX('ALL ITEMS'!$K:$K,$N110))</f>
        <v/>
      </c>
      <c r="L110" s="52" t="str">
        <f aca="false">IF($N110="","",INDEX('ALL ITEMS'!$L:$L,$N110))</f>
        <v/>
      </c>
      <c r="N110" s="0" t="str">
        <f aca="false">IF(ROWS($N$10:N110)&gt;$C$7,"",SMALL('ALL ITEMS'!$M$3:$M$764,ROWS($N$10:N110)))</f>
        <v/>
      </c>
    </row>
    <row r="111" customFormat="false" ht="15" hidden="false" customHeight="false" outlineLevel="0" collapsed="false">
      <c r="A111" s="52" t="str">
        <f aca="false">IF($N111="","",ROWS($N$10:N111))</f>
        <v/>
      </c>
      <c r="B111" s="52" t="str">
        <f aca="false">IF($N111="","",INDEX('ALL ITEMS'!$B:$B,$N111))</f>
        <v/>
      </c>
      <c r="C111" s="53" t="str">
        <f aca="false">IF($N111="","",INDEX('ALL ITEMS'!$A:$A,$N111))</f>
        <v/>
      </c>
      <c r="D111" s="53" t="str">
        <f aca="false">IF($N111="","",INDEX('ALL ITEMS'!$D:$D,$N111))</f>
        <v/>
      </c>
      <c r="E111" s="53" t="str">
        <f aca="false">IF($N111="","",INDEX('ALL ITEMS'!$E:$E,$N111))</f>
        <v/>
      </c>
      <c r="F111" s="53" t="str">
        <f aca="false">IF($N111="","",INDEX('ALL ITEMS'!$F:$F,$N111))</f>
        <v/>
      </c>
      <c r="G111" s="53" t="str">
        <f aca="false">IF($N111="","",INDEX('ALL ITEMS'!$G:$G,$N111))</f>
        <v/>
      </c>
      <c r="H111" s="52" t="str">
        <f aca="false">IF($N111="","",INDEX('ALL ITEMS'!$H:$H,$N111))</f>
        <v/>
      </c>
      <c r="I111" s="54" t="str">
        <f aca="false">IF($N111="","",INDEX('ALL ITEMS'!$I:$I,$N111))</f>
        <v/>
      </c>
      <c r="J111" s="54" t="str">
        <f aca="false">IF($N111="","",INDEX('ALL ITEMS'!$J:$J,$N111))</f>
        <v/>
      </c>
      <c r="K111" s="54" t="str">
        <f aca="false">IF($N111="","",INDEX('ALL ITEMS'!$K:$K,$N111))</f>
        <v/>
      </c>
      <c r="L111" s="52" t="str">
        <f aca="false">IF($N111="","",INDEX('ALL ITEMS'!$L:$L,$N111))</f>
        <v/>
      </c>
      <c r="N111" s="0" t="str">
        <f aca="false">IF(ROWS($N$10:N111)&gt;$C$7,"",SMALL('ALL ITEMS'!$M$3:$M$764,ROWS($N$10:N111)))</f>
        <v/>
      </c>
    </row>
    <row r="112" customFormat="false" ht="15" hidden="false" customHeight="false" outlineLevel="0" collapsed="false">
      <c r="A112" s="52" t="str">
        <f aca="false">IF($N112="","",ROWS($N$10:N112))</f>
        <v/>
      </c>
      <c r="B112" s="52" t="str">
        <f aca="false">IF($N112="","",INDEX('ALL ITEMS'!$B:$B,$N112))</f>
        <v/>
      </c>
      <c r="C112" s="53" t="str">
        <f aca="false">IF($N112="","",INDEX('ALL ITEMS'!$A:$A,$N112))</f>
        <v/>
      </c>
      <c r="D112" s="53" t="str">
        <f aca="false">IF($N112="","",INDEX('ALL ITEMS'!$D:$D,$N112))</f>
        <v/>
      </c>
      <c r="E112" s="53" t="str">
        <f aca="false">IF($N112="","",INDEX('ALL ITEMS'!$E:$E,$N112))</f>
        <v/>
      </c>
      <c r="F112" s="53" t="str">
        <f aca="false">IF($N112="","",INDEX('ALL ITEMS'!$F:$F,$N112))</f>
        <v/>
      </c>
      <c r="G112" s="53" t="str">
        <f aca="false">IF($N112="","",INDEX('ALL ITEMS'!$G:$G,$N112))</f>
        <v/>
      </c>
      <c r="H112" s="52" t="str">
        <f aca="false">IF($N112="","",INDEX('ALL ITEMS'!$H:$H,$N112))</f>
        <v/>
      </c>
      <c r="I112" s="54" t="str">
        <f aca="false">IF($N112="","",INDEX('ALL ITEMS'!$I:$I,$N112))</f>
        <v/>
      </c>
      <c r="J112" s="54" t="str">
        <f aca="false">IF($N112="","",INDEX('ALL ITEMS'!$J:$J,$N112))</f>
        <v/>
      </c>
      <c r="K112" s="54" t="str">
        <f aca="false">IF($N112="","",INDEX('ALL ITEMS'!$K:$K,$N112))</f>
        <v/>
      </c>
      <c r="L112" s="52" t="str">
        <f aca="false">IF($N112="","",INDEX('ALL ITEMS'!$L:$L,$N112))</f>
        <v/>
      </c>
      <c r="N112" s="0" t="str">
        <f aca="false">IF(ROWS($N$10:N112)&gt;$C$7,"",SMALL('ALL ITEMS'!$M$3:$M$764,ROWS($N$10:N112)))</f>
        <v/>
      </c>
    </row>
    <row r="113" customFormat="false" ht="15" hidden="false" customHeight="false" outlineLevel="0" collapsed="false">
      <c r="A113" s="52" t="str">
        <f aca="false">IF($N113="","",ROWS($N$10:N113))</f>
        <v/>
      </c>
      <c r="B113" s="52" t="str">
        <f aca="false">IF($N113="","",INDEX('ALL ITEMS'!$B:$B,$N113))</f>
        <v/>
      </c>
      <c r="C113" s="53" t="str">
        <f aca="false">IF($N113="","",INDEX('ALL ITEMS'!$A:$A,$N113))</f>
        <v/>
      </c>
      <c r="D113" s="53" t="str">
        <f aca="false">IF($N113="","",INDEX('ALL ITEMS'!$D:$D,$N113))</f>
        <v/>
      </c>
      <c r="E113" s="53" t="str">
        <f aca="false">IF($N113="","",INDEX('ALL ITEMS'!$E:$E,$N113))</f>
        <v/>
      </c>
      <c r="F113" s="53" t="str">
        <f aca="false">IF($N113="","",INDEX('ALL ITEMS'!$F:$F,$N113))</f>
        <v/>
      </c>
      <c r="G113" s="53" t="str">
        <f aca="false">IF($N113="","",INDEX('ALL ITEMS'!$G:$G,$N113))</f>
        <v/>
      </c>
      <c r="H113" s="52" t="str">
        <f aca="false">IF($N113="","",INDEX('ALL ITEMS'!$H:$H,$N113))</f>
        <v/>
      </c>
      <c r="I113" s="54" t="str">
        <f aca="false">IF($N113="","",INDEX('ALL ITEMS'!$I:$I,$N113))</f>
        <v/>
      </c>
      <c r="J113" s="54" t="str">
        <f aca="false">IF($N113="","",INDEX('ALL ITEMS'!$J:$J,$N113))</f>
        <v/>
      </c>
      <c r="K113" s="54" t="str">
        <f aca="false">IF($N113="","",INDEX('ALL ITEMS'!$K:$K,$N113))</f>
        <v/>
      </c>
      <c r="L113" s="52" t="str">
        <f aca="false">IF($N113="","",INDEX('ALL ITEMS'!$L:$L,$N113))</f>
        <v/>
      </c>
      <c r="N113" s="0" t="str">
        <f aca="false">IF(ROWS($N$10:N113)&gt;$C$7,"",SMALL('ALL ITEMS'!$M$3:$M$764,ROWS($N$10:N113)))</f>
        <v/>
      </c>
    </row>
    <row r="114" customFormat="false" ht="15" hidden="false" customHeight="false" outlineLevel="0" collapsed="false">
      <c r="A114" s="52" t="str">
        <f aca="false">IF($N114="","",ROWS($N$10:N114))</f>
        <v/>
      </c>
      <c r="B114" s="52" t="str">
        <f aca="false">IF($N114="","",INDEX('ALL ITEMS'!$B:$B,$N114))</f>
        <v/>
      </c>
      <c r="C114" s="53" t="str">
        <f aca="false">IF($N114="","",INDEX('ALL ITEMS'!$A:$A,$N114))</f>
        <v/>
      </c>
      <c r="D114" s="53" t="str">
        <f aca="false">IF($N114="","",INDEX('ALL ITEMS'!$D:$D,$N114))</f>
        <v/>
      </c>
      <c r="E114" s="53" t="str">
        <f aca="false">IF($N114="","",INDEX('ALL ITEMS'!$E:$E,$N114))</f>
        <v/>
      </c>
      <c r="F114" s="53" t="str">
        <f aca="false">IF($N114="","",INDEX('ALL ITEMS'!$F:$F,$N114))</f>
        <v/>
      </c>
      <c r="G114" s="53" t="str">
        <f aca="false">IF($N114="","",INDEX('ALL ITEMS'!$G:$G,$N114))</f>
        <v/>
      </c>
      <c r="H114" s="52" t="str">
        <f aca="false">IF($N114="","",INDEX('ALL ITEMS'!$H:$H,$N114))</f>
        <v/>
      </c>
      <c r="I114" s="54" t="str">
        <f aca="false">IF($N114="","",INDEX('ALL ITEMS'!$I:$I,$N114))</f>
        <v/>
      </c>
      <c r="J114" s="54" t="str">
        <f aca="false">IF($N114="","",INDEX('ALL ITEMS'!$J:$J,$N114))</f>
        <v/>
      </c>
      <c r="K114" s="54" t="str">
        <f aca="false">IF($N114="","",INDEX('ALL ITEMS'!$K:$K,$N114))</f>
        <v/>
      </c>
      <c r="L114" s="52" t="str">
        <f aca="false">IF($N114="","",INDEX('ALL ITEMS'!$L:$L,$N114))</f>
        <v/>
      </c>
      <c r="N114" s="0" t="str">
        <f aca="false">IF(ROWS($N$10:N114)&gt;$C$7,"",SMALL('ALL ITEMS'!$M$3:$M$764,ROWS($N$10:N114)))</f>
        <v/>
      </c>
    </row>
    <row r="115" customFormat="false" ht="15" hidden="false" customHeight="false" outlineLevel="0" collapsed="false">
      <c r="A115" s="52" t="str">
        <f aca="false">IF($N115="","",ROWS($N$10:N115))</f>
        <v/>
      </c>
      <c r="B115" s="52" t="str">
        <f aca="false">IF($N115="","",INDEX('ALL ITEMS'!$B:$B,$N115))</f>
        <v/>
      </c>
      <c r="C115" s="53" t="str">
        <f aca="false">IF($N115="","",INDEX('ALL ITEMS'!$A:$A,$N115))</f>
        <v/>
      </c>
      <c r="D115" s="53" t="str">
        <f aca="false">IF($N115="","",INDEX('ALL ITEMS'!$D:$D,$N115))</f>
        <v/>
      </c>
      <c r="E115" s="53" t="str">
        <f aca="false">IF($N115="","",INDEX('ALL ITEMS'!$E:$E,$N115))</f>
        <v/>
      </c>
      <c r="F115" s="53" t="str">
        <f aca="false">IF($N115="","",INDEX('ALL ITEMS'!$F:$F,$N115))</f>
        <v/>
      </c>
      <c r="G115" s="53" t="str">
        <f aca="false">IF($N115="","",INDEX('ALL ITEMS'!$G:$G,$N115))</f>
        <v/>
      </c>
      <c r="H115" s="52" t="str">
        <f aca="false">IF($N115="","",INDEX('ALL ITEMS'!$H:$H,$N115))</f>
        <v/>
      </c>
      <c r="I115" s="54" t="str">
        <f aca="false">IF($N115="","",INDEX('ALL ITEMS'!$I:$I,$N115))</f>
        <v/>
      </c>
      <c r="J115" s="54" t="str">
        <f aca="false">IF($N115="","",INDEX('ALL ITEMS'!$J:$J,$N115))</f>
        <v/>
      </c>
      <c r="K115" s="54" t="str">
        <f aca="false">IF($N115="","",INDEX('ALL ITEMS'!$K:$K,$N115))</f>
        <v/>
      </c>
      <c r="L115" s="52" t="str">
        <f aca="false">IF($N115="","",INDEX('ALL ITEMS'!$L:$L,$N115))</f>
        <v/>
      </c>
      <c r="N115" s="0" t="str">
        <f aca="false">IF(ROWS($N$10:N115)&gt;$C$7,"",SMALL('ALL ITEMS'!$M$3:$M$764,ROWS($N$10:N115)))</f>
        <v/>
      </c>
    </row>
    <row r="116" customFormat="false" ht="15" hidden="false" customHeight="false" outlineLevel="0" collapsed="false">
      <c r="A116" s="52" t="str">
        <f aca="false">IF($N116="","",ROWS($N$10:N116))</f>
        <v/>
      </c>
      <c r="B116" s="52" t="str">
        <f aca="false">IF($N116="","",INDEX('ALL ITEMS'!$B:$B,$N116))</f>
        <v/>
      </c>
      <c r="C116" s="53" t="str">
        <f aca="false">IF($N116="","",INDEX('ALL ITEMS'!$A:$A,$N116))</f>
        <v/>
      </c>
      <c r="D116" s="53" t="str">
        <f aca="false">IF($N116="","",INDEX('ALL ITEMS'!$D:$D,$N116))</f>
        <v/>
      </c>
      <c r="E116" s="53" t="str">
        <f aca="false">IF($N116="","",INDEX('ALL ITEMS'!$E:$E,$N116))</f>
        <v/>
      </c>
      <c r="F116" s="53" t="str">
        <f aca="false">IF($N116="","",INDEX('ALL ITEMS'!$F:$F,$N116))</f>
        <v/>
      </c>
      <c r="G116" s="53" t="str">
        <f aca="false">IF($N116="","",INDEX('ALL ITEMS'!$G:$G,$N116))</f>
        <v/>
      </c>
      <c r="H116" s="52" t="str">
        <f aca="false">IF($N116="","",INDEX('ALL ITEMS'!$H:$H,$N116))</f>
        <v/>
      </c>
      <c r="I116" s="54" t="str">
        <f aca="false">IF($N116="","",INDEX('ALL ITEMS'!$I:$I,$N116))</f>
        <v/>
      </c>
      <c r="J116" s="54" t="str">
        <f aca="false">IF($N116="","",INDEX('ALL ITEMS'!$J:$J,$N116))</f>
        <v/>
      </c>
      <c r="K116" s="54" t="str">
        <f aca="false">IF($N116="","",INDEX('ALL ITEMS'!$K:$K,$N116))</f>
        <v/>
      </c>
      <c r="L116" s="52" t="str">
        <f aca="false">IF($N116="","",INDEX('ALL ITEMS'!$L:$L,$N116))</f>
        <v/>
      </c>
      <c r="N116" s="0" t="str">
        <f aca="false">IF(ROWS($N$10:N116)&gt;$C$7,"",SMALL('ALL ITEMS'!$M$3:$M$764,ROWS($N$10:N116)))</f>
        <v/>
      </c>
    </row>
    <row r="117" customFormat="false" ht="15" hidden="false" customHeight="false" outlineLevel="0" collapsed="false">
      <c r="A117" s="52" t="str">
        <f aca="false">IF($N117="","",ROWS($N$10:N117))</f>
        <v/>
      </c>
      <c r="B117" s="52" t="str">
        <f aca="false">IF($N117="","",INDEX('ALL ITEMS'!$B:$B,$N117))</f>
        <v/>
      </c>
      <c r="C117" s="53" t="str">
        <f aca="false">IF($N117="","",INDEX('ALL ITEMS'!$A:$A,$N117))</f>
        <v/>
      </c>
      <c r="D117" s="53" t="str">
        <f aca="false">IF($N117="","",INDEX('ALL ITEMS'!$D:$D,$N117))</f>
        <v/>
      </c>
      <c r="E117" s="53" t="str">
        <f aca="false">IF($N117="","",INDEX('ALL ITEMS'!$E:$E,$N117))</f>
        <v/>
      </c>
      <c r="F117" s="53" t="str">
        <f aca="false">IF($N117="","",INDEX('ALL ITEMS'!$F:$F,$N117))</f>
        <v/>
      </c>
      <c r="G117" s="53" t="str">
        <f aca="false">IF($N117="","",INDEX('ALL ITEMS'!$G:$G,$N117))</f>
        <v/>
      </c>
      <c r="H117" s="52" t="str">
        <f aca="false">IF($N117="","",INDEX('ALL ITEMS'!$H:$H,$N117))</f>
        <v/>
      </c>
      <c r="I117" s="54" t="str">
        <f aca="false">IF($N117="","",INDEX('ALL ITEMS'!$I:$I,$N117))</f>
        <v/>
      </c>
      <c r="J117" s="54" t="str">
        <f aca="false">IF($N117="","",INDEX('ALL ITEMS'!$J:$J,$N117))</f>
        <v/>
      </c>
      <c r="K117" s="54" t="str">
        <f aca="false">IF($N117="","",INDEX('ALL ITEMS'!$K:$K,$N117))</f>
        <v/>
      </c>
      <c r="L117" s="52" t="str">
        <f aca="false">IF($N117="","",INDEX('ALL ITEMS'!$L:$L,$N117))</f>
        <v/>
      </c>
      <c r="N117" s="0" t="str">
        <f aca="false">IF(ROWS($N$10:N117)&gt;$C$7,"",SMALL('ALL ITEMS'!$M$3:$M$764,ROWS($N$10:N117)))</f>
        <v/>
      </c>
    </row>
    <row r="118" customFormat="false" ht="15" hidden="false" customHeight="false" outlineLevel="0" collapsed="false">
      <c r="A118" s="52" t="str">
        <f aca="false">IF($N118="","",ROWS($N$10:N118))</f>
        <v/>
      </c>
      <c r="B118" s="52" t="str">
        <f aca="false">IF($N118="","",INDEX('ALL ITEMS'!$B:$B,$N118))</f>
        <v/>
      </c>
      <c r="C118" s="53" t="str">
        <f aca="false">IF($N118="","",INDEX('ALL ITEMS'!$A:$A,$N118))</f>
        <v/>
      </c>
      <c r="D118" s="53" t="str">
        <f aca="false">IF($N118="","",INDEX('ALL ITEMS'!$D:$D,$N118))</f>
        <v/>
      </c>
      <c r="E118" s="53" t="str">
        <f aca="false">IF($N118="","",INDEX('ALL ITEMS'!$E:$E,$N118))</f>
        <v/>
      </c>
      <c r="F118" s="53" t="str">
        <f aca="false">IF($N118="","",INDEX('ALL ITEMS'!$F:$F,$N118))</f>
        <v/>
      </c>
      <c r="G118" s="53" t="str">
        <f aca="false">IF($N118="","",INDEX('ALL ITEMS'!$G:$G,$N118))</f>
        <v/>
      </c>
      <c r="H118" s="52" t="str">
        <f aca="false">IF($N118="","",INDEX('ALL ITEMS'!$H:$H,$N118))</f>
        <v/>
      </c>
      <c r="I118" s="54" t="str">
        <f aca="false">IF($N118="","",INDEX('ALL ITEMS'!$I:$I,$N118))</f>
        <v/>
      </c>
      <c r="J118" s="54" t="str">
        <f aca="false">IF($N118="","",INDEX('ALL ITEMS'!$J:$J,$N118))</f>
        <v/>
      </c>
      <c r="K118" s="54" t="str">
        <f aca="false">IF($N118="","",INDEX('ALL ITEMS'!$K:$K,$N118))</f>
        <v/>
      </c>
      <c r="L118" s="52" t="str">
        <f aca="false">IF($N118="","",INDEX('ALL ITEMS'!$L:$L,$N118))</f>
        <v/>
      </c>
      <c r="N118" s="0" t="str">
        <f aca="false">IF(ROWS($N$10:N118)&gt;$C$7,"",SMALL('ALL ITEMS'!$M$3:$M$764,ROWS($N$10:N118)))</f>
        <v/>
      </c>
    </row>
    <row r="119" customFormat="false" ht="15" hidden="false" customHeight="false" outlineLevel="0" collapsed="false">
      <c r="A119" s="52" t="str">
        <f aca="false">IF($N119="","",ROWS($N$10:N119))</f>
        <v/>
      </c>
      <c r="B119" s="52" t="str">
        <f aca="false">IF($N119="","",INDEX('ALL ITEMS'!$B:$B,$N119))</f>
        <v/>
      </c>
      <c r="C119" s="53" t="str">
        <f aca="false">IF($N119="","",INDEX('ALL ITEMS'!$A:$A,$N119))</f>
        <v/>
      </c>
      <c r="D119" s="53" t="str">
        <f aca="false">IF($N119="","",INDEX('ALL ITEMS'!$D:$D,$N119))</f>
        <v/>
      </c>
      <c r="E119" s="53" t="str">
        <f aca="false">IF($N119="","",INDEX('ALL ITEMS'!$E:$E,$N119))</f>
        <v/>
      </c>
      <c r="F119" s="53" t="str">
        <f aca="false">IF($N119="","",INDEX('ALL ITEMS'!$F:$F,$N119))</f>
        <v/>
      </c>
      <c r="G119" s="53" t="str">
        <f aca="false">IF($N119="","",INDEX('ALL ITEMS'!$G:$G,$N119))</f>
        <v/>
      </c>
      <c r="H119" s="52" t="str">
        <f aca="false">IF($N119="","",INDEX('ALL ITEMS'!$H:$H,$N119))</f>
        <v/>
      </c>
      <c r="I119" s="54" t="str">
        <f aca="false">IF($N119="","",INDEX('ALL ITEMS'!$I:$I,$N119))</f>
        <v/>
      </c>
      <c r="J119" s="54" t="str">
        <f aca="false">IF($N119="","",INDEX('ALL ITEMS'!$J:$J,$N119))</f>
        <v/>
      </c>
      <c r="K119" s="54" t="str">
        <f aca="false">IF($N119="","",INDEX('ALL ITEMS'!$K:$K,$N119))</f>
        <v/>
      </c>
      <c r="L119" s="52" t="str">
        <f aca="false">IF($N119="","",INDEX('ALL ITEMS'!$L:$L,$N119))</f>
        <v/>
      </c>
      <c r="N119" s="0" t="str">
        <f aca="false">IF(ROWS($N$10:N119)&gt;$C$7,"",SMALL('ALL ITEMS'!$M$3:$M$764,ROWS($N$10:N119)))</f>
        <v/>
      </c>
    </row>
    <row r="120" customFormat="false" ht="15" hidden="false" customHeight="false" outlineLevel="0" collapsed="false">
      <c r="A120" s="52" t="str">
        <f aca="false">IF($N120="","",ROWS($N$10:N120))</f>
        <v/>
      </c>
      <c r="B120" s="52" t="str">
        <f aca="false">IF($N120="","",INDEX('ALL ITEMS'!$B:$B,$N120))</f>
        <v/>
      </c>
      <c r="C120" s="53" t="str">
        <f aca="false">IF($N120="","",INDEX('ALL ITEMS'!$A:$A,$N120))</f>
        <v/>
      </c>
      <c r="D120" s="53" t="str">
        <f aca="false">IF($N120="","",INDEX('ALL ITEMS'!$D:$D,$N120))</f>
        <v/>
      </c>
      <c r="E120" s="53" t="str">
        <f aca="false">IF($N120="","",INDEX('ALL ITEMS'!$E:$E,$N120))</f>
        <v/>
      </c>
      <c r="F120" s="53" t="str">
        <f aca="false">IF($N120="","",INDEX('ALL ITEMS'!$F:$F,$N120))</f>
        <v/>
      </c>
      <c r="G120" s="53" t="str">
        <f aca="false">IF($N120="","",INDEX('ALL ITEMS'!$G:$G,$N120))</f>
        <v/>
      </c>
      <c r="H120" s="52" t="str">
        <f aca="false">IF($N120="","",INDEX('ALL ITEMS'!$H:$H,$N120))</f>
        <v/>
      </c>
      <c r="I120" s="54" t="str">
        <f aca="false">IF($N120="","",INDEX('ALL ITEMS'!$I:$I,$N120))</f>
        <v/>
      </c>
      <c r="J120" s="54" t="str">
        <f aca="false">IF($N120="","",INDEX('ALL ITEMS'!$J:$J,$N120))</f>
        <v/>
      </c>
      <c r="K120" s="54" t="str">
        <f aca="false">IF($N120="","",INDEX('ALL ITEMS'!$K:$K,$N120))</f>
        <v/>
      </c>
      <c r="L120" s="52" t="str">
        <f aca="false">IF($N120="","",INDEX('ALL ITEMS'!$L:$L,$N120))</f>
        <v/>
      </c>
      <c r="N120" s="0" t="str">
        <f aca="false">IF(ROWS($N$10:N120)&gt;$C$7,"",SMALL('ALL ITEMS'!$M$3:$M$764,ROWS($N$10:N120)))</f>
        <v/>
      </c>
    </row>
    <row r="121" customFormat="false" ht="15" hidden="false" customHeight="false" outlineLevel="0" collapsed="false">
      <c r="A121" s="52" t="str">
        <f aca="false">IF($N121="","",ROWS($N$10:N121))</f>
        <v/>
      </c>
      <c r="B121" s="52" t="str">
        <f aca="false">IF($N121="","",INDEX('ALL ITEMS'!$B:$B,$N121))</f>
        <v/>
      </c>
      <c r="C121" s="53" t="str">
        <f aca="false">IF($N121="","",INDEX('ALL ITEMS'!$A:$A,$N121))</f>
        <v/>
      </c>
      <c r="D121" s="53" t="str">
        <f aca="false">IF($N121="","",INDEX('ALL ITEMS'!$D:$D,$N121))</f>
        <v/>
      </c>
      <c r="E121" s="53" t="str">
        <f aca="false">IF($N121="","",INDEX('ALL ITEMS'!$E:$E,$N121))</f>
        <v/>
      </c>
      <c r="F121" s="53" t="str">
        <f aca="false">IF($N121="","",INDEX('ALL ITEMS'!$F:$F,$N121))</f>
        <v/>
      </c>
      <c r="G121" s="53" t="str">
        <f aca="false">IF($N121="","",INDEX('ALL ITEMS'!$G:$G,$N121))</f>
        <v/>
      </c>
      <c r="H121" s="52" t="str">
        <f aca="false">IF($N121="","",INDEX('ALL ITEMS'!$H:$H,$N121))</f>
        <v/>
      </c>
      <c r="I121" s="54" t="str">
        <f aca="false">IF($N121="","",INDEX('ALL ITEMS'!$I:$I,$N121))</f>
        <v/>
      </c>
      <c r="J121" s="54" t="str">
        <f aca="false">IF($N121="","",INDEX('ALL ITEMS'!$J:$J,$N121))</f>
        <v/>
      </c>
      <c r="K121" s="54" t="str">
        <f aca="false">IF($N121="","",INDEX('ALL ITEMS'!$K:$K,$N121))</f>
        <v/>
      </c>
      <c r="L121" s="52" t="str">
        <f aca="false">IF($N121="","",INDEX('ALL ITEMS'!$L:$L,$N121))</f>
        <v/>
      </c>
      <c r="N121" s="0" t="str">
        <f aca="false">IF(ROWS($N$10:N121)&gt;$C$7,"",SMALL('ALL ITEMS'!$M$3:$M$764,ROWS($N$10:N121)))</f>
        <v/>
      </c>
    </row>
    <row r="122" customFormat="false" ht="15" hidden="false" customHeight="false" outlineLevel="0" collapsed="false">
      <c r="A122" s="52" t="str">
        <f aca="false">IF($N122="","",ROWS($N$10:N122))</f>
        <v/>
      </c>
      <c r="B122" s="52" t="str">
        <f aca="false">IF($N122="","",INDEX('ALL ITEMS'!$B:$B,$N122))</f>
        <v/>
      </c>
      <c r="C122" s="53" t="str">
        <f aca="false">IF($N122="","",INDEX('ALL ITEMS'!$A:$A,$N122))</f>
        <v/>
      </c>
      <c r="D122" s="53" t="str">
        <f aca="false">IF($N122="","",INDEX('ALL ITEMS'!$D:$D,$N122))</f>
        <v/>
      </c>
      <c r="E122" s="53" t="str">
        <f aca="false">IF($N122="","",INDEX('ALL ITEMS'!$E:$E,$N122))</f>
        <v/>
      </c>
      <c r="F122" s="53" t="str">
        <f aca="false">IF($N122="","",INDEX('ALL ITEMS'!$F:$F,$N122))</f>
        <v/>
      </c>
      <c r="G122" s="53" t="str">
        <f aca="false">IF($N122="","",INDEX('ALL ITEMS'!$G:$G,$N122))</f>
        <v/>
      </c>
      <c r="H122" s="52" t="str">
        <f aca="false">IF($N122="","",INDEX('ALL ITEMS'!$H:$H,$N122))</f>
        <v/>
      </c>
      <c r="I122" s="54" t="str">
        <f aca="false">IF($N122="","",INDEX('ALL ITEMS'!$I:$I,$N122))</f>
        <v/>
      </c>
      <c r="J122" s="54" t="str">
        <f aca="false">IF($N122="","",INDEX('ALL ITEMS'!$J:$J,$N122))</f>
        <v/>
      </c>
      <c r="K122" s="54" t="str">
        <f aca="false">IF($N122="","",INDEX('ALL ITEMS'!$K:$K,$N122))</f>
        <v/>
      </c>
      <c r="L122" s="52" t="str">
        <f aca="false">IF($N122="","",INDEX('ALL ITEMS'!$L:$L,$N122))</f>
        <v/>
      </c>
      <c r="N122" s="0" t="str">
        <f aca="false">IF(ROWS($N$10:N122)&gt;$C$7,"",SMALL('ALL ITEMS'!$M$3:$M$764,ROWS($N$10:N122)))</f>
        <v/>
      </c>
    </row>
    <row r="123" customFormat="false" ht="15" hidden="false" customHeight="false" outlineLevel="0" collapsed="false">
      <c r="A123" s="52" t="str">
        <f aca="false">IF($N123="","",ROWS($N$10:N123))</f>
        <v/>
      </c>
      <c r="B123" s="52" t="str">
        <f aca="false">IF($N123="","",INDEX('ALL ITEMS'!$B:$B,$N123))</f>
        <v/>
      </c>
      <c r="C123" s="53" t="str">
        <f aca="false">IF($N123="","",INDEX('ALL ITEMS'!$A:$A,$N123))</f>
        <v/>
      </c>
      <c r="D123" s="53" t="str">
        <f aca="false">IF($N123="","",INDEX('ALL ITEMS'!$D:$D,$N123))</f>
        <v/>
      </c>
      <c r="E123" s="53" t="str">
        <f aca="false">IF($N123="","",INDEX('ALL ITEMS'!$E:$E,$N123))</f>
        <v/>
      </c>
      <c r="F123" s="53" t="str">
        <f aca="false">IF($N123="","",INDEX('ALL ITEMS'!$F:$F,$N123))</f>
        <v/>
      </c>
      <c r="G123" s="53" t="str">
        <f aca="false">IF($N123="","",INDEX('ALL ITEMS'!$G:$G,$N123))</f>
        <v/>
      </c>
      <c r="H123" s="52" t="str">
        <f aca="false">IF($N123="","",INDEX('ALL ITEMS'!$H:$H,$N123))</f>
        <v/>
      </c>
      <c r="I123" s="54" t="str">
        <f aca="false">IF($N123="","",INDEX('ALL ITEMS'!$I:$I,$N123))</f>
        <v/>
      </c>
      <c r="J123" s="54" t="str">
        <f aca="false">IF($N123="","",INDEX('ALL ITEMS'!$J:$J,$N123))</f>
        <v/>
      </c>
      <c r="K123" s="54" t="str">
        <f aca="false">IF($N123="","",INDEX('ALL ITEMS'!$K:$K,$N123))</f>
        <v/>
      </c>
      <c r="L123" s="52" t="str">
        <f aca="false">IF($N123="","",INDEX('ALL ITEMS'!$L:$L,$N123))</f>
        <v/>
      </c>
      <c r="N123" s="0" t="str">
        <f aca="false">IF(ROWS($N$10:N123)&gt;$C$7,"",SMALL('ALL ITEMS'!$M$3:$M$764,ROWS($N$10:N123)))</f>
        <v/>
      </c>
    </row>
    <row r="124" customFormat="false" ht="15" hidden="false" customHeight="false" outlineLevel="0" collapsed="false">
      <c r="A124" s="52" t="str">
        <f aca="false">IF($N124="","",ROWS($N$10:N124))</f>
        <v/>
      </c>
      <c r="B124" s="52" t="str">
        <f aca="false">IF($N124="","",INDEX('ALL ITEMS'!$B:$B,$N124))</f>
        <v/>
      </c>
      <c r="C124" s="53" t="str">
        <f aca="false">IF($N124="","",INDEX('ALL ITEMS'!$A:$A,$N124))</f>
        <v/>
      </c>
      <c r="D124" s="53" t="str">
        <f aca="false">IF($N124="","",INDEX('ALL ITEMS'!$D:$D,$N124))</f>
        <v/>
      </c>
      <c r="E124" s="53" t="str">
        <f aca="false">IF($N124="","",INDEX('ALL ITEMS'!$E:$E,$N124))</f>
        <v/>
      </c>
      <c r="F124" s="53" t="str">
        <f aca="false">IF($N124="","",INDEX('ALL ITEMS'!$F:$F,$N124))</f>
        <v/>
      </c>
      <c r="G124" s="53" t="str">
        <f aca="false">IF($N124="","",INDEX('ALL ITEMS'!$G:$G,$N124))</f>
        <v/>
      </c>
      <c r="H124" s="52" t="str">
        <f aca="false">IF($N124="","",INDEX('ALL ITEMS'!$H:$H,$N124))</f>
        <v/>
      </c>
      <c r="I124" s="54" t="str">
        <f aca="false">IF($N124="","",INDEX('ALL ITEMS'!$I:$I,$N124))</f>
        <v/>
      </c>
      <c r="J124" s="54" t="str">
        <f aca="false">IF($N124="","",INDEX('ALL ITEMS'!$J:$J,$N124))</f>
        <v/>
      </c>
      <c r="K124" s="54" t="str">
        <f aca="false">IF($N124="","",INDEX('ALL ITEMS'!$K:$K,$N124))</f>
        <v/>
      </c>
      <c r="L124" s="52" t="str">
        <f aca="false">IF($N124="","",INDEX('ALL ITEMS'!$L:$L,$N124))</f>
        <v/>
      </c>
      <c r="N124" s="0" t="str">
        <f aca="false">IF(ROWS($N$10:N124)&gt;$C$7,"",SMALL('ALL ITEMS'!$M$3:$M$764,ROWS($N$10:N124)))</f>
        <v/>
      </c>
    </row>
    <row r="125" customFormat="false" ht="15" hidden="false" customHeight="false" outlineLevel="0" collapsed="false">
      <c r="A125" s="52" t="str">
        <f aca="false">IF($N125="","",ROWS($N$10:N125))</f>
        <v/>
      </c>
      <c r="B125" s="52" t="str">
        <f aca="false">IF($N125="","",INDEX('ALL ITEMS'!$B:$B,$N125))</f>
        <v/>
      </c>
      <c r="C125" s="53" t="str">
        <f aca="false">IF($N125="","",INDEX('ALL ITEMS'!$A:$A,$N125))</f>
        <v/>
      </c>
      <c r="D125" s="53" t="str">
        <f aca="false">IF($N125="","",INDEX('ALL ITEMS'!$D:$D,$N125))</f>
        <v/>
      </c>
      <c r="E125" s="53" t="str">
        <f aca="false">IF($N125="","",INDEX('ALL ITEMS'!$E:$E,$N125))</f>
        <v/>
      </c>
      <c r="F125" s="53" t="str">
        <f aca="false">IF($N125="","",INDEX('ALL ITEMS'!$F:$F,$N125))</f>
        <v/>
      </c>
      <c r="G125" s="53" t="str">
        <f aca="false">IF($N125="","",INDEX('ALL ITEMS'!$G:$G,$N125))</f>
        <v/>
      </c>
      <c r="H125" s="52" t="str">
        <f aca="false">IF($N125="","",INDEX('ALL ITEMS'!$H:$H,$N125))</f>
        <v/>
      </c>
      <c r="I125" s="54" t="str">
        <f aca="false">IF($N125="","",INDEX('ALL ITEMS'!$I:$I,$N125))</f>
        <v/>
      </c>
      <c r="J125" s="54" t="str">
        <f aca="false">IF($N125="","",INDEX('ALL ITEMS'!$J:$J,$N125))</f>
        <v/>
      </c>
      <c r="K125" s="54" t="str">
        <f aca="false">IF($N125="","",INDEX('ALL ITEMS'!$K:$K,$N125))</f>
        <v/>
      </c>
      <c r="L125" s="52" t="str">
        <f aca="false">IF($N125="","",INDEX('ALL ITEMS'!$L:$L,$N125))</f>
        <v/>
      </c>
      <c r="N125" s="0" t="str">
        <f aca="false">IF(ROWS($N$10:N125)&gt;$C$7,"",SMALL('ALL ITEMS'!$M$3:$M$764,ROWS($N$10:N125)))</f>
        <v/>
      </c>
    </row>
    <row r="126" customFormat="false" ht="15" hidden="false" customHeight="false" outlineLevel="0" collapsed="false">
      <c r="A126" s="52" t="str">
        <f aca="false">IF($N126="","",ROWS($N$10:N126))</f>
        <v/>
      </c>
      <c r="B126" s="52" t="str">
        <f aca="false">IF($N126="","",INDEX('ALL ITEMS'!$B:$B,$N126))</f>
        <v/>
      </c>
      <c r="C126" s="53" t="str">
        <f aca="false">IF($N126="","",INDEX('ALL ITEMS'!$A:$A,$N126))</f>
        <v/>
      </c>
      <c r="D126" s="53" t="str">
        <f aca="false">IF($N126="","",INDEX('ALL ITEMS'!$D:$D,$N126))</f>
        <v/>
      </c>
      <c r="E126" s="53" t="str">
        <f aca="false">IF($N126="","",INDEX('ALL ITEMS'!$E:$E,$N126))</f>
        <v/>
      </c>
      <c r="F126" s="53" t="str">
        <f aca="false">IF($N126="","",INDEX('ALL ITEMS'!$F:$F,$N126))</f>
        <v/>
      </c>
      <c r="G126" s="53" t="str">
        <f aca="false">IF($N126="","",INDEX('ALL ITEMS'!$G:$G,$N126))</f>
        <v/>
      </c>
      <c r="H126" s="52" t="str">
        <f aca="false">IF($N126="","",INDEX('ALL ITEMS'!$H:$H,$N126))</f>
        <v/>
      </c>
      <c r="I126" s="54" t="str">
        <f aca="false">IF($N126="","",INDEX('ALL ITEMS'!$I:$I,$N126))</f>
        <v/>
      </c>
      <c r="J126" s="54" t="str">
        <f aca="false">IF($N126="","",INDEX('ALL ITEMS'!$J:$J,$N126))</f>
        <v/>
      </c>
      <c r="K126" s="54" t="str">
        <f aca="false">IF($N126="","",INDEX('ALL ITEMS'!$K:$K,$N126))</f>
        <v/>
      </c>
      <c r="L126" s="52" t="str">
        <f aca="false">IF($N126="","",INDEX('ALL ITEMS'!$L:$L,$N126))</f>
        <v/>
      </c>
      <c r="N126" s="0" t="str">
        <f aca="false">IF(ROWS($N$10:N126)&gt;$C$7,"",SMALL('ALL ITEMS'!$M$3:$M$764,ROWS($N$10:N126)))</f>
        <v/>
      </c>
    </row>
    <row r="127" customFormat="false" ht="15" hidden="false" customHeight="false" outlineLevel="0" collapsed="false">
      <c r="A127" s="52" t="str">
        <f aca="false">IF($N127="","",ROWS($N$10:N127))</f>
        <v/>
      </c>
      <c r="B127" s="52" t="str">
        <f aca="false">IF($N127="","",INDEX('ALL ITEMS'!$B:$B,$N127))</f>
        <v/>
      </c>
      <c r="C127" s="53" t="str">
        <f aca="false">IF($N127="","",INDEX('ALL ITEMS'!$A:$A,$N127))</f>
        <v/>
      </c>
      <c r="D127" s="53" t="str">
        <f aca="false">IF($N127="","",INDEX('ALL ITEMS'!$D:$D,$N127))</f>
        <v/>
      </c>
      <c r="E127" s="53" t="str">
        <f aca="false">IF($N127="","",INDEX('ALL ITEMS'!$E:$E,$N127))</f>
        <v/>
      </c>
      <c r="F127" s="53" t="str">
        <f aca="false">IF($N127="","",INDEX('ALL ITEMS'!$F:$F,$N127))</f>
        <v/>
      </c>
      <c r="G127" s="53" t="str">
        <f aca="false">IF($N127="","",INDEX('ALL ITEMS'!$G:$G,$N127))</f>
        <v/>
      </c>
      <c r="H127" s="52" t="str">
        <f aca="false">IF($N127="","",INDEX('ALL ITEMS'!$H:$H,$N127))</f>
        <v/>
      </c>
      <c r="I127" s="54" t="str">
        <f aca="false">IF($N127="","",INDEX('ALL ITEMS'!$I:$I,$N127))</f>
        <v/>
      </c>
      <c r="J127" s="54" t="str">
        <f aca="false">IF($N127="","",INDEX('ALL ITEMS'!$J:$J,$N127))</f>
        <v/>
      </c>
      <c r="K127" s="54" t="str">
        <f aca="false">IF($N127="","",INDEX('ALL ITEMS'!$K:$K,$N127))</f>
        <v/>
      </c>
      <c r="L127" s="52" t="str">
        <f aca="false">IF($N127="","",INDEX('ALL ITEMS'!$L:$L,$N127))</f>
        <v/>
      </c>
      <c r="N127" s="0" t="str">
        <f aca="false">IF(ROWS($N$10:N127)&gt;$C$7,"",SMALL('ALL ITEMS'!$M$3:$M$764,ROWS($N$10:N127)))</f>
        <v/>
      </c>
    </row>
    <row r="128" customFormat="false" ht="15" hidden="false" customHeight="false" outlineLevel="0" collapsed="false">
      <c r="A128" s="52" t="str">
        <f aca="false">IF($N128="","",ROWS($N$10:N128))</f>
        <v/>
      </c>
      <c r="B128" s="52" t="str">
        <f aca="false">IF($N128="","",INDEX('ALL ITEMS'!$B:$B,$N128))</f>
        <v/>
      </c>
      <c r="C128" s="53" t="str">
        <f aca="false">IF($N128="","",INDEX('ALL ITEMS'!$A:$A,$N128))</f>
        <v/>
      </c>
      <c r="D128" s="53" t="str">
        <f aca="false">IF($N128="","",INDEX('ALL ITEMS'!$D:$D,$N128))</f>
        <v/>
      </c>
      <c r="E128" s="53" t="str">
        <f aca="false">IF($N128="","",INDEX('ALL ITEMS'!$E:$E,$N128))</f>
        <v/>
      </c>
      <c r="F128" s="53" t="str">
        <f aca="false">IF($N128="","",INDEX('ALL ITEMS'!$F:$F,$N128))</f>
        <v/>
      </c>
      <c r="G128" s="53" t="str">
        <f aca="false">IF($N128="","",INDEX('ALL ITEMS'!$G:$G,$N128))</f>
        <v/>
      </c>
      <c r="H128" s="52" t="str">
        <f aca="false">IF($N128="","",INDEX('ALL ITEMS'!$H:$H,$N128))</f>
        <v/>
      </c>
      <c r="I128" s="54" t="str">
        <f aca="false">IF($N128="","",INDEX('ALL ITEMS'!$I:$I,$N128))</f>
        <v/>
      </c>
      <c r="J128" s="54" t="str">
        <f aca="false">IF($N128="","",INDEX('ALL ITEMS'!$J:$J,$N128))</f>
        <v/>
      </c>
      <c r="K128" s="54" t="str">
        <f aca="false">IF($N128="","",INDEX('ALL ITEMS'!$K:$K,$N128))</f>
        <v/>
      </c>
      <c r="L128" s="52" t="str">
        <f aca="false">IF($N128="","",INDEX('ALL ITEMS'!$L:$L,$N128))</f>
        <v/>
      </c>
      <c r="N128" s="0" t="str">
        <f aca="false">IF(ROWS($N$10:N128)&gt;$C$7,"",SMALL('ALL ITEMS'!$M$3:$M$764,ROWS($N$10:N128)))</f>
        <v/>
      </c>
    </row>
    <row r="129" customFormat="false" ht="15" hidden="false" customHeight="false" outlineLevel="0" collapsed="false">
      <c r="A129" s="52" t="str">
        <f aca="false">IF($N129="","",ROWS($N$10:N129))</f>
        <v/>
      </c>
      <c r="B129" s="52" t="str">
        <f aca="false">IF($N129="","",INDEX('ALL ITEMS'!$B:$B,$N129))</f>
        <v/>
      </c>
      <c r="C129" s="53" t="str">
        <f aca="false">IF($N129="","",INDEX('ALL ITEMS'!$A:$A,$N129))</f>
        <v/>
      </c>
      <c r="D129" s="53" t="str">
        <f aca="false">IF($N129="","",INDEX('ALL ITEMS'!$D:$D,$N129))</f>
        <v/>
      </c>
      <c r="E129" s="53" t="str">
        <f aca="false">IF($N129="","",INDEX('ALL ITEMS'!$E:$E,$N129))</f>
        <v/>
      </c>
      <c r="F129" s="53" t="str">
        <f aca="false">IF($N129="","",INDEX('ALL ITEMS'!$F:$F,$N129))</f>
        <v/>
      </c>
      <c r="G129" s="53" t="str">
        <f aca="false">IF($N129="","",INDEX('ALL ITEMS'!$G:$G,$N129))</f>
        <v/>
      </c>
      <c r="H129" s="52" t="str">
        <f aca="false">IF($N129="","",INDEX('ALL ITEMS'!$H:$H,$N129))</f>
        <v/>
      </c>
      <c r="I129" s="54" t="str">
        <f aca="false">IF($N129="","",INDEX('ALL ITEMS'!$I:$I,$N129))</f>
        <v/>
      </c>
      <c r="J129" s="54" t="str">
        <f aca="false">IF($N129="","",INDEX('ALL ITEMS'!$J:$J,$N129))</f>
        <v/>
      </c>
      <c r="K129" s="54" t="str">
        <f aca="false">IF($N129="","",INDEX('ALL ITEMS'!$K:$K,$N129))</f>
        <v/>
      </c>
      <c r="L129" s="52" t="str">
        <f aca="false">IF($N129="","",INDEX('ALL ITEMS'!$L:$L,$N129))</f>
        <v/>
      </c>
      <c r="N129" s="0" t="str">
        <f aca="false">IF(ROWS($N$10:N129)&gt;$C$7,"",SMALL('ALL ITEMS'!$M$3:$M$764,ROWS($N$10:N129)))</f>
        <v/>
      </c>
    </row>
    <row r="130" customFormat="false" ht="15" hidden="false" customHeight="false" outlineLevel="0" collapsed="false">
      <c r="A130" s="52" t="str">
        <f aca="false">IF($N130="","",ROWS($N$10:N130))</f>
        <v/>
      </c>
      <c r="B130" s="52" t="str">
        <f aca="false">IF($N130="","",INDEX('ALL ITEMS'!$B:$B,$N130))</f>
        <v/>
      </c>
      <c r="C130" s="53" t="str">
        <f aca="false">IF($N130="","",INDEX('ALL ITEMS'!$A:$A,$N130))</f>
        <v/>
      </c>
      <c r="D130" s="53" t="str">
        <f aca="false">IF($N130="","",INDEX('ALL ITEMS'!$D:$D,$N130))</f>
        <v/>
      </c>
      <c r="E130" s="53" t="str">
        <f aca="false">IF($N130="","",INDEX('ALL ITEMS'!$E:$E,$N130))</f>
        <v/>
      </c>
      <c r="F130" s="53" t="str">
        <f aca="false">IF($N130="","",INDEX('ALL ITEMS'!$F:$F,$N130))</f>
        <v/>
      </c>
      <c r="G130" s="53" t="str">
        <f aca="false">IF($N130="","",INDEX('ALL ITEMS'!$G:$G,$N130))</f>
        <v/>
      </c>
      <c r="H130" s="52" t="str">
        <f aca="false">IF($N130="","",INDEX('ALL ITEMS'!$H:$H,$N130))</f>
        <v/>
      </c>
      <c r="I130" s="54" t="str">
        <f aca="false">IF($N130="","",INDEX('ALL ITEMS'!$I:$I,$N130))</f>
        <v/>
      </c>
      <c r="J130" s="54" t="str">
        <f aca="false">IF($N130="","",INDEX('ALL ITEMS'!$J:$J,$N130))</f>
        <v/>
      </c>
      <c r="K130" s="54" t="str">
        <f aca="false">IF($N130="","",INDEX('ALL ITEMS'!$K:$K,$N130))</f>
        <v/>
      </c>
      <c r="L130" s="52" t="str">
        <f aca="false">IF($N130="","",INDEX('ALL ITEMS'!$L:$L,$N130))</f>
        <v/>
      </c>
      <c r="N130" s="0" t="str">
        <f aca="false">IF(ROWS($N$10:N130)&gt;$C$7,"",SMALL('ALL ITEMS'!$M$3:$M$764,ROWS($N$10:N130)))</f>
        <v/>
      </c>
    </row>
    <row r="131" customFormat="false" ht="15" hidden="false" customHeight="false" outlineLevel="0" collapsed="false">
      <c r="A131" s="52" t="str">
        <f aca="false">IF($N131="","",ROWS($N$10:N131))</f>
        <v/>
      </c>
      <c r="B131" s="52" t="str">
        <f aca="false">IF($N131="","",INDEX('ALL ITEMS'!$B:$B,$N131))</f>
        <v/>
      </c>
      <c r="C131" s="53" t="str">
        <f aca="false">IF($N131="","",INDEX('ALL ITEMS'!$A:$A,$N131))</f>
        <v/>
      </c>
      <c r="D131" s="53" t="str">
        <f aca="false">IF($N131="","",INDEX('ALL ITEMS'!$D:$D,$N131))</f>
        <v/>
      </c>
      <c r="E131" s="53" t="str">
        <f aca="false">IF($N131="","",INDEX('ALL ITEMS'!$E:$E,$N131))</f>
        <v/>
      </c>
      <c r="F131" s="53" t="str">
        <f aca="false">IF($N131="","",INDEX('ALL ITEMS'!$F:$F,$N131))</f>
        <v/>
      </c>
      <c r="G131" s="53" t="str">
        <f aca="false">IF($N131="","",INDEX('ALL ITEMS'!$G:$G,$N131))</f>
        <v/>
      </c>
      <c r="H131" s="52" t="str">
        <f aca="false">IF($N131="","",INDEX('ALL ITEMS'!$H:$H,$N131))</f>
        <v/>
      </c>
      <c r="I131" s="54" t="str">
        <f aca="false">IF($N131="","",INDEX('ALL ITEMS'!$I:$I,$N131))</f>
        <v/>
      </c>
      <c r="J131" s="54" t="str">
        <f aca="false">IF($N131="","",INDEX('ALL ITEMS'!$J:$J,$N131))</f>
        <v/>
      </c>
      <c r="K131" s="54" t="str">
        <f aca="false">IF($N131="","",INDEX('ALL ITEMS'!$K:$K,$N131))</f>
        <v/>
      </c>
      <c r="L131" s="52" t="str">
        <f aca="false">IF($N131="","",INDEX('ALL ITEMS'!$L:$L,$N131))</f>
        <v/>
      </c>
      <c r="N131" s="0" t="str">
        <f aca="false">IF(ROWS($N$10:N131)&gt;$C$7,"",SMALL('ALL ITEMS'!$M$3:$M$764,ROWS($N$10:N131)))</f>
        <v/>
      </c>
    </row>
    <row r="132" customFormat="false" ht="15" hidden="false" customHeight="false" outlineLevel="0" collapsed="false">
      <c r="A132" s="52" t="str">
        <f aca="false">IF($N132="","",ROWS($N$10:N132))</f>
        <v/>
      </c>
      <c r="B132" s="52" t="str">
        <f aca="false">IF($N132="","",INDEX('ALL ITEMS'!$B:$B,$N132))</f>
        <v/>
      </c>
      <c r="C132" s="53" t="str">
        <f aca="false">IF($N132="","",INDEX('ALL ITEMS'!$A:$A,$N132))</f>
        <v/>
      </c>
      <c r="D132" s="53" t="str">
        <f aca="false">IF($N132="","",INDEX('ALL ITEMS'!$D:$D,$N132))</f>
        <v/>
      </c>
      <c r="E132" s="53" t="str">
        <f aca="false">IF($N132="","",INDEX('ALL ITEMS'!$E:$E,$N132))</f>
        <v/>
      </c>
      <c r="F132" s="53" t="str">
        <f aca="false">IF($N132="","",INDEX('ALL ITEMS'!$F:$F,$N132))</f>
        <v/>
      </c>
      <c r="G132" s="53" t="str">
        <f aca="false">IF($N132="","",INDEX('ALL ITEMS'!$G:$G,$N132))</f>
        <v/>
      </c>
      <c r="H132" s="52" t="str">
        <f aca="false">IF($N132="","",INDEX('ALL ITEMS'!$H:$H,$N132))</f>
        <v/>
      </c>
      <c r="I132" s="54" t="str">
        <f aca="false">IF($N132="","",INDEX('ALL ITEMS'!$I:$I,$N132))</f>
        <v/>
      </c>
      <c r="J132" s="54" t="str">
        <f aca="false">IF($N132="","",INDEX('ALL ITEMS'!$J:$J,$N132))</f>
        <v/>
      </c>
      <c r="K132" s="54" t="str">
        <f aca="false">IF($N132="","",INDEX('ALL ITEMS'!$K:$K,$N132))</f>
        <v/>
      </c>
      <c r="L132" s="52" t="str">
        <f aca="false">IF($N132="","",INDEX('ALL ITEMS'!$L:$L,$N132))</f>
        <v/>
      </c>
      <c r="N132" s="0" t="str">
        <f aca="false">IF(ROWS($N$10:N132)&gt;$C$7,"",SMALL('ALL ITEMS'!$M$3:$M$764,ROWS($N$10:N132)))</f>
        <v/>
      </c>
    </row>
    <row r="133" customFormat="false" ht="15" hidden="false" customHeight="false" outlineLevel="0" collapsed="false">
      <c r="A133" s="52" t="str">
        <f aca="false">IF($N133="","",ROWS($N$10:N133))</f>
        <v/>
      </c>
      <c r="B133" s="52" t="str">
        <f aca="false">IF($N133="","",INDEX('ALL ITEMS'!$B:$B,$N133))</f>
        <v/>
      </c>
      <c r="C133" s="53" t="str">
        <f aca="false">IF($N133="","",INDEX('ALL ITEMS'!$A:$A,$N133))</f>
        <v/>
      </c>
      <c r="D133" s="53" t="str">
        <f aca="false">IF($N133="","",INDEX('ALL ITEMS'!$D:$D,$N133))</f>
        <v/>
      </c>
      <c r="E133" s="53" t="str">
        <f aca="false">IF($N133="","",INDEX('ALL ITEMS'!$E:$E,$N133))</f>
        <v/>
      </c>
      <c r="F133" s="53" t="str">
        <f aca="false">IF($N133="","",INDEX('ALL ITEMS'!$F:$F,$N133))</f>
        <v/>
      </c>
      <c r="G133" s="53" t="str">
        <f aca="false">IF($N133="","",INDEX('ALL ITEMS'!$G:$G,$N133))</f>
        <v/>
      </c>
      <c r="H133" s="52" t="str">
        <f aca="false">IF($N133="","",INDEX('ALL ITEMS'!$H:$H,$N133))</f>
        <v/>
      </c>
      <c r="I133" s="54" t="str">
        <f aca="false">IF($N133="","",INDEX('ALL ITEMS'!$I:$I,$N133))</f>
        <v/>
      </c>
      <c r="J133" s="54" t="str">
        <f aca="false">IF($N133="","",INDEX('ALL ITEMS'!$J:$J,$N133))</f>
        <v/>
      </c>
      <c r="K133" s="54" t="str">
        <f aca="false">IF($N133="","",INDEX('ALL ITEMS'!$K:$K,$N133))</f>
        <v/>
      </c>
      <c r="L133" s="52" t="str">
        <f aca="false">IF($N133="","",INDEX('ALL ITEMS'!$L:$L,$N133))</f>
        <v/>
      </c>
      <c r="N133" s="0" t="str">
        <f aca="false">IF(ROWS($N$10:N133)&gt;$C$7,"",SMALL('ALL ITEMS'!$M$3:$M$764,ROWS($N$10:N133)))</f>
        <v/>
      </c>
    </row>
    <row r="134" customFormat="false" ht="15" hidden="false" customHeight="false" outlineLevel="0" collapsed="false">
      <c r="A134" s="52" t="str">
        <f aca="false">IF($N134="","",ROWS($N$10:N134))</f>
        <v/>
      </c>
      <c r="B134" s="52" t="str">
        <f aca="false">IF($N134="","",INDEX('ALL ITEMS'!$B:$B,$N134))</f>
        <v/>
      </c>
      <c r="C134" s="53" t="str">
        <f aca="false">IF($N134="","",INDEX('ALL ITEMS'!$A:$A,$N134))</f>
        <v/>
      </c>
      <c r="D134" s="53" t="str">
        <f aca="false">IF($N134="","",INDEX('ALL ITEMS'!$D:$D,$N134))</f>
        <v/>
      </c>
      <c r="E134" s="53" t="str">
        <f aca="false">IF($N134="","",INDEX('ALL ITEMS'!$E:$E,$N134))</f>
        <v/>
      </c>
      <c r="F134" s="53" t="str">
        <f aca="false">IF($N134="","",INDEX('ALL ITEMS'!$F:$F,$N134))</f>
        <v/>
      </c>
      <c r="G134" s="53" t="str">
        <f aca="false">IF($N134="","",INDEX('ALL ITEMS'!$G:$G,$N134))</f>
        <v/>
      </c>
      <c r="H134" s="52" t="str">
        <f aca="false">IF($N134="","",INDEX('ALL ITEMS'!$H:$H,$N134))</f>
        <v/>
      </c>
      <c r="I134" s="54" t="str">
        <f aca="false">IF($N134="","",INDEX('ALL ITEMS'!$I:$I,$N134))</f>
        <v/>
      </c>
      <c r="J134" s="54" t="str">
        <f aca="false">IF($N134="","",INDEX('ALL ITEMS'!$J:$J,$N134))</f>
        <v/>
      </c>
      <c r="K134" s="54" t="str">
        <f aca="false">IF($N134="","",INDEX('ALL ITEMS'!$K:$K,$N134))</f>
        <v/>
      </c>
      <c r="L134" s="52" t="str">
        <f aca="false">IF($N134="","",INDEX('ALL ITEMS'!$L:$L,$N134))</f>
        <v/>
      </c>
      <c r="N134" s="0" t="str">
        <f aca="false">IF(ROWS($N$10:N134)&gt;$C$7,"",SMALL('ALL ITEMS'!$M$3:$M$764,ROWS($N$10:N134)))</f>
        <v/>
      </c>
    </row>
    <row r="135" customFormat="false" ht="15" hidden="false" customHeight="false" outlineLevel="0" collapsed="false">
      <c r="A135" s="52" t="str">
        <f aca="false">IF($N135="","",ROWS($N$10:N135))</f>
        <v/>
      </c>
      <c r="B135" s="52" t="str">
        <f aca="false">IF($N135="","",INDEX('ALL ITEMS'!$B:$B,$N135))</f>
        <v/>
      </c>
      <c r="C135" s="53" t="str">
        <f aca="false">IF($N135="","",INDEX('ALL ITEMS'!$A:$A,$N135))</f>
        <v/>
      </c>
      <c r="D135" s="53" t="str">
        <f aca="false">IF($N135="","",INDEX('ALL ITEMS'!$D:$D,$N135))</f>
        <v/>
      </c>
      <c r="E135" s="53" t="str">
        <f aca="false">IF($N135="","",INDEX('ALL ITEMS'!$E:$E,$N135))</f>
        <v/>
      </c>
      <c r="F135" s="53" t="str">
        <f aca="false">IF($N135="","",INDEX('ALL ITEMS'!$F:$F,$N135))</f>
        <v/>
      </c>
      <c r="G135" s="53" t="str">
        <f aca="false">IF($N135="","",INDEX('ALL ITEMS'!$G:$G,$N135))</f>
        <v/>
      </c>
      <c r="H135" s="52" t="str">
        <f aca="false">IF($N135="","",INDEX('ALL ITEMS'!$H:$H,$N135))</f>
        <v/>
      </c>
      <c r="I135" s="54" t="str">
        <f aca="false">IF($N135="","",INDEX('ALL ITEMS'!$I:$I,$N135))</f>
        <v/>
      </c>
      <c r="J135" s="54" t="str">
        <f aca="false">IF($N135="","",INDEX('ALL ITEMS'!$J:$J,$N135))</f>
        <v/>
      </c>
      <c r="K135" s="54" t="str">
        <f aca="false">IF($N135="","",INDEX('ALL ITEMS'!$K:$K,$N135))</f>
        <v/>
      </c>
      <c r="L135" s="52" t="str">
        <f aca="false">IF($N135="","",INDEX('ALL ITEMS'!$L:$L,$N135))</f>
        <v/>
      </c>
      <c r="N135" s="0" t="str">
        <f aca="false">IF(ROWS($N$10:N135)&gt;$C$7,"",SMALL('ALL ITEMS'!$M$3:$M$764,ROWS($N$10:N135)))</f>
        <v/>
      </c>
    </row>
    <row r="136" customFormat="false" ht="15" hidden="false" customHeight="false" outlineLevel="0" collapsed="false">
      <c r="A136" s="52" t="str">
        <f aca="false">IF($N136="","",ROWS($N$10:N136))</f>
        <v/>
      </c>
      <c r="B136" s="52" t="str">
        <f aca="false">IF($N136="","",INDEX('ALL ITEMS'!$B:$B,$N136))</f>
        <v/>
      </c>
      <c r="C136" s="53" t="str">
        <f aca="false">IF($N136="","",INDEX('ALL ITEMS'!$A:$A,$N136))</f>
        <v/>
      </c>
      <c r="D136" s="53" t="str">
        <f aca="false">IF($N136="","",INDEX('ALL ITEMS'!$D:$D,$N136))</f>
        <v/>
      </c>
      <c r="E136" s="53" t="str">
        <f aca="false">IF($N136="","",INDEX('ALL ITEMS'!$E:$E,$N136))</f>
        <v/>
      </c>
      <c r="F136" s="53" t="str">
        <f aca="false">IF($N136="","",INDEX('ALL ITEMS'!$F:$F,$N136))</f>
        <v/>
      </c>
      <c r="G136" s="53" t="str">
        <f aca="false">IF($N136="","",INDEX('ALL ITEMS'!$G:$G,$N136))</f>
        <v/>
      </c>
      <c r="H136" s="52" t="str">
        <f aca="false">IF($N136="","",INDEX('ALL ITEMS'!$H:$H,$N136))</f>
        <v/>
      </c>
      <c r="I136" s="54" t="str">
        <f aca="false">IF($N136="","",INDEX('ALL ITEMS'!$I:$I,$N136))</f>
        <v/>
      </c>
      <c r="J136" s="54" t="str">
        <f aca="false">IF($N136="","",INDEX('ALL ITEMS'!$J:$J,$N136))</f>
        <v/>
      </c>
      <c r="K136" s="54" t="str">
        <f aca="false">IF($N136="","",INDEX('ALL ITEMS'!$K:$K,$N136))</f>
        <v/>
      </c>
      <c r="L136" s="52" t="str">
        <f aca="false">IF($N136="","",INDEX('ALL ITEMS'!$L:$L,$N136))</f>
        <v/>
      </c>
      <c r="N136" s="0" t="str">
        <f aca="false">IF(ROWS($N$10:N136)&gt;$C$7,"",SMALL('ALL ITEMS'!$M$3:$M$764,ROWS($N$10:N136)))</f>
        <v/>
      </c>
    </row>
    <row r="137" customFormat="false" ht="15" hidden="false" customHeight="false" outlineLevel="0" collapsed="false">
      <c r="A137" s="52" t="str">
        <f aca="false">IF($N137="","",ROWS($N$10:N137))</f>
        <v/>
      </c>
      <c r="B137" s="52" t="str">
        <f aca="false">IF($N137="","",INDEX('ALL ITEMS'!$B:$B,$N137))</f>
        <v/>
      </c>
      <c r="C137" s="53" t="str">
        <f aca="false">IF($N137="","",INDEX('ALL ITEMS'!$A:$A,$N137))</f>
        <v/>
      </c>
      <c r="D137" s="53" t="str">
        <f aca="false">IF($N137="","",INDEX('ALL ITEMS'!$D:$D,$N137))</f>
        <v/>
      </c>
      <c r="E137" s="53" t="str">
        <f aca="false">IF($N137="","",INDEX('ALL ITEMS'!$E:$E,$N137))</f>
        <v/>
      </c>
      <c r="F137" s="53" t="str">
        <f aca="false">IF($N137="","",INDEX('ALL ITEMS'!$F:$F,$N137))</f>
        <v/>
      </c>
      <c r="G137" s="53" t="str">
        <f aca="false">IF($N137="","",INDEX('ALL ITEMS'!$G:$G,$N137))</f>
        <v/>
      </c>
      <c r="H137" s="52" t="str">
        <f aca="false">IF($N137="","",INDEX('ALL ITEMS'!$H:$H,$N137))</f>
        <v/>
      </c>
      <c r="I137" s="54" t="str">
        <f aca="false">IF($N137="","",INDEX('ALL ITEMS'!$I:$I,$N137))</f>
        <v/>
      </c>
      <c r="J137" s="54" t="str">
        <f aca="false">IF($N137="","",INDEX('ALL ITEMS'!$J:$J,$N137))</f>
        <v/>
      </c>
      <c r="K137" s="54" t="str">
        <f aca="false">IF($N137="","",INDEX('ALL ITEMS'!$K:$K,$N137))</f>
        <v/>
      </c>
      <c r="L137" s="52" t="str">
        <f aca="false">IF($N137="","",INDEX('ALL ITEMS'!$L:$L,$N137))</f>
        <v/>
      </c>
      <c r="N137" s="0" t="str">
        <f aca="false">IF(ROWS($N$10:N137)&gt;$C$7,"",SMALL('ALL ITEMS'!$M$3:$M$764,ROWS($N$10:N137)))</f>
        <v/>
      </c>
    </row>
    <row r="138" customFormat="false" ht="15" hidden="false" customHeight="false" outlineLevel="0" collapsed="false">
      <c r="A138" s="52" t="str">
        <f aca="false">IF($N138="","",ROWS($N$10:N138))</f>
        <v/>
      </c>
      <c r="B138" s="52" t="str">
        <f aca="false">IF($N138="","",INDEX('ALL ITEMS'!$B:$B,$N138))</f>
        <v/>
      </c>
      <c r="C138" s="53" t="str">
        <f aca="false">IF($N138="","",INDEX('ALL ITEMS'!$A:$A,$N138))</f>
        <v/>
      </c>
      <c r="D138" s="53" t="str">
        <f aca="false">IF($N138="","",INDEX('ALL ITEMS'!$D:$D,$N138))</f>
        <v/>
      </c>
      <c r="E138" s="53" t="str">
        <f aca="false">IF($N138="","",INDEX('ALL ITEMS'!$E:$E,$N138))</f>
        <v/>
      </c>
      <c r="F138" s="53" t="str">
        <f aca="false">IF($N138="","",INDEX('ALL ITEMS'!$F:$F,$N138))</f>
        <v/>
      </c>
      <c r="G138" s="53" t="str">
        <f aca="false">IF($N138="","",INDEX('ALL ITEMS'!$G:$G,$N138))</f>
        <v/>
      </c>
      <c r="H138" s="52" t="str">
        <f aca="false">IF($N138="","",INDEX('ALL ITEMS'!$H:$H,$N138))</f>
        <v/>
      </c>
      <c r="I138" s="54" t="str">
        <f aca="false">IF($N138="","",INDEX('ALL ITEMS'!$I:$I,$N138))</f>
        <v/>
      </c>
      <c r="J138" s="54" t="str">
        <f aca="false">IF($N138="","",INDEX('ALL ITEMS'!$J:$J,$N138))</f>
        <v/>
      </c>
      <c r="K138" s="54" t="str">
        <f aca="false">IF($N138="","",INDEX('ALL ITEMS'!$K:$K,$N138))</f>
        <v/>
      </c>
      <c r="L138" s="52" t="str">
        <f aca="false">IF($N138="","",INDEX('ALL ITEMS'!$L:$L,$N138))</f>
        <v/>
      </c>
      <c r="N138" s="0" t="str">
        <f aca="false">IF(ROWS($N$10:N138)&gt;$C$7,"",SMALL('ALL ITEMS'!$M$3:$M$764,ROWS($N$10:N138)))</f>
        <v/>
      </c>
    </row>
    <row r="139" customFormat="false" ht="15" hidden="false" customHeight="false" outlineLevel="0" collapsed="false">
      <c r="A139" s="52" t="str">
        <f aca="false">IF($N139="","",ROWS($N$10:N139))</f>
        <v/>
      </c>
      <c r="B139" s="52" t="str">
        <f aca="false">IF($N139="","",INDEX('ALL ITEMS'!$B:$B,$N139))</f>
        <v/>
      </c>
      <c r="C139" s="53" t="str">
        <f aca="false">IF($N139="","",INDEX('ALL ITEMS'!$A:$A,$N139))</f>
        <v/>
      </c>
      <c r="D139" s="53" t="str">
        <f aca="false">IF($N139="","",INDEX('ALL ITEMS'!$D:$D,$N139))</f>
        <v/>
      </c>
      <c r="E139" s="53" t="str">
        <f aca="false">IF($N139="","",INDEX('ALL ITEMS'!$E:$E,$N139))</f>
        <v/>
      </c>
      <c r="F139" s="53" t="str">
        <f aca="false">IF($N139="","",INDEX('ALL ITEMS'!$F:$F,$N139))</f>
        <v/>
      </c>
      <c r="G139" s="53" t="str">
        <f aca="false">IF($N139="","",INDEX('ALL ITEMS'!$G:$G,$N139))</f>
        <v/>
      </c>
      <c r="H139" s="52" t="str">
        <f aca="false">IF($N139="","",INDEX('ALL ITEMS'!$H:$H,$N139))</f>
        <v/>
      </c>
      <c r="I139" s="54" t="str">
        <f aca="false">IF($N139="","",INDEX('ALL ITEMS'!$I:$I,$N139))</f>
        <v/>
      </c>
      <c r="J139" s="54" t="str">
        <f aca="false">IF($N139="","",INDEX('ALL ITEMS'!$J:$J,$N139))</f>
        <v/>
      </c>
      <c r="K139" s="54" t="str">
        <f aca="false">IF($N139="","",INDEX('ALL ITEMS'!$K:$K,$N139))</f>
        <v/>
      </c>
      <c r="L139" s="52" t="str">
        <f aca="false">IF($N139="","",INDEX('ALL ITEMS'!$L:$L,$N139))</f>
        <v/>
      </c>
      <c r="N139" s="0" t="str">
        <f aca="false">IF(ROWS($N$10:N139)&gt;$C$7,"",SMALL('ALL ITEMS'!$M$3:$M$764,ROWS($N$10:N139)))</f>
        <v/>
      </c>
    </row>
    <row r="140" customFormat="false" ht="15" hidden="false" customHeight="false" outlineLevel="0" collapsed="false">
      <c r="A140" s="52" t="str">
        <f aca="false">IF($N140="","",ROWS($N$10:N140))</f>
        <v/>
      </c>
      <c r="B140" s="52" t="str">
        <f aca="false">IF($N140="","",INDEX('ALL ITEMS'!$B:$B,$N140))</f>
        <v/>
      </c>
      <c r="C140" s="53" t="str">
        <f aca="false">IF($N140="","",INDEX('ALL ITEMS'!$A:$A,$N140))</f>
        <v/>
      </c>
      <c r="D140" s="53" t="str">
        <f aca="false">IF($N140="","",INDEX('ALL ITEMS'!$D:$D,$N140))</f>
        <v/>
      </c>
      <c r="E140" s="53" t="str">
        <f aca="false">IF($N140="","",INDEX('ALL ITEMS'!$E:$E,$N140))</f>
        <v/>
      </c>
      <c r="F140" s="53" t="str">
        <f aca="false">IF($N140="","",INDEX('ALL ITEMS'!$F:$F,$N140))</f>
        <v/>
      </c>
      <c r="G140" s="53" t="str">
        <f aca="false">IF($N140="","",INDEX('ALL ITEMS'!$G:$G,$N140))</f>
        <v/>
      </c>
      <c r="H140" s="52" t="str">
        <f aca="false">IF($N140="","",INDEX('ALL ITEMS'!$H:$H,$N140))</f>
        <v/>
      </c>
      <c r="I140" s="54" t="str">
        <f aca="false">IF($N140="","",INDEX('ALL ITEMS'!$I:$I,$N140))</f>
        <v/>
      </c>
      <c r="J140" s="54" t="str">
        <f aca="false">IF($N140="","",INDEX('ALL ITEMS'!$J:$J,$N140))</f>
        <v/>
      </c>
      <c r="K140" s="54" t="str">
        <f aca="false">IF($N140="","",INDEX('ALL ITEMS'!$K:$K,$N140))</f>
        <v/>
      </c>
      <c r="L140" s="52" t="str">
        <f aca="false">IF($N140="","",INDEX('ALL ITEMS'!$L:$L,$N140))</f>
        <v/>
      </c>
      <c r="N140" s="0" t="str">
        <f aca="false">IF(ROWS($N$10:N140)&gt;$C$7,"",SMALL('ALL ITEMS'!$M$3:$M$764,ROWS($N$10:N140)))</f>
        <v/>
      </c>
    </row>
    <row r="141" customFormat="false" ht="15" hidden="false" customHeight="false" outlineLevel="0" collapsed="false">
      <c r="A141" s="52" t="str">
        <f aca="false">IF($N141="","",ROWS($N$10:N141))</f>
        <v/>
      </c>
      <c r="B141" s="52" t="str">
        <f aca="false">IF($N141="","",INDEX('ALL ITEMS'!$B:$B,$N141))</f>
        <v/>
      </c>
      <c r="C141" s="53" t="str">
        <f aca="false">IF($N141="","",INDEX('ALL ITEMS'!$A:$A,$N141))</f>
        <v/>
      </c>
      <c r="D141" s="53" t="str">
        <f aca="false">IF($N141="","",INDEX('ALL ITEMS'!$D:$D,$N141))</f>
        <v/>
      </c>
      <c r="E141" s="53" t="str">
        <f aca="false">IF($N141="","",INDEX('ALL ITEMS'!$E:$E,$N141))</f>
        <v/>
      </c>
      <c r="F141" s="53" t="str">
        <f aca="false">IF($N141="","",INDEX('ALL ITEMS'!$F:$F,$N141))</f>
        <v/>
      </c>
      <c r="G141" s="53" t="str">
        <f aca="false">IF($N141="","",INDEX('ALL ITEMS'!$G:$G,$N141))</f>
        <v/>
      </c>
      <c r="H141" s="52" t="str">
        <f aca="false">IF($N141="","",INDEX('ALL ITEMS'!$H:$H,$N141))</f>
        <v/>
      </c>
      <c r="I141" s="54" t="str">
        <f aca="false">IF($N141="","",INDEX('ALL ITEMS'!$I:$I,$N141))</f>
        <v/>
      </c>
      <c r="J141" s="54" t="str">
        <f aca="false">IF($N141="","",INDEX('ALL ITEMS'!$J:$J,$N141))</f>
        <v/>
      </c>
      <c r="K141" s="54" t="str">
        <f aca="false">IF($N141="","",INDEX('ALL ITEMS'!$K:$K,$N141))</f>
        <v/>
      </c>
      <c r="L141" s="52" t="str">
        <f aca="false">IF($N141="","",INDEX('ALL ITEMS'!$L:$L,$N141))</f>
        <v/>
      </c>
      <c r="N141" s="0" t="str">
        <f aca="false">IF(ROWS($N$10:N141)&gt;$C$7,"",SMALL('ALL ITEMS'!$M$3:$M$764,ROWS($N$10:N141)))</f>
        <v/>
      </c>
    </row>
    <row r="142" customFormat="false" ht="15" hidden="false" customHeight="false" outlineLevel="0" collapsed="false">
      <c r="A142" s="52" t="str">
        <f aca="false">IF($N142="","",ROWS($N$10:N142))</f>
        <v/>
      </c>
      <c r="B142" s="52" t="str">
        <f aca="false">IF($N142="","",INDEX('ALL ITEMS'!$B:$B,$N142))</f>
        <v/>
      </c>
      <c r="C142" s="53" t="str">
        <f aca="false">IF($N142="","",INDEX('ALL ITEMS'!$A:$A,$N142))</f>
        <v/>
      </c>
      <c r="D142" s="53" t="str">
        <f aca="false">IF($N142="","",INDEX('ALL ITEMS'!$D:$D,$N142))</f>
        <v/>
      </c>
      <c r="E142" s="53" t="str">
        <f aca="false">IF($N142="","",INDEX('ALL ITEMS'!$E:$E,$N142))</f>
        <v/>
      </c>
      <c r="F142" s="53" t="str">
        <f aca="false">IF($N142="","",INDEX('ALL ITEMS'!$F:$F,$N142))</f>
        <v/>
      </c>
      <c r="G142" s="53" t="str">
        <f aca="false">IF($N142="","",INDEX('ALL ITEMS'!$G:$G,$N142))</f>
        <v/>
      </c>
      <c r="H142" s="52" t="str">
        <f aca="false">IF($N142="","",INDEX('ALL ITEMS'!$H:$H,$N142))</f>
        <v/>
      </c>
      <c r="I142" s="54" t="str">
        <f aca="false">IF($N142="","",INDEX('ALL ITEMS'!$I:$I,$N142))</f>
        <v/>
      </c>
      <c r="J142" s="54" t="str">
        <f aca="false">IF($N142="","",INDEX('ALL ITEMS'!$J:$J,$N142))</f>
        <v/>
      </c>
      <c r="K142" s="54" t="str">
        <f aca="false">IF($N142="","",INDEX('ALL ITEMS'!$K:$K,$N142))</f>
        <v/>
      </c>
      <c r="L142" s="52" t="str">
        <f aca="false">IF($N142="","",INDEX('ALL ITEMS'!$L:$L,$N142))</f>
        <v/>
      </c>
      <c r="N142" s="0" t="str">
        <f aca="false">IF(ROWS($N$10:N142)&gt;$C$7,"",SMALL('ALL ITEMS'!$M$3:$M$764,ROWS($N$10:N142)))</f>
        <v/>
      </c>
    </row>
    <row r="143" customFormat="false" ht="15" hidden="false" customHeight="false" outlineLevel="0" collapsed="false">
      <c r="A143" s="52" t="str">
        <f aca="false">IF($N143="","",ROWS($N$10:N143))</f>
        <v/>
      </c>
      <c r="B143" s="52" t="str">
        <f aca="false">IF($N143="","",INDEX('ALL ITEMS'!$B:$B,$N143))</f>
        <v/>
      </c>
      <c r="C143" s="53" t="str">
        <f aca="false">IF($N143="","",INDEX('ALL ITEMS'!$A:$A,$N143))</f>
        <v/>
      </c>
      <c r="D143" s="53" t="str">
        <f aca="false">IF($N143="","",INDEX('ALL ITEMS'!$D:$D,$N143))</f>
        <v/>
      </c>
      <c r="E143" s="53" t="str">
        <f aca="false">IF($N143="","",INDEX('ALL ITEMS'!$E:$E,$N143))</f>
        <v/>
      </c>
      <c r="F143" s="53" t="str">
        <f aca="false">IF($N143="","",INDEX('ALL ITEMS'!$F:$F,$N143))</f>
        <v/>
      </c>
      <c r="G143" s="53" t="str">
        <f aca="false">IF($N143="","",INDEX('ALL ITEMS'!$G:$G,$N143))</f>
        <v/>
      </c>
      <c r="H143" s="52" t="str">
        <f aca="false">IF($N143="","",INDEX('ALL ITEMS'!$H:$H,$N143))</f>
        <v/>
      </c>
      <c r="I143" s="54" t="str">
        <f aca="false">IF($N143="","",INDEX('ALL ITEMS'!$I:$I,$N143))</f>
        <v/>
      </c>
      <c r="J143" s="54" t="str">
        <f aca="false">IF($N143="","",INDEX('ALL ITEMS'!$J:$J,$N143))</f>
        <v/>
      </c>
      <c r="K143" s="54" t="str">
        <f aca="false">IF($N143="","",INDEX('ALL ITEMS'!$K:$K,$N143))</f>
        <v/>
      </c>
      <c r="L143" s="52" t="str">
        <f aca="false">IF($N143="","",INDEX('ALL ITEMS'!$L:$L,$N143))</f>
        <v/>
      </c>
      <c r="N143" s="0" t="str">
        <f aca="false">IF(ROWS($N$10:N143)&gt;$C$7,"",SMALL('ALL ITEMS'!$M$3:$M$764,ROWS($N$10:N143)))</f>
        <v/>
      </c>
    </row>
    <row r="144" customFormat="false" ht="15" hidden="false" customHeight="false" outlineLevel="0" collapsed="false">
      <c r="A144" s="52" t="str">
        <f aca="false">IF($N144="","",ROWS($N$10:N144))</f>
        <v/>
      </c>
      <c r="B144" s="52" t="str">
        <f aca="false">IF($N144="","",INDEX('ALL ITEMS'!$B:$B,$N144))</f>
        <v/>
      </c>
      <c r="C144" s="53" t="str">
        <f aca="false">IF($N144="","",INDEX('ALL ITEMS'!$A:$A,$N144))</f>
        <v/>
      </c>
      <c r="D144" s="53" t="str">
        <f aca="false">IF($N144="","",INDEX('ALL ITEMS'!$D:$D,$N144))</f>
        <v/>
      </c>
      <c r="E144" s="53" t="str">
        <f aca="false">IF($N144="","",INDEX('ALL ITEMS'!$E:$E,$N144))</f>
        <v/>
      </c>
      <c r="F144" s="53" t="str">
        <f aca="false">IF($N144="","",INDEX('ALL ITEMS'!$F:$F,$N144))</f>
        <v/>
      </c>
      <c r="G144" s="53" t="str">
        <f aca="false">IF($N144="","",INDEX('ALL ITEMS'!$G:$G,$N144))</f>
        <v/>
      </c>
      <c r="H144" s="52" t="str">
        <f aca="false">IF($N144="","",INDEX('ALL ITEMS'!$H:$H,$N144))</f>
        <v/>
      </c>
      <c r="I144" s="54" t="str">
        <f aca="false">IF($N144="","",INDEX('ALL ITEMS'!$I:$I,$N144))</f>
        <v/>
      </c>
      <c r="J144" s="54" t="str">
        <f aca="false">IF($N144="","",INDEX('ALL ITEMS'!$J:$J,$N144))</f>
        <v/>
      </c>
      <c r="K144" s="54" t="str">
        <f aca="false">IF($N144="","",INDEX('ALL ITEMS'!$K:$K,$N144))</f>
        <v/>
      </c>
      <c r="L144" s="52" t="str">
        <f aca="false">IF($N144="","",INDEX('ALL ITEMS'!$L:$L,$N144))</f>
        <v/>
      </c>
      <c r="N144" s="0" t="str">
        <f aca="false">IF(ROWS($N$10:N144)&gt;$C$7,"",SMALL('ALL ITEMS'!$M$3:$M$764,ROWS($N$10:N144)))</f>
        <v/>
      </c>
    </row>
    <row r="145" customFormat="false" ht="15" hidden="false" customHeight="false" outlineLevel="0" collapsed="false">
      <c r="A145" s="52" t="str">
        <f aca="false">IF($N145="","",ROWS($N$10:N145))</f>
        <v/>
      </c>
      <c r="B145" s="52" t="str">
        <f aca="false">IF($N145="","",INDEX('ALL ITEMS'!$B:$B,$N145))</f>
        <v/>
      </c>
      <c r="C145" s="53" t="str">
        <f aca="false">IF($N145="","",INDEX('ALL ITEMS'!$A:$A,$N145))</f>
        <v/>
      </c>
      <c r="D145" s="53" t="str">
        <f aca="false">IF($N145="","",INDEX('ALL ITEMS'!$D:$D,$N145))</f>
        <v/>
      </c>
      <c r="E145" s="53" t="str">
        <f aca="false">IF($N145="","",INDEX('ALL ITEMS'!$E:$E,$N145))</f>
        <v/>
      </c>
      <c r="F145" s="53" t="str">
        <f aca="false">IF($N145="","",INDEX('ALL ITEMS'!$F:$F,$N145))</f>
        <v/>
      </c>
      <c r="G145" s="53" t="str">
        <f aca="false">IF($N145="","",INDEX('ALL ITEMS'!$G:$G,$N145))</f>
        <v/>
      </c>
      <c r="H145" s="52" t="str">
        <f aca="false">IF($N145="","",INDEX('ALL ITEMS'!$H:$H,$N145))</f>
        <v/>
      </c>
      <c r="I145" s="54" t="str">
        <f aca="false">IF($N145="","",INDEX('ALL ITEMS'!$I:$I,$N145))</f>
        <v/>
      </c>
      <c r="J145" s="54" t="str">
        <f aca="false">IF($N145="","",INDEX('ALL ITEMS'!$J:$J,$N145))</f>
        <v/>
      </c>
      <c r="K145" s="54" t="str">
        <f aca="false">IF($N145="","",INDEX('ALL ITEMS'!$K:$K,$N145))</f>
        <v/>
      </c>
      <c r="L145" s="52" t="str">
        <f aca="false">IF($N145="","",INDEX('ALL ITEMS'!$L:$L,$N145))</f>
        <v/>
      </c>
      <c r="N145" s="0" t="str">
        <f aca="false">IF(ROWS($N$10:N145)&gt;$C$7,"",SMALL('ALL ITEMS'!$M$3:$M$764,ROWS($N$10:N145)))</f>
        <v/>
      </c>
    </row>
    <row r="146" customFormat="false" ht="15" hidden="false" customHeight="false" outlineLevel="0" collapsed="false">
      <c r="A146" s="52" t="str">
        <f aca="false">IF($N146="","",ROWS($N$10:N146))</f>
        <v/>
      </c>
      <c r="B146" s="52" t="str">
        <f aca="false">IF($N146="","",INDEX('ALL ITEMS'!$B:$B,$N146))</f>
        <v/>
      </c>
      <c r="C146" s="53" t="str">
        <f aca="false">IF($N146="","",INDEX('ALL ITEMS'!$A:$A,$N146))</f>
        <v/>
      </c>
      <c r="D146" s="53" t="str">
        <f aca="false">IF($N146="","",INDEX('ALL ITEMS'!$D:$D,$N146))</f>
        <v/>
      </c>
      <c r="E146" s="53" t="str">
        <f aca="false">IF($N146="","",INDEX('ALL ITEMS'!$E:$E,$N146))</f>
        <v/>
      </c>
      <c r="F146" s="53" t="str">
        <f aca="false">IF($N146="","",INDEX('ALL ITEMS'!$F:$F,$N146))</f>
        <v/>
      </c>
      <c r="G146" s="53" t="str">
        <f aca="false">IF($N146="","",INDEX('ALL ITEMS'!$G:$G,$N146))</f>
        <v/>
      </c>
      <c r="H146" s="52" t="str">
        <f aca="false">IF($N146="","",INDEX('ALL ITEMS'!$H:$H,$N146))</f>
        <v/>
      </c>
      <c r="I146" s="54" t="str">
        <f aca="false">IF($N146="","",INDEX('ALL ITEMS'!$I:$I,$N146))</f>
        <v/>
      </c>
      <c r="J146" s="54" t="str">
        <f aca="false">IF($N146="","",INDEX('ALL ITEMS'!$J:$J,$N146))</f>
        <v/>
      </c>
      <c r="K146" s="54" t="str">
        <f aca="false">IF($N146="","",INDEX('ALL ITEMS'!$K:$K,$N146))</f>
        <v/>
      </c>
      <c r="L146" s="52" t="str">
        <f aca="false">IF($N146="","",INDEX('ALL ITEMS'!$L:$L,$N146))</f>
        <v/>
      </c>
      <c r="N146" s="0" t="str">
        <f aca="false">IF(ROWS($N$10:N146)&gt;$C$7,"",SMALL('ALL ITEMS'!$M$3:$M$764,ROWS($N$10:N146)))</f>
        <v/>
      </c>
    </row>
    <row r="147" customFormat="false" ht="15" hidden="false" customHeight="false" outlineLevel="0" collapsed="false">
      <c r="A147" s="52" t="str">
        <f aca="false">IF($N147="","",ROWS($N$10:N147))</f>
        <v/>
      </c>
      <c r="B147" s="52" t="str">
        <f aca="false">IF($N147="","",INDEX('ALL ITEMS'!$B:$B,$N147))</f>
        <v/>
      </c>
      <c r="C147" s="53" t="str">
        <f aca="false">IF($N147="","",INDEX('ALL ITEMS'!$A:$A,$N147))</f>
        <v/>
      </c>
      <c r="D147" s="53" t="str">
        <f aca="false">IF($N147="","",INDEX('ALL ITEMS'!$D:$D,$N147))</f>
        <v/>
      </c>
      <c r="E147" s="53" t="str">
        <f aca="false">IF($N147="","",INDEX('ALL ITEMS'!$E:$E,$N147))</f>
        <v/>
      </c>
      <c r="F147" s="53" t="str">
        <f aca="false">IF($N147="","",INDEX('ALL ITEMS'!$F:$F,$N147))</f>
        <v/>
      </c>
      <c r="G147" s="53" t="str">
        <f aca="false">IF($N147="","",INDEX('ALL ITEMS'!$G:$G,$N147))</f>
        <v/>
      </c>
      <c r="H147" s="52" t="str">
        <f aca="false">IF($N147="","",INDEX('ALL ITEMS'!$H:$H,$N147))</f>
        <v/>
      </c>
      <c r="I147" s="54" t="str">
        <f aca="false">IF($N147="","",INDEX('ALL ITEMS'!$I:$I,$N147))</f>
        <v/>
      </c>
      <c r="J147" s="54" t="str">
        <f aca="false">IF($N147="","",INDEX('ALL ITEMS'!$J:$J,$N147))</f>
        <v/>
      </c>
      <c r="K147" s="54" t="str">
        <f aca="false">IF($N147="","",INDEX('ALL ITEMS'!$K:$K,$N147))</f>
        <v/>
      </c>
      <c r="L147" s="52" t="str">
        <f aca="false">IF($N147="","",INDEX('ALL ITEMS'!$L:$L,$N147))</f>
        <v/>
      </c>
      <c r="N147" s="0" t="str">
        <f aca="false">IF(ROWS($N$10:N147)&gt;$C$7,"",SMALL('ALL ITEMS'!$M$3:$M$764,ROWS($N$10:N147)))</f>
        <v/>
      </c>
    </row>
    <row r="148" customFormat="false" ht="15" hidden="false" customHeight="false" outlineLevel="0" collapsed="false">
      <c r="A148" s="52" t="str">
        <f aca="false">IF($N148="","",ROWS($N$10:N148))</f>
        <v/>
      </c>
      <c r="B148" s="52" t="str">
        <f aca="false">IF($N148="","",INDEX('ALL ITEMS'!$B:$B,$N148))</f>
        <v/>
      </c>
      <c r="C148" s="53" t="str">
        <f aca="false">IF($N148="","",INDEX('ALL ITEMS'!$A:$A,$N148))</f>
        <v/>
      </c>
      <c r="D148" s="53" t="str">
        <f aca="false">IF($N148="","",INDEX('ALL ITEMS'!$D:$D,$N148))</f>
        <v/>
      </c>
      <c r="E148" s="53" t="str">
        <f aca="false">IF($N148="","",INDEX('ALL ITEMS'!$E:$E,$N148))</f>
        <v/>
      </c>
      <c r="F148" s="53" t="str">
        <f aca="false">IF($N148="","",INDEX('ALL ITEMS'!$F:$F,$N148))</f>
        <v/>
      </c>
      <c r="G148" s="53" t="str">
        <f aca="false">IF($N148="","",INDEX('ALL ITEMS'!$G:$G,$N148))</f>
        <v/>
      </c>
      <c r="H148" s="52" t="str">
        <f aca="false">IF($N148="","",INDEX('ALL ITEMS'!$H:$H,$N148))</f>
        <v/>
      </c>
      <c r="I148" s="54" t="str">
        <f aca="false">IF($N148="","",INDEX('ALL ITEMS'!$I:$I,$N148))</f>
        <v/>
      </c>
      <c r="J148" s="54" t="str">
        <f aca="false">IF($N148="","",INDEX('ALL ITEMS'!$J:$J,$N148))</f>
        <v/>
      </c>
      <c r="K148" s="54" t="str">
        <f aca="false">IF($N148="","",INDEX('ALL ITEMS'!$K:$K,$N148))</f>
        <v/>
      </c>
      <c r="L148" s="52" t="str">
        <f aca="false">IF($N148="","",INDEX('ALL ITEMS'!$L:$L,$N148))</f>
        <v/>
      </c>
      <c r="N148" s="0" t="str">
        <f aca="false">IF(ROWS($N$10:N148)&gt;$C$7,"",SMALL('ALL ITEMS'!$M$3:$M$764,ROWS($N$10:N148)))</f>
        <v/>
      </c>
    </row>
    <row r="149" customFormat="false" ht="15" hidden="false" customHeight="false" outlineLevel="0" collapsed="false">
      <c r="A149" s="52" t="str">
        <f aca="false">IF($N149="","",ROWS($N$10:N149))</f>
        <v/>
      </c>
      <c r="B149" s="52" t="str">
        <f aca="false">IF($N149="","",INDEX('ALL ITEMS'!$B:$B,$N149))</f>
        <v/>
      </c>
      <c r="C149" s="53" t="str">
        <f aca="false">IF($N149="","",INDEX('ALL ITEMS'!$A:$A,$N149))</f>
        <v/>
      </c>
      <c r="D149" s="53" t="str">
        <f aca="false">IF($N149="","",INDEX('ALL ITEMS'!$D:$D,$N149))</f>
        <v/>
      </c>
      <c r="E149" s="53" t="str">
        <f aca="false">IF($N149="","",INDEX('ALL ITEMS'!$E:$E,$N149))</f>
        <v/>
      </c>
      <c r="F149" s="53" t="str">
        <f aca="false">IF($N149="","",INDEX('ALL ITEMS'!$F:$F,$N149))</f>
        <v/>
      </c>
      <c r="G149" s="53" t="str">
        <f aca="false">IF($N149="","",INDEX('ALL ITEMS'!$G:$G,$N149))</f>
        <v/>
      </c>
      <c r="H149" s="52" t="str">
        <f aca="false">IF($N149="","",INDEX('ALL ITEMS'!$H:$H,$N149))</f>
        <v/>
      </c>
      <c r="I149" s="54" t="str">
        <f aca="false">IF($N149="","",INDEX('ALL ITEMS'!$I:$I,$N149))</f>
        <v/>
      </c>
      <c r="J149" s="54" t="str">
        <f aca="false">IF($N149="","",INDEX('ALL ITEMS'!$J:$J,$N149))</f>
        <v/>
      </c>
      <c r="K149" s="54" t="str">
        <f aca="false">IF($N149="","",INDEX('ALL ITEMS'!$K:$K,$N149))</f>
        <v/>
      </c>
      <c r="L149" s="52" t="str">
        <f aca="false">IF($N149="","",INDEX('ALL ITEMS'!$L:$L,$N149))</f>
        <v/>
      </c>
      <c r="N149" s="0" t="str">
        <f aca="false">IF(ROWS($N$10:N149)&gt;$C$7,"",SMALL('ALL ITEMS'!$M$3:$M$764,ROWS($N$10:N149)))</f>
        <v/>
      </c>
    </row>
    <row r="150" customFormat="false" ht="15" hidden="false" customHeight="false" outlineLevel="0" collapsed="false">
      <c r="A150" s="52" t="str">
        <f aca="false">IF($N150="","",ROWS($N$10:N150))</f>
        <v/>
      </c>
      <c r="B150" s="52" t="str">
        <f aca="false">IF($N150="","",INDEX('ALL ITEMS'!$B:$B,$N150))</f>
        <v/>
      </c>
      <c r="C150" s="53" t="str">
        <f aca="false">IF($N150="","",INDEX('ALL ITEMS'!$A:$A,$N150))</f>
        <v/>
      </c>
      <c r="D150" s="53" t="str">
        <f aca="false">IF($N150="","",INDEX('ALL ITEMS'!$D:$D,$N150))</f>
        <v/>
      </c>
      <c r="E150" s="53" t="str">
        <f aca="false">IF($N150="","",INDEX('ALL ITEMS'!$E:$E,$N150))</f>
        <v/>
      </c>
      <c r="F150" s="53" t="str">
        <f aca="false">IF($N150="","",INDEX('ALL ITEMS'!$F:$F,$N150))</f>
        <v/>
      </c>
      <c r="G150" s="53" t="str">
        <f aca="false">IF($N150="","",INDEX('ALL ITEMS'!$G:$G,$N150))</f>
        <v/>
      </c>
      <c r="H150" s="52" t="str">
        <f aca="false">IF($N150="","",INDEX('ALL ITEMS'!$H:$H,$N150))</f>
        <v/>
      </c>
      <c r="I150" s="54" t="str">
        <f aca="false">IF($N150="","",INDEX('ALL ITEMS'!$I:$I,$N150))</f>
        <v/>
      </c>
      <c r="J150" s="54" t="str">
        <f aca="false">IF($N150="","",INDEX('ALL ITEMS'!$J:$J,$N150))</f>
        <v/>
      </c>
      <c r="K150" s="54" t="str">
        <f aca="false">IF($N150="","",INDEX('ALL ITEMS'!$K:$K,$N150))</f>
        <v/>
      </c>
      <c r="L150" s="52" t="str">
        <f aca="false">IF($N150="","",INDEX('ALL ITEMS'!$L:$L,$N150))</f>
        <v/>
      </c>
      <c r="N150" s="0" t="str">
        <f aca="false">IF(ROWS($N$10:N150)&gt;$C$7,"",SMALL('ALL ITEMS'!$M$3:$M$764,ROWS($N$10:N150)))</f>
        <v/>
      </c>
    </row>
    <row r="151" customFormat="false" ht="15" hidden="false" customHeight="false" outlineLevel="0" collapsed="false">
      <c r="A151" s="52" t="str">
        <f aca="false">IF($N151="","",ROWS($N$10:N151))</f>
        <v/>
      </c>
      <c r="B151" s="52" t="str">
        <f aca="false">IF($N151="","",INDEX('ALL ITEMS'!$B:$B,$N151))</f>
        <v/>
      </c>
      <c r="C151" s="53" t="str">
        <f aca="false">IF($N151="","",INDEX('ALL ITEMS'!$A:$A,$N151))</f>
        <v/>
      </c>
      <c r="D151" s="53" t="str">
        <f aca="false">IF($N151="","",INDEX('ALL ITEMS'!$D:$D,$N151))</f>
        <v/>
      </c>
      <c r="E151" s="53" t="str">
        <f aca="false">IF($N151="","",INDEX('ALL ITEMS'!$E:$E,$N151))</f>
        <v/>
      </c>
      <c r="F151" s="53" t="str">
        <f aca="false">IF($N151="","",INDEX('ALL ITEMS'!$F:$F,$N151))</f>
        <v/>
      </c>
      <c r="G151" s="53" t="str">
        <f aca="false">IF($N151="","",INDEX('ALL ITEMS'!$G:$G,$N151))</f>
        <v/>
      </c>
      <c r="H151" s="52" t="str">
        <f aca="false">IF($N151="","",INDEX('ALL ITEMS'!$H:$H,$N151))</f>
        <v/>
      </c>
      <c r="I151" s="54" t="str">
        <f aca="false">IF($N151="","",INDEX('ALL ITEMS'!$I:$I,$N151))</f>
        <v/>
      </c>
      <c r="J151" s="54" t="str">
        <f aca="false">IF($N151="","",INDEX('ALL ITEMS'!$J:$J,$N151))</f>
        <v/>
      </c>
      <c r="K151" s="54" t="str">
        <f aca="false">IF($N151="","",INDEX('ALL ITEMS'!$K:$K,$N151))</f>
        <v/>
      </c>
      <c r="L151" s="52" t="str">
        <f aca="false">IF($N151="","",INDEX('ALL ITEMS'!$L:$L,$N151))</f>
        <v/>
      </c>
      <c r="N151" s="0" t="str">
        <f aca="false">IF(ROWS($N$10:N151)&gt;$C$7,"",SMALL('ALL ITEMS'!$M$3:$M$764,ROWS($N$10:N151)))</f>
        <v/>
      </c>
    </row>
    <row r="152" customFormat="false" ht="15" hidden="false" customHeight="false" outlineLevel="0" collapsed="false">
      <c r="A152" s="52" t="str">
        <f aca="false">IF($N152="","",ROWS($N$10:N152))</f>
        <v/>
      </c>
      <c r="B152" s="52" t="str">
        <f aca="false">IF($N152="","",INDEX('ALL ITEMS'!$B:$B,$N152))</f>
        <v/>
      </c>
      <c r="C152" s="53" t="str">
        <f aca="false">IF($N152="","",INDEX('ALL ITEMS'!$A:$A,$N152))</f>
        <v/>
      </c>
      <c r="D152" s="53" t="str">
        <f aca="false">IF($N152="","",INDEX('ALL ITEMS'!$D:$D,$N152))</f>
        <v/>
      </c>
      <c r="E152" s="53" t="str">
        <f aca="false">IF($N152="","",INDEX('ALL ITEMS'!$E:$E,$N152))</f>
        <v/>
      </c>
      <c r="F152" s="53" t="str">
        <f aca="false">IF($N152="","",INDEX('ALL ITEMS'!$F:$F,$N152))</f>
        <v/>
      </c>
      <c r="G152" s="53" t="str">
        <f aca="false">IF($N152="","",INDEX('ALL ITEMS'!$G:$G,$N152))</f>
        <v/>
      </c>
      <c r="H152" s="52" t="str">
        <f aca="false">IF($N152="","",INDEX('ALL ITEMS'!$H:$H,$N152))</f>
        <v/>
      </c>
      <c r="I152" s="54" t="str">
        <f aca="false">IF($N152="","",INDEX('ALL ITEMS'!$I:$I,$N152))</f>
        <v/>
      </c>
      <c r="J152" s="54" t="str">
        <f aca="false">IF($N152="","",INDEX('ALL ITEMS'!$J:$J,$N152))</f>
        <v/>
      </c>
      <c r="K152" s="54" t="str">
        <f aca="false">IF($N152="","",INDEX('ALL ITEMS'!$K:$K,$N152))</f>
        <v/>
      </c>
      <c r="L152" s="52" t="str">
        <f aca="false">IF($N152="","",INDEX('ALL ITEMS'!$L:$L,$N152))</f>
        <v/>
      </c>
      <c r="N152" s="0" t="str">
        <f aca="false">IF(ROWS($N$10:N152)&gt;$C$7,"",SMALL('ALL ITEMS'!$M$3:$M$764,ROWS($N$10:N152)))</f>
        <v/>
      </c>
    </row>
    <row r="153" customFormat="false" ht="15" hidden="false" customHeight="false" outlineLevel="0" collapsed="false">
      <c r="A153" s="52" t="str">
        <f aca="false">IF($N153="","",ROWS($N$10:N153))</f>
        <v/>
      </c>
      <c r="B153" s="52" t="str">
        <f aca="false">IF($N153="","",INDEX('ALL ITEMS'!$B:$B,$N153))</f>
        <v/>
      </c>
      <c r="C153" s="53" t="str">
        <f aca="false">IF($N153="","",INDEX('ALL ITEMS'!$A:$A,$N153))</f>
        <v/>
      </c>
      <c r="D153" s="53" t="str">
        <f aca="false">IF($N153="","",INDEX('ALL ITEMS'!$D:$D,$N153))</f>
        <v/>
      </c>
      <c r="E153" s="53" t="str">
        <f aca="false">IF($N153="","",INDEX('ALL ITEMS'!$E:$E,$N153))</f>
        <v/>
      </c>
      <c r="F153" s="53" t="str">
        <f aca="false">IF($N153="","",INDEX('ALL ITEMS'!$F:$F,$N153))</f>
        <v/>
      </c>
      <c r="G153" s="53" t="str">
        <f aca="false">IF($N153="","",INDEX('ALL ITEMS'!$G:$G,$N153))</f>
        <v/>
      </c>
      <c r="H153" s="52" t="str">
        <f aca="false">IF($N153="","",INDEX('ALL ITEMS'!$H:$H,$N153))</f>
        <v/>
      </c>
      <c r="I153" s="54" t="str">
        <f aca="false">IF($N153="","",INDEX('ALL ITEMS'!$I:$I,$N153))</f>
        <v/>
      </c>
      <c r="J153" s="54" t="str">
        <f aca="false">IF($N153="","",INDEX('ALL ITEMS'!$J:$J,$N153))</f>
        <v/>
      </c>
      <c r="K153" s="54" t="str">
        <f aca="false">IF($N153="","",INDEX('ALL ITEMS'!$K:$K,$N153))</f>
        <v/>
      </c>
      <c r="L153" s="52" t="str">
        <f aca="false">IF($N153="","",INDEX('ALL ITEMS'!$L:$L,$N153))</f>
        <v/>
      </c>
      <c r="N153" s="0" t="str">
        <f aca="false">IF(ROWS($N$10:N153)&gt;$C$7,"",SMALL('ALL ITEMS'!$M$3:$M$764,ROWS($N$10:N153)))</f>
        <v/>
      </c>
    </row>
    <row r="154" customFormat="false" ht="15" hidden="false" customHeight="false" outlineLevel="0" collapsed="false">
      <c r="A154" s="52" t="str">
        <f aca="false">IF($N154="","",ROWS($N$10:N154))</f>
        <v/>
      </c>
      <c r="B154" s="52" t="str">
        <f aca="false">IF($N154="","",INDEX('ALL ITEMS'!$B:$B,$N154))</f>
        <v/>
      </c>
      <c r="C154" s="53" t="str">
        <f aca="false">IF($N154="","",INDEX('ALL ITEMS'!$A:$A,$N154))</f>
        <v/>
      </c>
      <c r="D154" s="53" t="str">
        <f aca="false">IF($N154="","",INDEX('ALL ITEMS'!$D:$D,$N154))</f>
        <v/>
      </c>
      <c r="E154" s="53" t="str">
        <f aca="false">IF($N154="","",INDEX('ALL ITEMS'!$E:$E,$N154))</f>
        <v/>
      </c>
      <c r="F154" s="53" t="str">
        <f aca="false">IF($N154="","",INDEX('ALL ITEMS'!$F:$F,$N154))</f>
        <v/>
      </c>
      <c r="G154" s="53" t="str">
        <f aca="false">IF($N154="","",INDEX('ALL ITEMS'!$G:$G,$N154))</f>
        <v/>
      </c>
      <c r="H154" s="52" t="str">
        <f aca="false">IF($N154="","",INDEX('ALL ITEMS'!$H:$H,$N154))</f>
        <v/>
      </c>
      <c r="I154" s="54" t="str">
        <f aca="false">IF($N154="","",INDEX('ALL ITEMS'!$I:$I,$N154))</f>
        <v/>
      </c>
      <c r="J154" s="54" t="str">
        <f aca="false">IF($N154="","",INDEX('ALL ITEMS'!$J:$J,$N154))</f>
        <v/>
      </c>
      <c r="K154" s="54" t="str">
        <f aca="false">IF($N154="","",INDEX('ALL ITEMS'!$K:$K,$N154))</f>
        <v/>
      </c>
      <c r="L154" s="52" t="str">
        <f aca="false">IF($N154="","",INDEX('ALL ITEMS'!$L:$L,$N154))</f>
        <v/>
      </c>
      <c r="N154" s="0" t="str">
        <f aca="false">IF(ROWS($N$10:N154)&gt;$C$7,"",SMALL('ALL ITEMS'!$M$3:$M$764,ROWS($N$10:N154)))</f>
        <v/>
      </c>
    </row>
    <row r="155" customFormat="false" ht="15" hidden="false" customHeight="false" outlineLevel="0" collapsed="false">
      <c r="A155" s="52" t="str">
        <f aca="false">IF($N155="","",ROWS($N$10:N155))</f>
        <v/>
      </c>
      <c r="B155" s="52" t="str">
        <f aca="false">IF($N155="","",INDEX('ALL ITEMS'!$B:$B,$N155))</f>
        <v/>
      </c>
      <c r="C155" s="53" t="str">
        <f aca="false">IF($N155="","",INDEX('ALL ITEMS'!$A:$A,$N155))</f>
        <v/>
      </c>
      <c r="D155" s="53" t="str">
        <f aca="false">IF($N155="","",INDEX('ALL ITEMS'!$D:$D,$N155))</f>
        <v/>
      </c>
      <c r="E155" s="53" t="str">
        <f aca="false">IF($N155="","",INDEX('ALL ITEMS'!$E:$E,$N155))</f>
        <v/>
      </c>
      <c r="F155" s="53" t="str">
        <f aca="false">IF($N155="","",INDEX('ALL ITEMS'!$F:$F,$N155))</f>
        <v/>
      </c>
      <c r="G155" s="53" t="str">
        <f aca="false">IF($N155="","",INDEX('ALL ITEMS'!$G:$G,$N155))</f>
        <v/>
      </c>
      <c r="H155" s="52" t="str">
        <f aca="false">IF($N155="","",INDEX('ALL ITEMS'!$H:$H,$N155))</f>
        <v/>
      </c>
      <c r="I155" s="54" t="str">
        <f aca="false">IF($N155="","",INDEX('ALL ITEMS'!$I:$I,$N155))</f>
        <v/>
      </c>
      <c r="J155" s="54" t="str">
        <f aca="false">IF($N155="","",INDEX('ALL ITEMS'!$J:$J,$N155))</f>
        <v/>
      </c>
      <c r="K155" s="54" t="str">
        <f aca="false">IF($N155="","",INDEX('ALL ITEMS'!$K:$K,$N155))</f>
        <v/>
      </c>
      <c r="L155" s="52" t="str">
        <f aca="false">IF($N155="","",INDEX('ALL ITEMS'!$L:$L,$N155))</f>
        <v/>
      </c>
      <c r="N155" s="0" t="str">
        <f aca="false">IF(ROWS($N$10:N155)&gt;$C$7,"",SMALL('ALL ITEMS'!$M$3:$M$764,ROWS($N$10:N155)))</f>
        <v/>
      </c>
    </row>
    <row r="156" customFormat="false" ht="15" hidden="false" customHeight="false" outlineLevel="0" collapsed="false">
      <c r="A156" s="52" t="str">
        <f aca="false">IF($N156="","",ROWS($N$10:N156))</f>
        <v/>
      </c>
      <c r="B156" s="52" t="str">
        <f aca="false">IF($N156="","",INDEX('ALL ITEMS'!$B:$B,$N156))</f>
        <v/>
      </c>
      <c r="C156" s="53" t="str">
        <f aca="false">IF($N156="","",INDEX('ALL ITEMS'!$A:$A,$N156))</f>
        <v/>
      </c>
      <c r="D156" s="53" t="str">
        <f aca="false">IF($N156="","",INDEX('ALL ITEMS'!$D:$D,$N156))</f>
        <v/>
      </c>
      <c r="E156" s="53" t="str">
        <f aca="false">IF($N156="","",INDEX('ALL ITEMS'!$E:$E,$N156))</f>
        <v/>
      </c>
      <c r="F156" s="53" t="str">
        <f aca="false">IF($N156="","",INDEX('ALL ITEMS'!$F:$F,$N156))</f>
        <v/>
      </c>
      <c r="G156" s="53" t="str">
        <f aca="false">IF($N156="","",INDEX('ALL ITEMS'!$G:$G,$N156))</f>
        <v/>
      </c>
      <c r="H156" s="52" t="str">
        <f aca="false">IF($N156="","",INDEX('ALL ITEMS'!$H:$H,$N156))</f>
        <v/>
      </c>
      <c r="I156" s="54" t="str">
        <f aca="false">IF($N156="","",INDEX('ALL ITEMS'!$I:$I,$N156))</f>
        <v/>
      </c>
      <c r="J156" s="54" t="str">
        <f aca="false">IF($N156="","",INDEX('ALL ITEMS'!$J:$J,$N156))</f>
        <v/>
      </c>
      <c r="K156" s="54" t="str">
        <f aca="false">IF($N156="","",INDEX('ALL ITEMS'!$K:$K,$N156))</f>
        <v/>
      </c>
      <c r="L156" s="52" t="str">
        <f aca="false">IF($N156="","",INDEX('ALL ITEMS'!$L:$L,$N156))</f>
        <v/>
      </c>
      <c r="N156" s="0" t="str">
        <f aca="false">IF(ROWS($N$10:N156)&gt;$C$7,"",SMALL('ALL ITEMS'!$M$3:$M$764,ROWS($N$10:N156)))</f>
        <v/>
      </c>
    </row>
    <row r="157" customFormat="false" ht="15" hidden="false" customHeight="false" outlineLevel="0" collapsed="false">
      <c r="A157" s="52" t="str">
        <f aca="false">IF($N157="","",ROWS($N$10:N157))</f>
        <v/>
      </c>
      <c r="B157" s="52" t="str">
        <f aca="false">IF($N157="","",INDEX('ALL ITEMS'!$B:$B,$N157))</f>
        <v/>
      </c>
      <c r="C157" s="53" t="str">
        <f aca="false">IF($N157="","",INDEX('ALL ITEMS'!$A:$A,$N157))</f>
        <v/>
      </c>
      <c r="D157" s="53" t="str">
        <f aca="false">IF($N157="","",INDEX('ALL ITEMS'!$D:$D,$N157))</f>
        <v/>
      </c>
      <c r="E157" s="53" t="str">
        <f aca="false">IF($N157="","",INDEX('ALL ITEMS'!$E:$E,$N157))</f>
        <v/>
      </c>
      <c r="F157" s="53" t="str">
        <f aca="false">IF($N157="","",INDEX('ALL ITEMS'!$F:$F,$N157))</f>
        <v/>
      </c>
      <c r="G157" s="53" t="str">
        <f aca="false">IF($N157="","",INDEX('ALL ITEMS'!$G:$G,$N157))</f>
        <v/>
      </c>
      <c r="H157" s="52" t="str">
        <f aca="false">IF($N157="","",INDEX('ALL ITEMS'!$H:$H,$N157))</f>
        <v/>
      </c>
      <c r="I157" s="54" t="str">
        <f aca="false">IF($N157="","",INDEX('ALL ITEMS'!$I:$I,$N157))</f>
        <v/>
      </c>
      <c r="J157" s="54" t="str">
        <f aca="false">IF($N157="","",INDEX('ALL ITEMS'!$J:$J,$N157))</f>
        <v/>
      </c>
      <c r="K157" s="54" t="str">
        <f aca="false">IF($N157="","",INDEX('ALL ITEMS'!$K:$K,$N157))</f>
        <v/>
      </c>
      <c r="L157" s="52" t="str">
        <f aca="false">IF($N157="","",INDEX('ALL ITEMS'!$L:$L,$N157))</f>
        <v/>
      </c>
      <c r="N157" s="0" t="str">
        <f aca="false">IF(ROWS($N$10:N157)&gt;$C$7,"",SMALL('ALL ITEMS'!$M$3:$M$764,ROWS($N$10:N157)))</f>
        <v/>
      </c>
    </row>
    <row r="158" customFormat="false" ht="15" hidden="false" customHeight="false" outlineLevel="0" collapsed="false">
      <c r="A158" s="52" t="str">
        <f aca="false">IF($N158="","",ROWS($N$10:N158))</f>
        <v/>
      </c>
      <c r="B158" s="52" t="str">
        <f aca="false">IF($N158="","",INDEX('ALL ITEMS'!$B:$B,$N158))</f>
        <v/>
      </c>
      <c r="C158" s="53" t="str">
        <f aca="false">IF($N158="","",INDEX('ALL ITEMS'!$A:$A,$N158))</f>
        <v/>
      </c>
      <c r="D158" s="53" t="str">
        <f aca="false">IF($N158="","",INDEX('ALL ITEMS'!$D:$D,$N158))</f>
        <v/>
      </c>
      <c r="E158" s="53" t="str">
        <f aca="false">IF($N158="","",INDEX('ALL ITEMS'!$E:$E,$N158))</f>
        <v/>
      </c>
      <c r="F158" s="53" t="str">
        <f aca="false">IF($N158="","",INDEX('ALL ITEMS'!$F:$F,$N158))</f>
        <v/>
      </c>
      <c r="G158" s="53" t="str">
        <f aca="false">IF($N158="","",INDEX('ALL ITEMS'!$G:$G,$N158))</f>
        <v/>
      </c>
      <c r="H158" s="52" t="str">
        <f aca="false">IF($N158="","",INDEX('ALL ITEMS'!$H:$H,$N158))</f>
        <v/>
      </c>
      <c r="I158" s="54" t="str">
        <f aca="false">IF($N158="","",INDEX('ALL ITEMS'!$I:$I,$N158))</f>
        <v/>
      </c>
      <c r="J158" s="54" t="str">
        <f aca="false">IF($N158="","",INDEX('ALL ITEMS'!$J:$J,$N158))</f>
        <v/>
      </c>
      <c r="K158" s="54" t="str">
        <f aca="false">IF($N158="","",INDEX('ALL ITEMS'!$K:$K,$N158))</f>
        <v/>
      </c>
      <c r="L158" s="52" t="str">
        <f aca="false">IF($N158="","",INDEX('ALL ITEMS'!$L:$L,$N158))</f>
        <v/>
      </c>
      <c r="N158" s="0" t="str">
        <f aca="false">IF(ROWS($N$10:N158)&gt;$C$7,"",SMALL('ALL ITEMS'!$M$3:$M$764,ROWS($N$10:N158)))</f>
        <v/>
      </c>
    </row>
    <row r="159" customFormat="false" ht="15" hidden="false" customHeight="false" outlineLevel="0" collapsed="false">
      <c r="A159" s="52" t="str">
        <f aca="false">IF($N159="","",ROWS($N$10:N159))</f>
        <v/>
      </c>
      <c r="B159" s="52" t="str">
        <f aca="false">IF($N159="","",INDEX('ALL ITEMS'!$B:$B,$N159))</f>
        <v/>
      </c>
      <c r="C159" s="53" t="str">
        <f aca="false">IF($N159="","",INDEX('ALL ITEMS'!$A:$A,$N159))</f>
        <v/>
      </c>
      <c r="D159" s="53" t="str">
        <f aca="false">IF($N159="","",INDEX('ALL ITEMS'!$D:$D,$N159))</f>
        <v/>
      </c>
      <c r="E159" s="53" t="str">
        <f aca="false">IF($N159="","",INDEX('ALL ITEMS'!$E:$E,$N159))</f>
        <v/>
      </c>
      <c r="F159" s="53" t="str">
        <f aca="false">IF($N159="","",INDEX('ALL ITEMS'!$F:$F,$N159))</f>
        <v/>
      </c>
      <c r="G159" s="53" t="str">
        <f aca="false">IF($N159="","",INDEX('ALL ITEMS'!$G:$G,$N159))</f>
        <v/>
      </c>
      <c r="H159" s="52" t="str">
        <f aca="false">IF($N159="","",INDEX('ALL ITEMS'!$H:$H,$N159))</f>
        <v/>
      </c>
      <c r="I159" s="54" t="str">
        <f aca="false">IF($N159="","",INDEX('ALL ITEMS'!$I:$I,$N159))</f>
        <v/>
      </c>
      <c r="J159" s="54" t="str">
        <f aca="false">IF($N159="","",INDEX('ALL ITEMS'!$J:$J,$N159))</f>
        <v/>
      </c>
      <c r="K159" s="54" t="str">
        <f aca="false">IF($N159="","",INDEX('ALL ITEMS'!$K:$K,$N159))</f>
        <v/>
      </c>
      <c r="L159" s="52" t="str">
        <f aca="false">IF($N159="","",INDEX('ALL ITEMS'!$L:$L,$N159))</f>
        <v/>
      </c>
      <c r="N159" s="0" t="str">
        <f aca="false">IF(ROWS($N$10:N159)&gt;$C$7,"",SMALL('ALL ITEMS'!$M$3:$M$764,ROWS($N$10:N159)))</f>
        <v/>
      </c>
    </row>
    <row r="160" customFormat="false" ht="15" hidden="false" customHeight="false" outlineLevel="0" collapsed="false">
      <c r="A160" s="52" t="str">
        <f aca="false">IF($N160="","",ROWS($N$10:N160))</f>
        <v/>
      </c>
      <c r="B160" s="52" t="str">
        <f aca="false">IF($N160="","",INDEX('ALL ITEMS'!$B:$B,$N160))</f>
        <v/>
      </c>
      <c r="C160" s="53" t="str">
        <f aca="false">IF($N160="","",INDEX('ALL ITEMS'!$A:$A,$N160))</f>
        <v/>
      </c>
      <c r="D160" s="53" t="str">
        <f aca="false">IF($N160="","",INDEX('ALL ITEMS'!$D:$D,$N160))</f>
        <v/>
      </c>
      <c r="E160" s="53" t="str">
        <f aca="false">IF($N160="","",INDEX('ALL ITEMS'!$E:$E,$N160))</f>
        <v/>
      </c>
      <c r="F160" s="53" t="str">
        <f aca="false">IF($N160="","",INDEX('ALL ITEMS'!$F:$F,$N160))</f>
        <v/>
      </c>
      <c r="G160" s="53" t="str">
        <f aca="false">IF($N160="","",INDEX('ALL ITEMS'!$G:$G,$N160))</f>
        <v/>
      </c>
      <c r="H160" s="52" t="str">
        <f aca="false">IF($N160="","",INDEX('ALL ITEMS'!$H:$H,$N160))</f>
        <v/>
      </c>
      <c r="I160" s="54" t="str">
        <f aca="false">IF($N160="","",INDEX('ALL ITEMS'!$I:$I,$N160))</f>
        <v/>
      </c>
      <c r="J160" s="54" t="str">
        <f aca="false">IF($N160="","",INDEX('ALL ITEMS'!$J:$J,$N160))</f>
        <v/>
      </c>
      <c r="K160" s="54" t="str">
        <f aca="false">IF($N160="","",INDEX('ALL ITEMS'!$K:$K,$N160))</f>
        <v/>
      </c>
      <c r="L160" s="52" t="str">
        <f aca="false">IF($N160="","",INDEX('ALL ITEMS'!$L:$L,$N160))</f>
        <v/>
      </c>
      <c r="N160" s="0" t="str">
        <f aca="false">IF(ROWS($N$10:N160)&gt;$C$7,"",SMALL('ALL ITEMS'!$M$3:$M$764,ROWS($N$10:N160)))</f>
        <v/>
      </c>
    </row>
    <row r="161" customFormat="false" ht="15" hidden="false" customHeight="false" outlineLevel="0" collapsed="false">
      <c r="A161" s="52" t="str">
        <f aca="false">IF($N161="","",ROWS($N$10:N161))</f>
        <v/>
      </c>
      <c r="B161" s="52" t="str">
        <f aca="false">IF($N161="","",INDEX('ALL ITEMS'!$B:$B,$N161))</f>
        <v/>
      </c>
      <c r="C161" s="53" t="str">
        <f aca="false">IF($N161="","",INDEX('ALL ITEMS'!$A:$A,$N161))</f>
        <v/>
      </c>
      <c r="D161" s="53" t="str">
        <f aca="false">IF($N161="","",INDEX('ALL ITEMS'!$D:$D,$N161))</f>
        <v/>
      </c>
      <c r="E161" s="53" t="str">
        <f aca="false">IF($N161="","",INDEX('ALL ITEMS'!$E:$E,$N161))</f>
        <v/>
      </c>
      <c r="F161" s="53" t="str">
        <f aca="false">IF($N161="","",INDEX('ALL ITEMS'!$F:$F,$N161))</f>
        <v/>
      </c>
      <c r="G161" s="53" t="str">
        <f aca="false">IF($N161="","",INDEX('ALL ITEMS'!$G:$G,$N161))</f>
        <v/>
      </c>
      <c r="H161" s="52" t="str">
        <f aca="false">IF($N161="","",INDEX('ALL ITEMS'!$H:$H,$N161))</f>
        <v/>
      </c>
      <c r="I161" s="54" t="str">
        <f aca="false">IF($N161="","",INDEX('ALL ITEMS'!$I:$I,$N161))</f>
        <v/>
      </c>
      <c r="J161" s="54" t="str">
        <f aca="false">IF($N161="","",INDEX('ALL ITEMS'!$J:$J,$N161))</f>
        <v/>
      </c>
      <c r="K161" s="54" t="str">
        <f aca="false">IF($N161="","",INDEX('ALL ITEMS'!$K:$K,$N161))</f>
        <v/>
      </c>
      <c r="L161" s="52" t="str">
        <f aca="false">IF($N161="","",INDEX('ALL ITEMS'!$L:$L,$N161))</f>
        <v/>
      </c>
      <c r="N161" s="0" t="str">
        <f aca="false">IF(ROWS($N$10:N161)&gt;$C$7,"",SMALL('ALL ITEMS'!$M$3:$M$764,ROWS($N$10:N161)))</f>
        <v/>
      </c>
    </row>
    <row r="162" customFormat="false" ht="15" hidden="false" customHeight="false" outlineLevel="0" collapsed="false">
      <c r="A162" s="52" t="str">
        <f aca="false">IF($N162="","",ROWS($N$10:N162))</f>
        <v/>
      </c>
      <c r="B162" s="52" t="str">
        <f aca="false">IF($N162="","",INDEX('ALL ITEMS'!$B:$B,$N162))</f>
        <v/>
      </c>
      <c r="C162" s="53" t="str">
        <f aca="false">IF($N162="","",INDEX('ALL ITEMS'!$A:$A,$N162))</f>
        <v/>
      </c>
      <c r="D162" s="53" t="str">
        <f aca="false">IF($N162="","",INDEX('ALL ITEMS'!$D:$D,$N162))</f>
        <v/>
      </c>
      <c r="E162" s="53" t="str">
        <f aca="false">IF($N162="","",INDEX('ALL ITEMS'!$E:$E,$N162))</f>
        <v/>
      </c>
      <c r="F162" s="53" t="str">
        <f aca="false">IF($N162="","",INDEX('ALL ITEMS'!$F:$F,$N162))</f>
        <v/>
      </c>
      <c r="G162" s="53" t="str">
        <f aca="false">IF($N162="","",INDEX('ALL ITEMS'!$G:$G,$N162))</f>
        <v/>
      </c>
      <c r="H162" s="52" t="str">
        <f aca="false">IF($N162="","",INDEX('ALL ITEMS'!$H:$H,$N162))</f>
        <v/>
      </c>
      <c r="I162" s="54" t="str">
        <f aca="false">IF($N162="","",INDEX('ALL ITEMS'!$I:$I,$N162))</f>
        <v/>
      </c>
      <c r="J162" s="54" t="str">
        <f aca="false">IF($N162="","",INDEX('ALL ITEMS'!$J:$J,$N162))</f>
        <v/>
      </c>
      <c r="K162" s="54" t="str">
        <f aca="false">IF($N162="","",INDEX('ALL ITEMS'!$K:$K,$N162))</f>
        <v/>
      </c>
      <c r="L162" s="52" t="str">
        <f aca="false">IF($N162="","",INDEX('ALL ITEMS'!$L:$L,$N162))</f>
        <v/>
      </c>
      <c r="N162" s="0" t="str">
        <f aca="false">IF(ROWS($N$10:N162)&gt;$C$7,"",SMALL('ALL ITEMS'!$M$3:$M$764,ROWS($N$10:N162)))</f>
        <v/>
      </c>
    </row>
    <row r="163" customFormat="false" ht="15" hidden="false" customHeight="false" outlineLevel="0" collapsed="false">
      <c r="A163" s="52" t="str">
        <f aca="false">IF($N163="","",ROWS($N$10:N163))</f>
        <v/>
      </c>
      <c r="B163" s="52" t="str">
        <f aca="false">IF($N163="","",INDEX('ALL ITEMS'!$B:$B,$N163))</f>
        <v/>
      </c>
      <c r="C163" s="53" t="str">
        <f aca="false">IF($N163="","",INDEX('ALL ITEMS'!$A:$A,$N163))</f>
        <v/>
      </c>
      <c r="D163" s="53" t="str">
        <f aca="false">IF($N163="","",INDEX('ALL ITEMS'!$D:$D,$N163))</f>
        <v/>
      </c>
      <c r="E163" s="53" t="str">
        <f aca="false">IF($N163="","",INDEX('ALL ITEMS'!$E:$E,$N163))</f>
        <v/>
      </c>
      <c r="F163" s="53" t="str">
        <f aca="false">IF($N163="","",INDEX('ALL ITEMS'!$F:$F,$N163))</f>
        <v/>
      </c>
      <c r="G163" s="53" t="str">
        <f aca="false">IF($N163="","",INDEX('ALL ITEMS'!$G:$G,$N163))</f>
        <v/>
      </c>
      <c r="H163" s="52" t="str">
        <f aca="false">IF($N163="","",INDEX('ALL ITEMS'!$H:$H,$N163))</f>
        <v/>
      </c>
      <c r="I163" s="54" t="str">
        <f aca="false">IF($N163="","",INDEX('ALL ITEMS'!$I:$I,$N163))</f>
        <v/>
      </c>
      <c r="J163" s="54" t="str">
        <f aca="false">IF($N163="","",INDEX('ALL ITEMS'!$J:$J,$N163))</f>
        <v/>
      </c>
      <c r="K163" s="54" t="str">
        <f aca="false">IF($N163="","",INDEX('ALL ITEMS'!$K:$K,$N163))</f>
        <v/>
      </c>
      <c r="L163" s="52" t="str">
        <f aca="false">IF($N163="","",INDEX('ALL ITEMS'!$L:$L,$N163))</f>
        <v/>
      </c>
      <c r="N163" s="0" t="str">
        <f aca="false">IF(ROWS($N$10:N163)&gt;$C$7,"",SMALL('ALL ITEMS'!$M$3:$M$764,ROWS($N$10:N163)))</f>
        <v/>
      </c>
    </row>
    <row r="164" customFormat="false" ht="15" hidden="false" customHeight="false" outlineLevel="0" collapsed="false">
      <c r="A164" s="52" t="str">
        <f aca="false">IF($N164="","",ROWS($N$10:N164))</f>
        <v/>
      </c>
      <c r="B164" s="52" t="str">
        <f aca="false">IF($N164="","",INDEX('ALL ITEMS'!$B:$B,$N164))</f>
        <v/>
      </c>
      <c r="C164" s="53" t="str">
        <f aca="false">IF($N164="","",INDEX('ALL ITEMS'!$A:$A,$N164))</f>
        <v/>
      </c>
      <c r="D164" s="53" t="str">
        <f aca="false">IF($N164="","",INDEX('ALL ITEMS'!$D:$D,$N164))</f>
        <v/>
      </c>
      <c r="E164" s="53" t="str">
        <f aca="false">IF($N164="","",INDEX('ALL ITEMS'!$E:$E,$N164))</f>
        <v/>
      </c>
      <c r="F164" s="53" t="str">
        <f aca="false">IF($N164="","",INDEX('ALL ITEMS'!$F:$F,$N164))</f>
        <v/>
      </c>
      <c r="G164" s="53" t="str">
        <f aca="false">IF($N164="","",INDEX('ALL ITEMS'!$G:$G,$N164))</f>
        <v/>
      </c>
      <c r="H164" s="52" t="str">
        <f aca="false">IF($N164="","",INDEX('ALL ITEMS'!$H:$H,$N164))</f>
        <v/>
      </c>
      <c r="I164" s="54" t="str">
        <f aca="false">IF($N164="","",INDEX('ALL ITEMS'!$I:$I,$N164))</f>
        <v/>
      </c>
      <c r="J164" s="54" t="str">
        <f aca="false">IF($N164="","",INDEX('ALL ITEMS'!$J:$J,$N164))</f>
        <v/>
      </c>
      <c r="K164" s="54" t="str">
        <f aca="false">IF($N164="","",INDEX('ALL ITEMS'!$K:$K,$N164))</f>
        <v/>
      </c>
      <c r="L164" s="52" t="str">
        <f aca="false">IF($N164="","",INDEX('ALL ITEMS'!$L:$L,$N164))</f>
        <v/>
      </c>
      <c r="N164" s="0" t="str">
        <f aca="false">IF(ROWS($N$10:N164)&gt;$C$7,"",SMALL('ALL ITEMS'!$M$3:$M$764,ROWS($N$10:N164)))</f>
        <v/>
      </c>
    </row>
    <row r="165" customFormat="false" ht="15" hidden="false" customHeight="false" outlineLevel="0" collapsed="false">
      <c r="A165" s="52" t="str">
        <f aca="false">IF($N165="","",ROWS($N$10:N165))</f>
        <v/>
      </c>
      <c r="B165" s="52" t="str">
        <f aca="false">IF($N165="","",INDEX('ALL ITEMS'!$B:$B,$N165))</f>
        <v/>
      </c>
      <c r="C165" s="53" t="str">
        <f aca="false">IF($N165="","",INDEX('ALL ITEMS'!$A:$A,$N165))</f>
        <v/>
      </c>
      <c r="D165" s="53" t="str">
        <f aca="false">IF($N165="","",INDEX('ALL ITEMS'!$D:$D,$N165))</f>
        <v/>
      </c>
      <c r="E165" s="53" t="str">
        <f aca="false">IF($N165="","",INDEX('ALL ITEMS'!$E:$E,$N165))</f>
        <v/>
      </c>
      <c r="F165" s="53" t="str">
        <f aca="false">IF($N165="","",INDEX('ALL ITEMS'!$F:$F,$N165))</f>
        <v/>
      </c>
      <c r="G165" s="53" t="str">
        <f aca="false">IF($N165="","",INDEX('ALL ITEMS'!$G:$G,$N165))</f>
        <v/>
      </c>
      <c r="H165" s="52" t="str">
        <f aca="false">IF($N165="","",INDEX('ALL ITEMS'!$H:$H,$N165))</f>
        <v/>
      </c>
      <c r="I165" s="54" t="str">
        <f aca="false">IF($N165="","",INDEX('ALL ITEMS'!$I:$I,$N165))</f>
        <v/>
      </c>
      <c r="J165" s="54" t="str">
        <f aca="false">IF($N165="","",INDEX('ALL ITEMS'!$J:$J,$N165))</f>
        <v/>
      </c>
      <c r="K165" s="54" t="str">
        <f aca="false">IF($N165="","",INDEX('ALL ITEMS'!$K:$K,$N165))</f>
        <v/>
      </c>
      <c r="L165" s="52" t="str">
        <f aca="false">IF($N165="","",INDEX('ALL ITEMS'!$L:$L,$N165))</f>
        <v/>
      </c>
      <c r="N165" s="0" t="str">
        <f aca="false">IF(ROWS($N$10:N165)&gt;$C$7,"",SMALL('ALL ITEMS'!$M$3:$M$764,ROWS($N$10:N165)))</f>
        <v/>
      </c>
    </row>
    <row r="166" customFormat="false" ht="15" hidden="false" customHeight="false" outlineLevel="0" collapsed="false">
      <c r="A166" s="52" t="str">
        <f aca="false">IF($N166="","",ROWS($N$10:N166))</f>
        <v/>
      </c>
      <c r="B166" s="52" t="str">
        <f aca="false">IF($N166="","",INDEX('ALL ITEMS'!$B:$B,$N166))</f>
        <v/>
      </c>
      <c r="C166" s="53" t="str">
        <f aca="false">IF($N166="","",INDEX('ALL ITEMS'!$A:$A,$N166))</f>
        <v/>
      </c>
      <c r="D166" s="53" t="str">
        <f aca="false">IF($N166="","",INDEX('ALL ITEMS'!$D:$D,$N166))</f>
        <v/>
      </c>
      <c r="E166" s="53" t="str">
        <f aca="false">IF($N166="","",INDEX('ALL ITEMS'!$E:$E,$N166))</f>
        <v/>
      </c>
      <c r="F166" s="53" t="str">
        <f aca="false">IF($N166="","",INDEX('ALL ITEMS'!$F:$F,$N166))</f>
        <v/>
      </c>
      <c r="G166" s="53" t="str">
        <f aca="false">IF($N166="","",INDEX('ALL ITEMS'!$G:$G,$N166))</f>
        <v/>
      </c>
      <c r="H166" s="52" t="str">
        <f aca="false">IF($N166="","",INDEX('ALL ITEMS'!$H:$H,$N166))</f>
        <v/>
      </c>
      <c r="I166" s="54" t="str">
        <f aca="false">IF($N166="","",INDEX('ALL ITEMS'!$I:$I,$N166))</f>
        <v/>
      </c>
      <c r="J166" s="54" t="str">
        <f aca="false">IF($N166="","",INDEX('ALL ITEMS'!$J:$J,$N166))</f>
        <v/>
      </c>
      <c r="K166" s="54" t="str">
        <f aca="false">IF($N166="","",INDEX('ALL ITEMS'!$K:$K,$N166))</f>
        <v/>
      </c>
      <c r="L166" s="52" t="str">
        <f aca="false">IF($N166="","",INDEX('ALL ITEMS'!$L:$L,$N166))</f>
        <v/>
      </c>
      <c r="N166" s="0" t="str">
        <f aca="false">IF(ROWS($N$10:N166)&gt;$C$7,"",SMALL('ALL ITEMS'!$M$3:$M$764,ROWS($N$10:N166)))</f>
        <v/>
      </c>
    </row>
    <row r="167" customFormat="false" ht="15" hidden="false" customHeight="false" outlineLevel="0" collapsed="false">
      <c r="A167" s="52" t="str">
        <f aca="false">IF($N167="","",ROWS($N$10:N167))</f>
        <v/>
      </c>
      <c r="B167" s="52" t="str">
        <f aca="false">IF($N167="","",INDEX('ALL ITEMS'!$B:$B,$N167))</f>
        <v/>
      </c>
      <c r="C167" s="53" t="str">
        <f aca="false">IF($N167="","",INDEX('ALL ITEMS'!$A:$A,$N167))</f>
        <v/>
      </c>
      <c r="D167" s="53" t="str">
        <f aca="false">IF($N167="","",INDEX('ALL ITEMS'!$D:$D,$N167))</f>
        <v/>
      </c>
      <c r="E167" s="53" t="str">
        <f aca="false">IF($N167="","",INDEX('ALL ITEMS'!$E:$E,$N167))</f>
        <v/>
      </c>
      <c r="F167" s="53" t="str">
        <f aca="false">IF($N167="","",INDEX('ALL ITEMS'!$F:$F,$N167))</f>
        <v/>
      </c>
      <c r="G167" s="53" t="str">
        <f aca="false">IF($N167="","",INDEX('ALL ITEMS'!$G:$G,$N167))</f>
        <v/>
      </c>
      <c r="H167" s="52" t="str">
        <f aca="false">IF($N167="","",INDEX('ALL ITEMS'!$H:$H,$N167))</f>
        <v/>
      </c>
      <c r="I167" s="54" t="str">
        <f aca="false">IF($N167="","",INDEX('ALL ITEMS'!$I:$I,$N167))</f>
        <v/>
      </c>
      <c r="J167" s="54" t="str">
        <f aca="false">IF($N167="","",INDEX('ALL ITEMS'!$J:$J,$N167))</f>
        <v/>
      </c>
      <c r="K167" s="54" t="str">
        <f aca="false">IF($N167="","",INDEX('ALL ITEMS'!$K:$K,$N167))</f>
        <v/>
      </c>
      <c r="L167" s="52" t="str">
        <f aca="false">IF($N167="","",INDEX('ALL ITEMS'!$L:$L,$N167))</f>
        <v/>
      </c>
      <c r="N167" s="0" t="str">
        <f aca="false">IF(ROWS($N$10:N167)&gt;$C$7,"",SMALL('ALL ITEMS'!$M$3:$M$764,ROWS($N$10:N167)))</f>
        <v/>
      </c>
    </row>
    <row r="168" customFormat="false" ht="15" hidden="false" customHeight="false" outlineLevel="0" collapsed="false">
      <c r="A168" s="52" t="str">
        <f aca="false">IF($N168="","",ROWS($N$10:N168))</f>
        <v/>
      </c>
      <c r="B168" s="52" t="str">
        <f aca="false">IF($N168="","",INDEX('ALL ITEMS'!$B:$B,$N168))</f>
        <v/>
      </c>
      <c r="C168" s="53" t="str">
        <f aca="false">IF($N168="","",INDEX('ALL ITEMS'!$A:$A,$N168))</f>
        <v/>
      </c>
      <c r="D168" s="53" t="str">
        <f aca="false">IF($N168="","",INDEX('ALL ITEMS'!$D:$D,$N168))</f>
        <v/>
      </c>
      <c r="E168" s="53" t="str">
        <f aca="false">IF($N168="","",INDEX('ALL ITEMS'!$E:$E,$N168))</f>
        <v/>
      </c>
      <c r="F168" s="53" t="str">
        <f aca="false">IF($N168="","",INDEX('ALL ITEMS'!$F:$F,$N168))</f>
        <v/>
      </c>
      <c r="G168" s="53" t="str">
        <f aca="false">IF($N168="","",INDEX('ALL ITEMS'!$G:$G,$N168))</f>
        <v/>
      </c>
      <c r="H168" s="52" t="str">
        <f aca="false">IF($N168="","",INDEX('ALL ITEMS'!$H:$H,$N168))</f>
        <v/>
      </c>
      <c r="I168" s="54" t="str">
        <f aca="false">IF($N168="","",INDEX('ALL ITEMS'!$I:$I,$N168))</f>
        <v/>
      </c>
      <c r="J168" s="54" t="str">
        <f aca="false">IF($N168="","",INDEX('ALL ITEMS'!$J:$J,$N168))</f>
        <v/>
      </c>
      <c r="K168" s="54" t="str">
        <f aca="false">IF($N168="","",INDEX('ALL ITEMS'!$K:$K,$N168))</f>
        <v/>
      </c>
      <c r="L168" s="52" t="str">
        <f aca="false">IF($N168="","",INDEX('ALL ITEMS'!$L:$L,$N168))</f>
        <v/>
      </c>
      <c r="N168" s="0" t="str">
        <f aca="false">IF(ROWS($N$10:N168)&gt;$C$7,"",SMALL('ALL ITEMS'!$M$3:$M$764,ROWS($N$10:N168)))</f>
        <v/>
      </c>
    </row>
    <row r="169" customFormat="false" ht="15" hidden="false" customHeight="false" outlineLevel="0" collapsed="false">
      <c r="A169" s="52" t="str">
        <f aca="false">IF($N169="","",ROWS($N$10:N169))</f>
        <v/>
      </c>
      <c r="B169" s="52" t="str">
        <f aca="false">IF($N169="","",INDEX('ALL ITEMS'!$B:$B,$N169))</f>
        <v/>
      </c>
      <c r="C169" s="53" t="str">
        <f aca="false">IF($N169="","",INDEX('ALL ITEMS'!$A:$A,$N169))</f>
        <v/>
      </c>
      <c r="D169" s="53" t="str">
        <f aca="false">IF($N169="","",INDEX('ALL ITEMS'!$D:$D,$N169))</f>
        <v/>
      </c>
      <c r="E169" s="53" t="str">
        <f aca="false">IF($N169="","",INDEX('ALL ITEMS'!$E:$E,$N169))</f>
        <v/>
      </c>
      <c r="F169" s="53" t="str">
        <f aca="false">IF($N169="","",INDEX('ALL ITEMS'!$F:$F,$N169))</f>
        <v/>
      </c>
      <c r="G169" s="53" t="str">
        <f aca="false">IF($N169="","",INDEX('ALL ITEMS'!$G:$G,$N169))</f>
        <v/>
      </c>
      <c r="H169" s="52" t="str">
        <f aca="false">IF($N169="","",INDEX('ALL ITEMS'!$H:$H,$N169))</f>
        <v/>
      </c>
      <c r="I169" s="54" t="str">
        <f aca="false">IF($N169="","",INDEX('ALL ITEMS'!$I:$I,$N169))</f>
        <v/>
      </c>
      <c r="J169" s="54" t="str">
        <f aca="false">IF($N169="","",INDEX('ALL ITEMS'!$J:$J,$N169))</f>
        <v/>
      </c>
      <c r="K169" s="54" t="str">
        <f aca="false">IF($N169="","",INDEX('ALL ITEMS'!$K:$K,$N169))</f>
        <v/>
      </c>
      <c r="L169" s="52" t="str">
        <f aca="false">IF($N169="","",INDEX('ALL ITEMS'!$L:$L,$N169))</f>
        <v/>
      </c>
      <c r="N169" s="0" t="str">
        <f aca="false">IF(ROWS($N$10:N169)&gt;$C$7,"",SMALL('ALL ITEMS'!$M$3:$M$764,ROWS($N$10:N169)))</f>
        <v/>
      </c>
    </row>
    <row r="170" customFormat="false" ht="15" hidden="false" customHeight="false" outlineLevel="0" collapsed="false">
      <c r="A170" s="52" t="str">
        <f aca="false">IF($N170="","",ROWS($N$10:N170))</f>
        <v/>
      </c>
      <c r="B170" s="52" t="str">
        <f aca="false">IF($N170="","",INDEX('ALL ITEMS'!$B:$B,$N170))</f>
        <v/>
      </c>
      <c r="C170" s="53" t="str">
        <f aca="false">IF($N170="","",INDEX('ALL ITEMS'!$A:$A,$N170))</f>
        <v/>
      </c>
      <c r="D170" s="53" t="str">
        <f aca="false">IF($N170="","",INDEX('ALL ITEMS'!$D:$D,$N170))</f>
        <v/>
      </c>
      <c r="E170" s="53" t="str">
        <f aca="false">IF($N170="","",INDEX('ALL ITEMS'!$E:$E,$N170))</f>
        <v/>
      </c>
      <c r="F170" s="53" t="str">
        <f aca="false">IF($N170="","",INDEX('ALL ITEMS'!$F:$F,$N170))</f>
        <v/>
      </c>
      <c r="G170" s="53" t="str">
        <f aca="false">IF($N170="","",INDEX('ALL ITEMS'!$G:$G,$N170))</f>
        <v/>
      </c>
      <c r="H170" s="52" t="str">
        <f aca="false">IF($N170="","",INDEX('ALL ITEMS'!$H:$H,$N170))</f>
        <v/>
      </c>
      <c r="I170" s="54" t="str">
        <f aca="false">IF($N170="","",INDEX('ALL ITEMS'!$I:$I,$N170))</f>
        <v/>
      </c>
      <c r="J170" s="54" t="str">
        <f aca="false">IF($N170="","",INDEX('ALL ITEMS'!$J:$J,$N170))</f>
        <v/>
      </c>
      <c r="K170" s="54" t="str">
        <f aca="false">IF($N170="","",INDEX('ALL ITEMS'!$K:$K,$N170))</f>
        <v/>
      </c>
      <c r="L170" s="52" t="str">
        <f aca="false">IF($N170="","",INDEX('ALL ITEMS'!$L:$L,$N170))</f>
        <v/>
      </c>
      <c r="N170" s="0" t="str">
        <f aca="false">IF(ROWS($N$10:N170)&gt;$C$7,"",SMALL('ALL ITEMS'!$M$3:$M$764,ROWS($N$10:N170)))</f>
        <v/>
      </c>
    </row>
    <row r="171" customFormat="false" ht="15" hidden="false" customHeight="false" outlineLevel="0" collapsed="false">
      <c r="A171" s="52" t="str">
        <f aca="false">IF($N171="","",ROWS($N$10:N171))</f>
        <v/>
      </c>
      <c r="B171" s="52" t="str">
        <f aca="false">IF($N171="","",INDEX('ALL ITEMS'!$B:$B,$N171))</f>
        <v/>
      </c>
      <c r="C171" s="53" t="str">
        <f aca="false">IF($N171="","",INDEX('ALL ITEMS'!$A:$A,$N171))</f>
        <v/>
      </c>
      <c r="D171" s="53" t="str">
        <f aca="false">IF($N171="","",INDEX('ALL ITEMS'!$D:$D,$N171))</f>
        <v/>
      </c>
      <c r="E171" s="53" t="str">
        <f aca="false">IF($N171="","",INDEX('ALL ITEMS'!$E:$E,$N171))</f>
        <v/>
      </c>
      <c r="F171" s="53" t="str">
        <f aca="false">IF($N171="","",INDEX('ALL ITEMS'!$F:$F,$N171))</f>
        <v/>
      </c>
      <c r="G171" s="53" t="str">
        <f aca="false">IF($N171="","",INDEX('ALL ITEMS'!$G:$G,$N171))</f>
        <v/>
      </c>
      <c r="H171" s="52" t="str">
        <f aca="false">IF($N171="","",INDEX('ALL ITEMS'!$H:$H,$N171))</f>
        <v/>
      </c>
      <c r="I171" s="54" t="str">
        <f aca="false">IF($N171="","",INDEX('ALL ITEMS'!$I:$I,$N171))</f>
        <v/>
      </c>
      <c r="J171" s="54" t="str">
        <f aca="false">IF($N171="","",INDEX('ALL ITEMS'!$J:$J,$N171))</f>
        <v/>
      </c>
      <c r="K171" s="54" t="str">
        <f aca="false">IF($N171="","",INDEX('ALL ITEMS'!$K:$K,$N171))</f>
        <v/>
      </c>
      <c r="L171" s="52" t="str">
        <f aca="false">IF($N171="","",INDEX('ALL ITEMS'!$L:$L,$N171))</f>
        <v/>
      </c>
      <c r="N171" s="0" t="str">
        <f aca="false">IF(ROWS($N$10:N171)&gt;$C$7,"",SMALL('ALL ITEMS'!$M$3:$M$764,ROWS($N$10:N171)))</f>
        <v/>
      </c>
    </row>
    <row r="172" customFormat="false" ht="15" hidden="false" customHeight="false" outlineLevel="0" collapsed="false">
      <c r="A172" s="52" t="str">
        <f aca="false">IF($N172="","",ROWS($N$10:N172))</f>
        <v/>
      </c>
      <c r="B172" s="52" t="str">
        <f aca="false">IF($N172="","",INDEX('ALL ITEMS'!$B:$B,$N172))</f>
        <v/>
      </c>
      <c r="C172" s="53" t="str">
        <f aca="false">IF($N172="","",INDEX('ALL ITEMS'!$A:$A,$N172))</f>
        <v/>
      </c>
      <c r="D172" s="53" t="str">
        <f aca="false">IF($N172="","",INDEX('ALL ITEMS'!$D:$D,$N172))</f>
        <v/>
      </c>
      <c r="E172" s="53" t="str">
        <f aca="false">IF($N172="","",INDEX('ALL ITEMS'!$E:$E,$N172))</f>
        <v/>
      </c>
      <c r="F172" s="53" t="str">
        <f aca="false">IF($N172="","",INDEX('ALL ITEMS'!$F:$F,$N172))</f>
        <v/>
      </c>
      <c r="G172" s="53" t="str">
        <f aca="false">IF($N172="","",INDEX('ALL ITEMS'!$G:$G,$N172))</f>
        <v/>
      </c>
      <c r="H172" s="52" t="str">
        <f aca="false">IF($N172="","",INDEX('ALL ITEMS'!$H:$H,$N172))</f>
        <v/>
      </c>
      <c r="I172" s="54" t="str">
        <f aca="false">IF($N172="","",INDEX('ALL ITEMS'!$I:$I,$N172))</f>
        <v/>
      </c>
      <c r="J172" s="54" t="str">
        <f aca="false">IF($N172="","",INDEX('ALL ITEMS'!$J:$J,$N172))</f>
        <v/>
      </c>
      <c r="K172" s="54" t="str">
        <f aca="false">IF($N172="","",INDEX('ALL ITEMS'!$K:$K,$N172))</f>
        <v/>
      </c>
      <c r="L172" s="52" t="str">
        <f aca="false">IF($N172="","",INDEX('ALL ITEMS'!$L:$L,$N172))</f>
        <v/>
      </c>
      <c r="N172" s="0" t="str">
        <f aca="false">IF(ROWS($N$10:N172)&gt;$C$7,"",SMALL('ALL ITEMS'!$M$3:$M$764,ROWS($N$10:N172)))</f>
        <v/>
      </c>
    </row>
    <row r="173" customFormat="false" ht="15" hidden="false" customHeight="false" outlineLevel="0" collapsed="false">
      <c r="A173" s="52" t="str">
        <f aca="false">IF($N173="","",ROWS($N$10:N173))</f>
        <v/>
      </c>
      <c r="B173" s="52" t="str">
        <f aca="false">IF($N173="","",INDEX('ALL ITEMS'!$B:$B,$N173))</f>
        <v/>
      </c>
      <c r="C173" s="53" t="str">
        <f aca="false">IF($N173="","",INDEX('ALL ITEMS'!$A:$A,$N173))</f>
        <v/>
      </c>
      <c r="D173" s="53" t="str">
        <f aca="false">IF($N173="","",INDEX('ALL ITEMS'!$D:$D,$N173))</f>
        <v/>
      </c>
      <c r="E173" s="53" t="str">
        <f aca="false">IF($N173="","",INDEX('ALL ITEMS'!$E:$E,$N173))</f>
        <v/>
      </c>
      <c r="F173" s="53" t="str">
        <f aca="false">IF($N173="","",INDEX('ALL ITEMS'!$F:$F,$N173))</f>
        <v/>
      </c>
      <c r="G173" s="53" t="str">
        <f aca="false">IF($N173="","",INDEX('ALL ITEMS'!$G:$G,$N173))</f>
        <v/>
      </c>
      <c r="H173" s="52" t="str">
        <f aca="false">IF($N173="","",INDEX('ALL ITEMS'!$H:$H,$N173))</f>
        <v/>
      </c>
      <c r="I173" s="54" t="str">
        <f aca="false">IF($N173="","",INDEX('ALL ITEMS'!$I:$I,$N173))</f>
        <v/>
      </c>
      <c r="J173" s="54" t="str">
        <f aca="false">IF($N173="","",INDEX('ALL ITEMS'!$J:$J,$N173))</f>
        <v/>
      </c>
      <c r="K173" s="54" t="str">
        <f aca="false">IF($N173="","",INDEX('ALL ITEMS'!$K:$K,$N173))</f>
        <v/>
      </c>
      <c r="L173" s="52" t="str">
        <f aca="false">IF($N173="","",INDEX('ALL ITEMS'!$L:$L,$N173))</f>
        <v/>
      </c>
      <c r="N173" s="0" t="str">
        <f aca="false">IF(ROWS($N$10:N173)&gt;$C$7,"",SMALL('ALL ITEMS'!$M$3:$M$764,ROWS($N$10:N173)))</f>
        <v/>
      </c>
    </row>
    <row r="174" customFormat="false" ht="15" hidden="false" customHeight="false" outlineLevel="0" collapsed="false">
      <c r="A174" s="52" t="str">
        <f aca="false">IF($N174="","",ROWS($N$10:N174))</f>
        <v/>
      </c>
      <c r="B174" s="52" t="str">
        <f aca="false">IF($N174="","",INDEX('ALL ITEMS'!$B:$B,$N174))</f>
        <v/>
      </c>
      <c r="C174" s="53" t="str">
        <f aca="false">IF($N174="","",INDEX('ALL ITEMS'!$A:$A,$N174))</f>
        <v/>
      </c>
      <c r="D174" s="53" t="str">
        <f aca="false">IF($N174="","",INDEX('ALL ITEMS'!$D:$D,$N174))</f>
        <v/>
      </c>
      <c r="E174" s="53" t="str">
        <f aca="false">IF($N174="","",INDEX('ALL ITEMS'!$E:$E,$N174))</f>
        <v/>
      </c>
      <c r="F174" s="53" t="str">
        <f aca="false">IF($N174="","",INDEX('ALL ITEMS'!$F:$F,$N174))</f>
        <v/>
      </c>
      <c r="G174" s="53" t="str">
        <f aca="false">IF($N174="","",INDEX('ALL ITEMS'!$G:$G,$N174))</f>
        <v/>
      </c>
      <c r="H174" s="52" t="str">
        <f aca="false">IF($N174="","",INDEX('ALL ITEMS'!$H:$H,$N174))</f>
        <v/>
      </c>
      <c r="I174" s="54" t="str">
        <f aca="false">IF($N174="","",INDEX('ALL ITEMS'!$I:$I,$N174))</f>
        <v/>
      </c>
      <c r="J174" s="54" t="str">
        <f aca="false">IF($N174="","",INDEX('ALL ITEMS'!$J:$J,$N174))</f>
        <v/>
      </c>
      <c r="K174" s="54" t="str">
        <f aca="false">IF($N174="","",INDEX('ALL ITEMS'!$K:$K,$N174))</f>
        <v/>
      </c>
      <c r="L174" s="52" t="str">
        <f aca="false">IF($N174="","",INDEX('ALL ITEMS'!$L:$L,$N174))</f>
        <v/>
      </c>
      <c r="N174" s="0" t="str">
        <f aca="false">IF(ROWS($N$10:N174)&gt;$C$7,"",SMALL('ALL ITEMS'!$M$3:$M$764,ROWS($N$10:N174)))</f>
        <v/>
      </c>
    </row>
    <row r="175" customFormat="false" ht="15" hidden="false" customHeight="false" outlineLevel="0" collapsed="false">
      <c r="A175" s="52" t="str">
        <f aca="false">IF($N175="","",ROWS($N$10:N175))</f>
        <v/>
      </c>
      <c r="B175" s="52" t="str">
        <f aca="false">IF($N175="","",INDEX('ALL ITEMS'!$B:$B,$N175))</f>
        <v/>
      </c>
      <c r="C175" s="53" t="str">
        <f aca="false">IF($N175="","",INDEX('ALL ITEMS'!$A:$A,$N175))</f>
        <v/>
      </c>
      <c r="D175" s="53" t="str">
        <f aca="false">IF($N175="","",INDEX('ALL ITEMS'!$D:$D,$N175))</f>
        <v/>
      </c>
      <c r="E175" s="53" t="str">
        <f aca="false">IF($N175="","",INDEX('ALL ITEMS'!$E:$E,$N175))</f>
        <v/>
      </c>
      <c r="F175" s="53" t="str">
        <f aca="false">IF($N175="","",INDEX('ALL ITEMS'!$F:$F,$N175))</f>
        <v/>
      </c>
      <c r="G175" s="53" t="str">
        <f aca="false">IF($N175="","",INDEX('ALL ITEMS'!$G:$G,$N175))</f>
        <v/>
      </c>
      <c r="H175" s="52" t="str">
        <f aca="false">IF($N175="","",INDEX('ALL ITEMS'!$H:$H,$N175))</f>
        <v/>
      </c>
      <c r="I175" s="54" t="str">
        <f aca="false">IF($N175="","",INDEX('ALL ITEMS'!$I:$I,$N175))</f>
        <v/>
      </c>
      <c r="J175" s="54" t="str">
        <f aca="false">IF($N175="","",INDEX('ALL ITEMS'!$J:$J,$N175))</f>
        <v/>
      </c>
      <c r="K175" s="54" t="str">
        <f aca="false">IF($N175="","",INDEX('ALL ITEMS'!$K:$K,$N175))</f>
        <v/>
      </c>
      <c r="L175" s="52" t="str">
        <f aca="false">IF($N175="","",INDEX('ALL ITEMS'!$L:$L,$N175))</f>
        <v/>
      </c>
      <c r="N175" s="0" t="str">
        <f aca="false">IF(ROWS($N$10:N175)&gt;$C$7,"",SMALL('ALL ITEMS'!$M$3:$M$764,ROWS($N$10:N175)))</f>
        <v/>
      </c>
    </row>
    <row r="176" customFormat="false" ht="15" hidden="false" customHeight="false" outlineLevel="0" collapsed="false">
      <c r="A176" s="52" t="str">
        <f aca="false">IF($N176="","",ROWS($N$10:N176))</f>
        <v/>
      </c>
      <c r="B176" s="52" t="str">
        <f aca="false">IF($N176="","",INDEX('ALL ITEMS'!$B:$B,$N176))</f>
        <v/>
      </c>
      <c r="C176" s="53" t="str">
        <f aca="false">IF($N176="","",INDEX('ALL ITEMS'!$A:$A,$N176))</f>
        <v/>
      </c>
      <c r="D176" s="53" t="str">
        <f aca="false">IF($N176="","",INDEX('ALL ITEMS'!$D:$D,$N176))</f>
        <v/>
      </c>
      <c r="E176" s="53" t="str">
        <f aca="false">IF($N176="","",INDEX('ALL ITEMS'!$E:$E,$N176))</f>
        <v/>
      </c>
      <c r="F176" s="53" t="str">
        <f aca="false">IF($N176="","",INDEX('ALL ITEMS'!$F:$F,$N176))</f>
        <v/>
      </c>
      <c r="G176" s="53" t="str">
        <f aca="false">IF($N176="","",INDEX('ALL ITEMS'!$G:$G,$N176))</f>
        <v/>
      </c>
      <c r="H176" s="52" t="str">
        <f aca="false">IF($N176="","",INDEX('ALL ITEMS'!$H:$H,$N176))</f>
        <v/>
      </c>
      <c r="I176" s="54" t="str">
        <f aca="false">IF($N176="","",INDEX('ALL ITEMS'!$I:$I,$N176))</f>
        <v/>
      </c>
      <c r="J176" s="54" t="str">
        <f aca="false">IF($N176="","",INDEX('ALL ITEMS'!$J:$J,$N176))</f>
        <v/>
      </c>
      <c r="K176" s="54" t="str">
        <f aca="false">IF($N176="","",INDEX('ALL ITEMS'!$K:$K,$N176))</f>
        <v/>
      </c>
      <c r="L176" s="52" t="str">
        <f aca="false">IF($N176="","",INDEX('ALL ITEMS'!$L:$L,$N176))</f>
        <v/>
      </c>
      <c r="N176" s="0" t="str">
        <f aca="false">IF(ROWS($N$10:N176)&gt;$C$7,"",SMALL('ALL ITEMS'!$M$3:$M$764,ROWS($N$10:N176)))</f>
        <v/>
      </c>
    </row>
    <row r="177" customFormat="false" ht="15" hidden="false" customHeight="false" outlineLevel="0" collapsed="false">
      <c r="A177" s="52" t="str">
        <f aca="false">IF($N177="","",ROWS($N$10:N177))</f>
        <v/>
      </c>
      <c r="B177" s="52" t="str">
        <f aca="false">IF($N177="","",INDEX('ALL ITEMS'!$B:$B,$N177))</f>
        <v/>
      </c>
      <c r="C177" s="53" t="str">
        <f aca="false">IF($N177="","",INDEX('ALL ITEMS'!$A:$A,$N177))</f>
        <v/>
      </c>
      <c r="D177" s="53" t="str">
        <f aca="false">IF($N177="","",INDEX('ALL ITEMS'!$D:$D,$N177))</f>
        <v/>
      </c>
      <c r="E177" s="53" t="str">
        <f aca="false">IF($N177="","",INDEX('ALL ITEMS'!$E:$E,$N177))</f>
        <v/>
      </c>
      <c r="F177" s="53" t="str">
        <f aca="false">IF($N177="","",INDEX('ALL ITEMS'!$F:$F,$N177))</f>
        <v/>
      </c>
      <c r="G177" s="53" t="str">
        <f aca="false">IF($N177="","",INDEX('ALL ITEMS'!$G:$G,$N177))</f>
        <v/>
      </c>
      <c r="H177" s="52" t="str">
        <f aca="false">IF($N177="","",INDEX('ALL ITEMS'!$H:$H,$N177))</f>
        <v/>
      </c>
      <c r="I177" s="54" t="str">
        <f aca="false">IF($N177="","",INDEX('ALL ITEMS'!$I:$I,$N177))</f>
        <v/>
      </c>
      <c r="J177" s="54" t="str">
        <f aca="false">IF($N177="","",INDEX('ALL ITEMS'!$J:$J,$N177))</f>
        <v/>
      </c>
      <c r="K177" s="54" t="str">
        <f aca="false">IF($N177="","",INDEX('ALL ITEMS'!$K:$K,$N177))</f>
        <v/>
      </c>
      <c r="L177" s="52" t="str">
        <f aca="false">IF($N177="","",INDEX('ALL ITEMS'!$L:$L,$N177))</f>
        <v/>
      </c>
      <c r="N177" s="0" t="str">
        <f aca="false">IF(ROWS($N$10:N177)&gt;$C$7,"",SMALL('ALL ITEMS'!$M$3:$M$764,ROWS($N$10:N177)))</f>
        <v/>
      </c>
    </row>
    <row r="178" customFormat="false" ht="15" hidden="false" customHeight="false" outlineLevel="0" collapsed="false">
      <c r="A178" s="52" t="str">
        <f aca="false">IF($N178="","",ROWS($N$10:N178))</f>
        <v/>
      </c>
      <c r="B178" s="52" t="str">
        <f aca="false">IF($N178="","",INDEX('ALL ITEMS'!$B:$B,$N178))</f>
        <v/>
      </c>
      <c r="C178" s="53" t="str">
        <f aca="false">IF($N178="","",INDEX('ALL ITEMS'!$A:$A,$N178))</f>
        <v/>
      </c>
      <c r="D178" s="53" t="str">
        <f aca="false">IF($N178="","",INDEX('ALL ITEMS'!$D:$D,$N178))</f>
        <v/>
      </c>
      <c r="E178" s="53" t="str">
        <f aca="false">IF($N178="","",INDEX('ALL ITEMS'!$E:$E,$N178))</f>
        <v/>
      </c>
      <c r="F178" s="53" t="str">
        <f aca="false">IF($N178="","",INDEX('ALL ITEMS'!$F:$F,$N178))</f>
        <v/>
      </c>
      <c r="G178" s="53" t="str">
        <f aca="false">IF($N178="","",INDEX('ALL ITEMS'!$G:$G,$N178))</f>
        <v/>
      </c>
      <c r="H178" s="52" t="str">
        <f aca="false">IF($N178="","",INDEX('ALL ITEMS'!$H:$H,$N178))</f>
        <v/>
      </c>
      <c r="I178" s="54" t="str">
        <f aca="false">IF($N178="","",INDEX('ALL ITEMS'!$I:$I,$N178))</f>
        <v/>
      </c>
      <c r="J178" s="54" t="str">
        <f aca="false">IF($N178="","",INDEX('ALL ITEMS'!$J:$J,$N178))</f>
        <v/>
      </c>
      <c r="K178" s="54" t="str">
        <f aca="false">IF($N178="","",INDEX('ALL ITEMS'!$K:$K,$N178))</f>
        <v/>
      </c>
      <c r="L178" s="52" t="str">
        <f aca="false">IF($N178="","",INDEX('ALL ITEMS'!$L:$L,$N178))</f>
        <v/>
      </c>
      <c r="N178" s="0" t="str">
        <f aca="false">IF(ROWS($N$10:N178)&gt;$C$7,"",SMALL('ALL ITEMS'!$M$3:$M$764,ROWS($N$10:N178)))</f>
        <v/>
      </c>
    </row>
    <row r="179" customFormat="false" ht="15" hidden="false" customHeight="false" outlineLevel="0" collapsed="false">
      <c r="A179" s="52" t="str">
        <f aca="false">IF($N179="","",ROWS($N$10:N179))</f>
        <v/>
      </c>
      <c r="B179" s="52" t="str">
        <f aca="false">IF($N179="","",INDEX('ALL ITEMS'!$B:$B,$N179))</f>
        <v/>
      </c>
      <c r="C179" s="53" t="str">
        <f aca="false">IF($N179="","",INDEX('ALL ITEMS'!$A:$A,$N179))</f>
        <v/>
      </c>
      <c r="D179" s="53" t="str">
        <f aca="false">IF($N179="","",INDEX('ALL ITEMS'!$D:$D,$N179))</f>
        <v/>
      </c>
      <c r="E179" s="53" t="str">
        <f aca="false">IF($N179="","",INDEX('ALL ITEMS'!$E:$E,$N179))</f>
        <v/>
      </c>
      <c r="F179" s="53" t="str">
        <f aca="false">IF($N179="","",INDEX('ALL ITEMS'!$F:$F,$N179))</f>
        <v/>
      </c>
      <c r="G179" s="53" t="str">
        <f aca="false">IF($N179="","",INDEX('ALL ITEMS'!$G:$G,$N179))</f>
        <v/>
      </c>
      <c r="H179" s="52" t="str">
        <f aca="false">IF($N179="","",INDEX('ALL ITEMS'!$H:$H,$N179))</f>
        <v/>
      </c>
      <c r="I179" s="54" t="str">
        <f aca="false">IF($N179="","",INDEX('ALL ITEMS'!$I:$I,$N179))</f>
        <v/>
      </c>
      <c r="J179" s="54" t="str">
        <f aca="false">IF($N179="","",INDEX('ALL ITEMS'!$J:$J,$N179))</f>
        <v/>
      </c>
      <c r="K179" s="54" t="str">
        <f aca="false">IF($N179="","",INDEX('ALL ITEMS'!$K:$K,$N179))</f>
        <v/>
      </c>
      <c r="L179" s="52" t="str">
        <f aca="false">IF($N179="","",INDEX('ALL ITEMS'!$L:$L,$N179))</f>
        <v/>
      </c>
      <c r="N179" s="0" t="str">
        <f aca="false">IF(ROWS($N$10:N179)&gt;$C$7,"",SMALL('ALL ITEMS'!$M$3:$M$764,ROWS($N$10:N179)))</f>
        <v/>
      </c>
    </row>
    <row r="180" customFormat="false" ht="15" hidden="false" customHeight="false" outlineLevel="0" collapsed="false">
      <c r="A180" s="52" t="str">
        <f aca="false">IF($N180="","",ROWS($N$10:N180))</f>
        <v/>
      </c>
      <c r="B180" s="52" t="str">
        <f aca="false">IF($N180="","",INDEX('ALL ITEMS'!$B:$B,$N180))</f>
        <v/>
      </c>
      <c r="C180" s="53" t="str">
        <f aca="false">IF($N180="","",INDEX('ALL ITEMS'!$A:$A,$N180))</f>
        <v/>
      </c>
      <c r="D180" s="53" t="str">
        <f aca="false">IF($N180="","",INDEX('ALL ITEMS'!$D:$D,$N180))</f>
        <v/>
      </c>
      <c r="E180" s="53" t="str">
        <f aca="false">IF($N180="","",INDEX('ALL ITEMS'!$E:$E,$N180))</f>
        <v/>
      </c>
      <c r="F180" s="53" t="str">
        <f aca="false">IF($N180="","",INDEX('ALL ITEMS'!$F:$F,$N180))</f>
        <v/>
      </c>
      <c r="G180" s="53" t="str">
        <f aca="false">IF($N180="","",INDEX('ALL ITEMS'!$G:$G,$N180))</f>
        <v/>
      </c>
      <c r="H180" s="52" t="str">
        <f aca="false">IF($N180="","",INDEX('ALL ITEMS'!$H:$H,$N180))</f>
        <v/>
      </c>
      <c r="I180" s="54" t="str">
        <f aca="false">IF($N180="","",INDEX('ALL ITEMS'!$I:$I,$N180))</f>
        <v/>
      </c>
      <c r="J180" s="54" t="str">
        <f aca="false">IF($N180="","",INDEX('ALL ITEMS'!$J:$J,$N180))</f>
        <v/>
      </c>
      <c r="K180" s="54" t="str">
        <f aca="false">IF($N180="","",INDEX('ALL ITEMS'!$K:$K,$N180))</f>
        <v/>
      </c>
      <c r="L180" s="52" t="str">
        <f aca="false">IF($N180="","",INDEX('ALL ITEMS'!$L:$L,$N180))</f>
        <v/>
      </c>
      <c r="N180" s="0" t="str">
        <f aca="false">IF(ROWS($N$10:N180)&gt;$C$7,"",SMALL('ALL ITEMS'!$M$3:$M$764,ROWS($N$10:N180)))</f>
        <v/>
      </c>
    </row>
    <row r="181" customFormat="false" ht="15" hidden="false" customHeight="false" outlineLevel="0" collapsed="false">
      <c r="A181" s="52" t="str">
        <f aca="false">IF($N181="","",ROWS($N$10:N181))</f>
        <v/>
      </c>
      <c r="B181" s="52" t="str">
        <f aca="false">IF($N181="","",INDEX('ALL ITEMS'!$B:$B,$N181))</f>
        <v/>
      </c>
      <c r="C181" s="53" t="str">
        <f aca="false">IF($N181="","",INDEX('ALL ITEMS'!$A:$A,$N181))</f>
        <v/>
      </c>
      <c r="D181" s="53" t="str">
        <f aca="false">IF($N181="","",INDEX('ALL ITEMS'!$D:$D,$N181))</f>
        <v/>
      </c>
      <c r="E181" s="53" t="str">
        <f aca="false">IF($N181="","",INDEX('ALL ITEMS'!$E:$E,$N181))</f>
        <v/>
      </c>
      <c r="F181" s="53" t="str">
        <f aca="false">IF($N181="","",INDEX('ALL ITEMS'!$F:$F,$N181))</f>
        <v/>
      </c>
      <c r="G181" s="53" t="str">
        <f aca="false">IF($N181="","",INDEX('ALL ITEMS'!$G:$G,$N181))</f>
        <v/>
      </c>
      <c r="H181" s="52" t="str">
        <f aca="false">IF($N181="","",INDEX('ALL ITEMS'!$H:$H,$N181))</f>
        <v/>
      </c>
      <c r="I181" s="54" t="str">
        <f aca="false">IF($N181="","",INDEX('ALL ITEMS'!$I:$I,$N181))</f>
        <v/>
      </c>
      <c r="J181" s="54" t="str">
        <f aca="false">IF($N181="","",INDEX('ALL ITEMS'!$J:$J,$N181))</f>
        <v/>
      </c>
      <c r="K181" s="54" t="str">
        <f aca="false">IF($N181="","",INDEX('ALL ITEMS'!$K:$K,$N181))</f>
        <v/>
      </c>
      <c r="L181" s="52" t="str">
        <f aca="false">IF($N181="","",INDEX('ALL ITEMS'!$L:$L,$N181))</f>
        <v/>
      </c>
      <c r="N181" s="0" t="str">
        <f aca="false">IF(ROWS($N$10:N181)&gt;$C$7,"",SMALL('ALL ITEMS'!$M$3:$M$764,ROWS($N$10:N181)))</f>
        <v/>
      </c>
    </row>
    <row r="182" customFormat="false" ht="15" hidden="false" customHeight="false" outlineLevel="0" collapsed="false">
      <c r="A182" s="52" t="str">
        <f aca="false">IF($N182="","",ROWS($N$10:N182))</f>
        <v/>
      </c>
      <c r="B182" s="52" t="str">
        <f aca="false">IF($N182="","",INDEX('ALL ITEMS'!$B:$B,$N182))</f>
        <v/>
      </c>
      <c r="C182" s="53" t="str">
        <f aca="false">IF($N182="","",INDEX('ALL ITEMS'!$A:$A,$N182))</f>
        <v/>
      </c>
      <c r="D182" s="53" t="str">
        <f aca="false">IF($N182="","",INDEX('ALL ITEMS'!$D:$D,$N182))</f>
        <v/>
      </c>
      <c r="E182" s="53" t="str">
        <f aca="false">IF($N182="","",INDEX('ALL ITEMS'!$E:$E,$N182))</f>
        <v/>
      </c>
      <c r="F182" s="53" t="str">
        <f aca="false">IF($N182="","",INDEX('ALL ITEMS'!$F:$F,$N182))</f>
        <v/>
      </c>
      <c r="G182" s="53" t="str">
        <f aca="false">IF($N182="","",INDEX('ALL ITEMS'!$G:$G,$N182))</f>
        <v/>
      </c>
      <c r="H182" s="52" t="str">
        <f aca="false">IF($N182="","",INDEX('ALL ITEMS'!$H:$H,$N182))</f>
        <v/>
      </c>
      <c r="I182" s="54" t="str">
        <f aca="false">IF($N182="","",INDEX('ALL ITEMS'!$I:$I,$N182))</f>
        <v/>
      </c>
      <c r="J182" s="54" t="str">
        <f aca="false">IF($N182="","",INDEX('ALL ITEMS'!$J:$J,$N182))</f>
        <v/>
      </c>
      <c r="K182" s="54" t="str">
        <f aca="false">IF($N182="","",INDEX('ALL ITEMS'!$K:$K,$N182))</f>
        <v/>
      </c>
      <c r="L182" s="52" t="str">
        <f aca="false">IF($N182="","",INDEX('ALL ITEMS'!$L:$L,$N182))</f>
        <v/>
      </c>
      <c r="N182" s="0" t="str">
        <f aca="false">IF(ROWS($N$10:N182)&gt;$C$7,"",SMALL('ALL ITEMS'!$M$3:$M$764,ROWS($N$10:N182)))</f>
        <v/>
      </c>
    </row>
    <row r="183" customFormat="false" ht="15" hidden="false" customHeight="false" outlineLevel="0" collapsed="false">
      <c r="A183" s="52" t="str">
        <f aca="false">IF($N183="","",ROWS($N$10:N183))</f>
        <v/>
      </c>
      <c r="B183" s="52" t="str">
        <f aca="false">IF($N183="","",INDEX('ALL ITEMS'!$B:$B,$N183))</f>
        <v/>
      </c>
      <c r="C183" s="53" t="str">
        <f aca="false">IF($N183="","",INDEX('ALL ITEMS'!$A:$A,$N183))</f>
        <v/>
      </c>
      <c r="D183" s="53" t="str">
        <f aca="false">IF($N183="","",INDEX('ALL ITEMS'!$D:$D,$N183))</f>
        <v/>
      </c>
      <c r="E183" s="53" t="str">
        <f aca="false">IF($N183="","",INDEX('ALL ITEMS'!$E:$E,$N183))</f>
        <v/>
      </c>
      <c r="F183" s="53" t="str">
        <f aca="false">IF($N183="","",INDEX('ALL ITEMS'!$F:$F,$N183))</f>
        <v/>
      </c>
      <c r="G183" s="53" t="str">
        <f aca="false">IF($N183="","",INDEX('ALL ITEMS'!$G:$G,$N183))</f>
        <v/>
      </c>
      <c r="H183" s="52" t="str">
        <f aca="false">IF($N183="","",INDEX('ALL ITEMS'!$H:$H,$N183))</f>
        <v/>
      </c>
      <c r="I183" s="54" t="str">
        <f aca="false">IF($N183="","",INDEX('ALL ITEMS'!$I:$I,$N183))</f>
        <v/>
      </c>
      <c r="J183" s="54" t="str">
        <f aca="false">IF($N183="","",INDEX('ALL ITEMS'!$J:$J,$N183))</f>
        <v/>
      </c>
      <c r="K183" s="54" t="str">
        <f aca="false">IF($N183="","",INDEX('ALL ITEMS'!$K:$K,$N183))</f>
        <v/>
      </c>
      <c r="L183" s="52" t="str">
        <f aca="false">IF($N183="","",INDEX('ALL ITEMS'!$L:$L,$N183))</f>
        <v/>
      </c>
      <c r="N183" s="0" t="str">
        <f aca="false">IF(ROWS($N$10:N183)&gt;$C$7,"",SMALL('ALL ITEMS'!$M$3:$M$764,ROWS($N$10:N183)))</f>
        <v/>
      </c>
    </row>
    <row r="184" customFormat="false" ht="15" hidden="false" customHeight="false" outlineLevel="0" collapsed="false">
      <c r="A184" s="52" t="str">
        <f aca="false">IF($N184="","",ROWS($N$10:N184))</f>
        <v/>
      </c>
      <c r="B184" s="52" t="str">
        <f aca="false">IF($N184="","",INDEX('ALL ITEMS'!$B:$B,$N184))</f>
        <v/>
      </c>
      <c r="C184" s="53" t="str">
        <f aca="false">IF($N184="","",INDEX('ALL ITEMS'!$A:$A,$N184))</f>
        <v/>
      </c>
      <c r="D184" s="53" t="str">
        <f aca="false">IF($N184="","",INDEX('ALL ITEMS'!$D:$D,$N184))</f>
        <v/>
      </c>
      <c r="E184" s="53" t="str">
        <f aca="false">IF($N184="","",INDEX('ALL ITEMS'!$E:$E,$N184))</f>
        <v/>
      </c>
      <c r="F184" s="53" t="str">
        <f aca="false">IF($N184="","",INDEX('ALL ITEMS'!$F:$F,$N184))</f>
        <v/>
      </c>
      <c r="G184" s="53" t="str">
        <f aca="false">IF($N184="","",INDEX('ALL ITEMS'!$G:$G,$N184))</f>
        <v/>
      </c>
      <c r="H184" s="52" t="str">
        <f aca="false">IF($N184="","",INDEX('ALL ITEMS'!$H:$H,$N184))</f>
        <v/>
      </c>
      <c r="I184" s="54" t="str">
        <f aca="false">IF($N184="","",INDEX('ALL ITEMS'!$I:$I,$N184))</f>
        <v/>
      </c>
      <c r="J184" s="54" t="str">
        <f aca="false">IF($N184="","",INDEX('ALL ITEMS'!$J:$J,$N184))</f>
        <v/>
      </c>
      <c r="K184" s="54" t="str">
        <f aca="false">IF($N184="","",INDEX('ALL ITEMS'!$K:$K,$N184))</f>
        <v/>
      </c>
      <c r="L184" s="52" t="str">
        <f aca="false">IF($N184="","",INDEX('ALL ITEMS'!$L:$L,$N184))</f>
        <v/>
      </c>
      <c r="N184" s="0" t="str">
        <f aca="false">IF(ROWS($N$10:N184)&gt;$C$7,"",SMALL('ALL ITEMS'!$M$3:$M$764,ROWS($N$10:N184)))</f>
        <v/>
      </c>
    </row>
    <row r="185" customFormat="false" ht="15" hidden="false" customHeight="false" outlineLevel="0" collapsed="false">
      <c r="A185" s="52" t="str">
        <f aca="false">IF($N185="","",ROWS($N$10:N185))</f>
        <v/>
      </c>
      <c r="B185" s="52" t="str">
        <f aca="false">IF($N185="","",INDEX('ALL ITEMS'!$B:$B,$N185))</f>
        <v/>
      </c>
      <c r="C185" s="53" t="str">
        <f aca="false">IF($N185="","",INDEX('ALL ITEMS'!$A:$A,$N185))</f>
        <v/>
      </c>
      <c r="D185" s="53" t="str">
        <f aca="false">IF($N185="","",INDEX('ALL ITEMS'!$D:$D,$N185))</f>
        <v/>
      </c>
      <c r="E185" s="53" t="str">
        <f aca="false">IF($N185="","",INDEX('ALL ITEMS'!$E:$E,$N185))</f>
        <v/>
      </c>
      <c r="F185" s="53" t="str">
        <f aca="false">IF($N185="","",INDEX('ALL ITEMS'!$F:$F,$N185))</f>
        <v/>
      </c>
      <c r="G185" s="53" t="str">
        <f aca="false">IF($N185="","",INDEX('ALL ITEMS'!$G:$G,$N185))</f>
        <v/>
      </c>
      <c r="H185" s="52" t="str">
        <f aca="false">IF($N185="","",INDEX('ALL ITEMS'!$H:$H,$N185))</f>
        <v/>
      </c>
      <c r="I185" s="54" t="str">
        <f aca="false">IF($N185="","",INDEX('ALL ITEMS'!$I:$I,$N185))</f>
        <v/>
      </c>
      <c r="J185" s="54" t="str">
        <f aca="false">IF($N185="","",INDEX('ALL ITEMS'!$J:$J,$N185))</f>
        <v/>
      </c>
      <c r="K185" s="54" t="str">
        <f aca="false">IF($N185="","",INDEX('ALL ITEMS'!$K:$K,$N185))</f>
        <v/>
      </c>
      <c r="L185" s="52" t="str">
        <f aca="false">IF($N185="","",INDEX('ALL ITEMS'!$L:$L,$N185))</f>
        <v/>
      </c>
      <c r="N185" s="0" t="str">
        <f aca="false">IF(ROWS($N$10:N185)&gt;$C$7,"",SMALL('ALL ITEMS'!$M$3:$M$764,ROWS($N$10:N185)))</f>
        <v/>
      </c>
    </row>
    <row r="186" customFormat="false" ht="15" hidden="false" customHeight="false" outlineLevel="0" collapsed="false">
      <c r="A186" s="52" t="str">
        <f aca="false">IF($N186="","",ROWS($N$10:N186))</f>
        <v/>
      </c>
      <c r="B186" s="52" t="str">
        <f aca="false">IF($N186="","",INDEX('ALL ITEMS'!$B:$B,$N186))</f>
        <v/>
      </c>
      <c r="C186" s="53" t="str">
        <f aca="false">IF($N186="","",INDEX('ALL ITEMS'!$A:$A,$N186))</f>
        <v/>
      </c>
      <c r="D186" s="53" t="str">
        <f aca="false">IF($N186="","",INDEX('ALL ITEMS'!$D:$D,$N186))</f>
        <v/>
      </c>
      <c r="E186" s="53" t="str">
        <f aca="false">IF($N186="","",INDEX('ALL ITEMS'!$E:$E,$N186))</f>
        <v/>
      </c>
      <c r="F186" s="53" t="str">
        <f aca="false">IF($N186="","",INDEX('ALL ITEMS'!$F:$F,$N186))</f>
        <v/>
      </c>
      <c r="G186" s="53" t="str">
        <f aca="false">IF($N186="","",INDEX('ALL ITEMS'!$G:$G,$N186))</f>
        <v/>
      </c>
      <c r="H186" s="52" t="str">
        <f aca="false">IF($N186="","",INDEX('ALL ITEMS'!$H:$H,$N186))</f>
        <v/>
      </c>
      <c r="I186" s="54" t="str">
        <f aca="false">IF($N186="","",INDEX('ALL ITEMS'!$I:$I,$N186))</f>
        <v/>
      </c>
      <c r="J186" s="54" t="str">
        <f aca="false">IF($N186="","",INDEX('ALL ITEMS'!$J:$J,$N186))</f>
        <v/>
      </c>
      <c r="K186" s="54" t="str">
        <f aca="false">IF($N186="","",INDEX('ALL ITEMS'!$K:$K,$N186))</f>
        <v/>
      </c>
      <c r="L186" s="52" t="str">
        <f aca="false">IF($N186="","",INDEX('ALL ITEMS'!$L:$L,$N186))</f>
        <v/>
      </c>
      <c r="N186" s="0" t="str">
        <f aca="false">IF(ROWS($N$10:N186)&gt;$C$7,"",SMALL('ALL ITEMS'!$M$3:$M$764,ROWS($N$10:N186)))</f>
        <v/>
      </c>
    </row>
    <row r="187" customFormat="false" ht="15" hidden="false" customHeight="false" outlineLevel="0" collapsed="false">
      <c r="A187" s="52" t="str">
        <f aca="false">IF($N187="","",ROWS($N$10:N187))</f>
        <v/>
      </c>
      <c r="B187" s="52" t="str">
        <f aca="false">IF($N187="","",INDEX('ALL ITEMS'!$B:$B,$N187))</f>
        <v/>
      </c>
      <c r="C187" s="53" t="str">
        <f aca="false">IF($N187="","",INDEX('ALL ITEMS'!$A:$A,$N187))</f>
        <v/>
      </c>
      <c r="D187" s="53" t="str">
        <f aca="false">IF($N187="","",INDEX('ALL ITEMS'!$D:$D,$N187))</f>
        <v/>
      </c>
      <c r="E187" s="53" t="str">
        <f aca="false">IF($N187="","",INDEX('ALL ITEMS'!$E:$E,$N187))</f>
        <v/>
      </c>
      <c r="F187" s="53" t="str">
        <f aca="false">IF($N187="","",INDEX('ALL ITEMS'!$F:$F,$N187))</f>
        <v/>
      </c>
      <c r="G187" s="53" t="str">
        <f aca="false">IF($N187="","",INDEX('ALL ITEMS'!$G:$G,$N187))</f>
        <v/>
      </c>
      <c r="H187" s="52" t="str">
        <f aca="false">IF($N187="","",INDEX('ALL ITEMS'!$H:$H,$N187))</f>
        <v/>
      </c>
      <c r="I187" s="54" t="str">
        <f aca="false">IF($N187="","",INDEX('ALL ITEMS'!$I:$I,$N187))</f>
        <v/>
      </c>
      <c r="J187" s="54" t="str">
        <f aca="false">IF($N187="","",INDEX('ALL ITEMS'!$J:$J,$N187))</f>
        <v/>
      </c>
      <c r="K187" s="54" t="str">
        <f aca="false">IF($N187="","",INDEX('ALL ITEMS'!$K:$K,$N187))</f>
        <v/>
      </c>
      <c r="L187" s="52" t="str">
        <f aca="false">IF($N187="","",INDEX('ALL ITEMS'!$L:$L,$N187))</f>
        <v/>
      </c>
      <c r="N187" s="0" t="str">
        <f aca="false">IF(ROWS($N$10:N187)&gt;$C$7,"",SMALL('ALL ITEMS'!$M$3:$M$764,ROWS($N$10:N187)))</f>
        <v/>
      </c>
    </row>
    <row r="188" customFormat="false" ht="15" hidden="false" customHeight="false" outlineLevel="0" collapsed="false">
      <c r="A188" s="52" t="str">
        <f aca="false">IF($N188="","",ROWS($N$10:N188))</f>
        <v/>
      </c>
      <c r="B188" s="52" t="str">
        <f aca="false">IF($N188="","",INDEX('ALL ITEMS'!$B:$B,$N188))</f>
        <v/>
      </c>
      <c r="C188" s="53" t="str">
        <f aca="false">IF($N188="","",INDEX('ALL ITEMS'!$A:$A,$N188))</f>
        <v/>
      </c>
      <c r="D188" s="53" t="str">
        <f aca="false">IF($N188="","",INDEX('ALL ITEMS'!$D:$D,$N188))</f>
        <v/>
      </c>
      <c r="E188" s="53" t="str">
        <f aca="false">IF($N188="","",INDEX('ALL ITEMS'!$E:$E,$N188))</f>
        <v/>
      </c>
      <c r="F188" s="53" t="str">
        <f aca="false">IF($N188="","",INDEX('ALL ITEMS'!$F:$F,$N188))</f>
        <v/>
      </c>
      <c r="G188" s="53" t="str">
        <f aca="false">IF($N188="","",INDEX('ALL ITEMS'!$G:$G,$N188))</f>
        <v/>
      </c>
      <c r="H188" s="52" t="str">
        <f aca="false">IF($N188="","",INDEX('ALL ITEMS'!$H:$H,$N188))</f>
        <v/>
      </c>
      <c r="I188" s="54" t="str">
        <f aca="false">IF($N188="","",INDEX('ALL ITEMS'!$I:$I,$N188))</f>
        <v/>
      </c>
      <c r="J188" s="54" t="str">
        <f aca="false">IF($N188="","",INDEX('ALL ITEMS'!$J:$J,$N188))</f>
        <v/>
      </c>
      <c r="K188" s="54" t="str">
        <f aca="false">IF($N188="","",INDEX('ALL ITEMS'!$K:$K,$N188))</f>
        <v/>
      </c>
      <c r="L188" s="52" t="str">
        <f aca="false">IF($N188="","",INDEX('ALL ITEMS'!$L:$L,$N188))</f>
        <v/>
      </c>
      <c r="N188" s="0" t="str">
        <f aca="false">IF(ROWS($N$10:N188)&gt;$C$7,"",SMALL('ALL ITEMS'!$M$3:$M$764,ROWS($N$10:N188)))</f>
        <v/>
      </c>
    </row>
    <row r="189" customFormat="false" ht="15" hidden="false" customHeight="false" outlineLevel="0" collapsed="false">
      <c r="A189" s="52" t="str">
        <f aca="false">IF($N189="","",ROWS($N$10:N189))</f>
        <v/>
      </c>
      <c r="B189" s="52" t="str">
        <f aca="false">IF($N189="","",INDEX('ALL ITEMS'!$B:$B,$N189))</f>
        <v/>
      </c>
      <c r="C189" s="53" t="str">
        <f aca="false">IF($N189="","",INDEX('ALL ITEMS'!$A:$A,$N189))</f>
        <v/>
      </c>
      <c r="D189" s="53" t="str">
        <f aca="false">IF($N189="","",INDEX('ALL ITEMS'!$D:$D,$N189))</f>
        <v/>
      </c>
      <c r="E189" s="53" t="str">
        <f aca="false">IF($N189="","",INDEX('ALL ITEMS'!$E:$E,$N189))</f>
        <v/>
      </c>
      <c r="F189" s="53" t="str">
        <f aca="false">IF($N189="","",INDEX('ALL ITEMS'!$F:$F,$N189))</f>
        <v/>
      </c>
      <c r="G189" s="53" t="str">
        <f aca="false">IF($N189="","",INDEX('ALL ITEMS'!$G:$G,$N189))</f>
        <v/>
      </c>
      <c r="H189" s="52" t="str">
        <f aca="false">IF($N189="","",INDEX('ALL ITEMS'!$H:$H,$N189))</f>
        <v/>
      </c>
      <c r="I189" s="54" t="str">
        <f aca="false">IF($N189="","",INDEX('ALL ITEMS'!$I:$I,$N189))</f>
        <v/>
      </c>
      <c r="J189" s="54" t="str">
        <f aca="false">IF($N189="","",INDEX('ALL ITEMS'!$J:$J,$N189))</f>
        <v/>
      </c>
      <c r="K189" s="54" t="str">
        <f aca="false">IF($N189="","",INDEX('ALL ITEMS'!$K:$K,$N189))</f>
        <v/>
      </c>
      <c r="L189" s="52" t="str">
        <f aca="false">IF($N189="","",INDEX('ALL ITEMS'!$L:$L,$N189))</f>
        <v/>
      </c>
      <c r="N189" s="0" t="str">
        <f aca="false">IF(ROWS($N$10:N189)&gt;$C$7,"",SMALL('ALL ITEMS'!$M$3:$M$764,ROWS($N$10:N189)))</f>
        <v/>
      </c>
    </row>
    <row r="190" customFormat="false" ht="15" hidden="false" customHeight="false" outlineLevel="0" collapsed="false">
      <c r="A190" s="52" t="str">
        <f aca="false">IF($N190="","",ROWS($N$10:N190))</f>
        <v/>
      </c>
      <c r="B190" s="52" t="str">
        <f aca="false">IF($N190="","",INDEX('ALL ITEMS'!$B:$B,$N190))</f>
        <v/>
      </c>
      <c r="C190" s="53" t="str">
        <f aca="false">IF($N190="","",INDEX('ALL ITEMS'!$A:$A,$N190))</f>
        <v/>
      </c>
      <c r="D190" s="53" t="str">
        <f aca="false">IF($N190="","",INDEX('ALL ITEMS'!$D:$D,$N190))</f>
        <v/>
      </c>
      <c r="E190" s="53" t="str">
        <f aca="false">IF($N190="","",INDEX('ALL ITEMS'!$E:$E,$N190))</f>
        <v/>
      </c>
      <c r="F190" s="53" t="str">
        <f aca="false">IF($N190="","",INDEX('ALL ITEMS'!$F:$F,$N190))</f>
        <v/>
      </c>
      <c r="G190" s="53" t="str">
        <f aca="false">IF($N190="","",INDEX('ALL ITEMS'!$G:$G,$N190))</f>
        <v/>
      </c>
      <c r="H190" s="52" t="str">
        <f aca="false">IF($N190="","",INDEX('ALL ITEMS'!$H:$H,$N190))</f>
        <v/>
      </c>
      <c r="I190" s="54" t="str">
        <f aca="false">IF($N190="","",INDEX('ALL ITEMS'!$I:$I,$N190))</f>
        <v/>
      </c>
      <c r="J190" s="54" t="str">
        <f aca="false">IF($N190="","",INDEX('ALL ITEMS'!$J:$J,$N190))</f>
        <v/>
      </c>
      <c r="K190" s="54" t="str">
        <f aca="false">IF($N190="","",INDEX('ALL ITEMS'!$K:$K,$N190))</f>
        <v/>
      </c>
      <c r="L190" s="52" t="str">
        <f aca="false">IF($N190="","",INDEX('ALL ITEMS'!$L:$L,$N190))</f>
        <v/>
      </c>
      <c r="N190" s="0" t="str">
        <f aca="false">IF(ROWS($N$10:N190)&gt;$C$7,"",SMALL('ALL ITEMS'!$M$3:$M$764,ROWS($N$10:N190)))</f>
        <v/>
      </c>
    </row>
    <row r="191" customFormat="false" ht="15" hidden="false" customHeight="false" outlineLevel="0" collapsed="false">
      <c r="A191" s="52" t="str">
        <f aca="false">IF($N191="","",ROWS($N$10:N191))</f>
        <v/>
      </c>
      <c r="B191" s="52" t="str">
        <f aca="false">IF($N191="","",INDEX('ALL ITEMS'!$B:$B,$N191))</f>
        <v/>
      </c>
      <c r="C191" s="53" t="str">
        <f aca="false">IF($N191="","",INDEX('ALL ITEMS'!$A:$A,$N191))</f>
        <v/>
      </c>
      <c r="D191" s="53" t="str">
        <f aca="false">IF($N191="","",INDEX('ALL ITEMS'!$D:$D,$N191))</f>
        <v/>
      </c>
      <c r="E191" s="53" t="str">
        <f aca="false">IF($N191="","",INDEX('ALL ITEMS'!$E:$E,$N191))</f>
        <v/>
      </c>
      <c r="F191" s="53" t="str">
        <f aca="false">IF($N191="","",INDEX('ALL ITEMS'!$F:$F,$N191))</f>
        <v/>
      </c>
      <c r="G191" s="53" t="str">
        <f aca="false">IF($N191="","",INDEX('ALL ITEMS'!$G:$G,$N191))</f>
        <v/>
      </c>
      <c r="H191" s="52" t="str">
        <f aca="false">IF($N191="","",INDEX('ALL ITEMS'!$H:$H,$N191))</f>
        <v/>
      </c>
      <c r="I191" s="54" t="str">
        <f aca="false">IF($N191="","",INDEX('ALL ITEMS'!$I:$I,$N191))</f>
        <v/>
      </c>
      <c r="J191" s="54" t="str">
        <f aca="false">IF($N191="","",INDEX('ALL ITEMS'!$J:$J,$N191))</f>
        <v/>
      </c>
      <c r="K191" s="54" t="str">
        <f aca="false">IF($N191="","",INDEX('ALL ITEMS'!$K:$K,$N191))</f>
        <v/>
      </c>
      <c r="L191" s="52" t="str">
        <f aca="false">IF($N191="","",INDEX('ALL ITEMS'!$L:$L,$N191))</f>
        <v/>
      </c>
      <c r="N191" s="0" t="str">
        <f aca="false">IF(ROWS($N$10:N191)&gt;$C$7,"",SMALL('ALL ITEMS'!$M$3:$M$764,ROWS($N$10:N191)))</f>
        <v/>
      </c>
    </row>
    <row r="192" customFormat="false" ht="15" hidden="false" customHeight="false" outlineLevel="0" collapsed="false">
      <c r="A192" s="52" t="str">
        <f aca="false">IF($N192="","",ROWS($N$10:N192))</f>
        <v/>
      </c>
      <c r="B192" s="52" t="str">
        <f aca="false">IF($N192="","",INDEX('ALL ITEMS'!$B:$B,$N192))</f>
        <v/>
      </c>
      <c r="C192" s="53" t="str">
        <f aca="false">IF($N192="","",INDEX('ALL ITEMS'!$A:$A,$N192))</f>
        <v/>
      </c>
      <c r="D192" s="53" t="str">
        <f aca="false">IF($N192="","",INDEX('ALL ITEMS'!$D:$D,$N192))</f>
        <v/>
      </c>
      <c r="E192" s="53" t="str">
        <f aca="false">IF($N192="","",INDEX('ALL ITEMS'!$E:$E,$N192))</f>
        <v/>
      </c>
      <c r="F192" s="53" t="str">
        <f aca="false">IF($N192="","",INDEX('ALL ITEMS'!$F:$F,$N192))</f>
        <v/>
      </c>
      <c r="G192" s="53" t="str">
        <f aca="false">IF($N192="","",INDEX('ALL ITEMS'!$G:$G,$N192))</f>
        <v/>
      </c>
      <c r="H192" s="52" t="str">
        <f aca="false">IF($N192="","",INDEX('ALL ITEMS'!$H:$H,$N192))</f>
        <v/>
      </c>
      <c r="I192" s="54" t="str">
        <f aca="false">IF($N192="","",INDEX('ALL ITEMS'!$I:$I,$N192))</f>
        <v/>
      </c>
      <c r="J192" s="54" t="str">
        <f aca="false">IF($N192="","",INDEX('ALL ITEMS'!$J:$J,$N192))</f>
        <v/>
      </c>
      <c r="K192" s="54" t="str">
        <f aca="false">IF($N192="","",INDEX('ALL ITEMS'!$K:$K,$N192))</f>
        <v/>
      </c>
      <c r="L192" s="52" t="str">
        <f aca="false">IF($N192="","",INDEX('ALL ITEMS'!$L:$L,$N192))</f>
        <v/>
      </c>
      <c r="N192" s="0" t="str">
        <f aca="false">IF(ROWS($N$10:N192)&gt;$C$7,"",SMALL('ALL ITEMS'!$M$3:$M$764,ROWS($N$10:N192)))</f>
        <v/>
      </c>
    </row>
    <row r="193" customFormat="false" ht="15" hidden="false" customHeight="false" outlineLevel="0" collapsed="false">
      <c r="A193" s="52" t="str">
        <f aca="false">IF($N193="","",ROWS($N$10:N193))</f>
        <v/>
      </c>
      <c r="B193" s="52" t="str">
        <f aca="false">IF($N193="","",INDEX('ALL ITEMS'!$B:$B,$N193))</f>
        <v/>
      </c>
      <c r="C193" s="53" t="str">
        <f aca="false">IF($N193="","",INDEX('ALL ITEMS'!$A:$A,$N193))</f>
        <v/>
      </c>
      <c r="D193" s="53" t="str">
        <f aca="false">IF($N193="","",INDEX('ALL ITEMS'!$D:$D,$N193))</f>
        <v/>
      </c>
      <c r="E193" s="53" t="str">
        <f aca="false">IF($N193="","",INDEX('ALL ITEMS'!$E:$E,$N193))</f>
        <v/>
      </c>
      <c r="F193" s="53" t="str">
        <f aca="false">IF($N193="","",INDEX('ALL ITEMS'!$F:$F,$N193))</f>
        <v/>
      </c>
      <c r="G193" s="53" t="str">
        <f aca="false">IF($N193="","",INDEX('ALL ITEMS'!$G:$G,$N193))</f>
        <v/>
      </c>
      <c r="H193" s="52" t="str">
        <f aca="false">IF($N193="","",INDEX('ALL ITEMS'!$H:$H,$N193))</f>
        <v/>
      </c>
      <c r="I193" s="54" t="str">
        <f aca="false">IF($N193="","",INDEX('ALL ITEMS'!$I:$I,$N193))</f>
        <v/>
      </c>
      <c r="J193" s="54" t="str">
        <f aca="false">IF($N193="","",INDEX('ALL ITEMS'!$J:$J,$N193))</f>
        <v/>
      </c>
      <c r="K193" s="54" t="str">
        <f aca="false">IF($N193="","",INDEX('ALL ITEMS'!$K:$K,$N193))</f>
        <v/>
      </c>
      <c r="L193" s="52" t="str">
        <f aca="false">IF($N193="","",INDEX('ALL ITEMS'!$L:$L,$N193))</f>
        <v/>
      </c>
      <c r="N193" s="0" t="str">
        <f aca="false">IF(ROWS($N$10:N193)&gt;$C$7,"",SMALL('ALL ITEMS'!$M$3:$M$764,ROWS($N$10:N193)))</f>
        <v/>
      </c>
    </row>
    <row r="194" customFormat="false" ht="15" hidden="false" customHeight="false" outlineLevel="0" collapsed="false">
      <c r="A194" s="52" t="str">
        <f aca="false">IF($N194="","",ROWS($N$10:N194))</f>
        <v/>
      </c>
      <c r="B194" s="52" t="str">
        <f aca="false">IF($N194="","",INDEX('ALL ITEMS'!$B:$B,$N194))</f>
        <v/>
      </c>
      <c r="C194" s="53" t="str">
        <f aca="false">IF($N194="","",INDEX('ALL ITEMS'!$A:$A,$N194))</f>
        <v/>
      </c>
      <c r="D194" s="53" t="str">
        <f aca="false">IF($N194="","",INDEX('ALL ITEMS'!$D:$D,$N194))</f>
        <v/>
      </c>
      <c r="E194" s="53" t="str">
        <f aca="false">IF($N194="","",INDEX('ALL ITEMS'!$E:$E,$N194))</f>
        <v/>
      </c>
      <c r="F194" s="53" t="str">
        <f aca="false">IF($N194="","",INDEX('ALL ITEMS'!$F:$F,$N194))</f>
        <v/>
      </c>
      <c r="G194" s="53" t="str">
        <f aca="false">IF($N194="","",INDEX('ALL ITEMS'!$G:$G,$N194))</f>
        <v/>
      </c>
      <c r="H194" s="52" t="str">
        <f aca="false">IF($N194="","",INDEX('ALL ITEMS'!$H:$H,$N194))</f>
        <v/>
      </c>
      <c r="I194" s="54" t="str">
        <f aca="false">IF($N194="","",INDEX('ALL ITEMS'!$I:$I,$N194))</f>
        <v/>
      </c>
      <c r="J194" s="54" t="str">
        <f aca="false">IF($N194="","",INDEX('ALL ITEMS'!$J:$J,$N194))</f>
        <v/>
      </c>
      <c r="K194" s="54" t="str">
        <f aca="false">IF($N194="","",INDEX('ALL ITEMS'!$K:$K,$N194))</f>
        <v/>
      </c>
      <c r="L194" s="52" t="str">
        <f aca="false">IF($N194="","",INDEX('ALL ITEMS'!$L:$L,$N194))</f>
        <v/>
      </c>
      <c r="N194" s="0" t="str">
        <f aca="false">IF(ROWS($N$10:N194)&gt;$C$7,"",SMALL('ALL ITEMS'!$M$3:$M$764,ROWS($N$10:N194)))</f>
        <v/>
      </c>
    </row>
    <row r="195" customFormat="false" ht="15" hidden="false" customHeight="false" outlineLevel="0" collapsed="false">
      <c r="A195" s="52" t="str">
        <f aca="false">IF($N195="","",ROWS($N$10:N195))</f>
        <v/>
      </c>
      <c r="B195" s="52" t="str">
        <f aca="false">IF($N195="","",INDEX('ALL ITEMS'!$B:$B,$N195))</f>
        <v/>
      </c>
      <c r="C195" s="53" t="str">
        <f aca="false">IF($N195="","",INDEX('ALL ITEMS'!$A:$A,$N195))</f>
        <v/>
      </c>
      <c r="D195" s="53" t="str">
        <f aca="false">IF($N195="","",INDEX('ALL ITEMS'!$D:$D,$N195))</f>
        <v/>
      </c>
      <c r="E195" s="53" t="str">
        <f aca="false">IF($N195="","",INDEX('ALL ITEMS'!$E:$E,$N195))</f>
        <v/>
      </c>
      <c r="F195" s="53" t="str">
        <f aca="false">IF($N195="","",INDEX('ALL ITEMS'!$F:$F,$N195))</f>
        <v/>
      </c>
      <c r="G195" s="53" t="str">
        <f aca="false">IF($N195="","",INDEX('ALL ITEMS'!$G:$G,$N195))</f>
        <v/>
      </c>
      <c r="H195" s="52" t="str">
        <f aca="false">IF($N195="","",INDEX('ALL ITEMS'!$H:$H,$N195))</f>
        <v/>
      </c>
      <c r="I195" s="54" t="str">
        <f aca="false">IF($N195="","",INDEX('ALL ITEMS'!$I:$I,$N195))</f>
        <v/>
      </c>
      <c r="J195" s="54" t="str">
        <f aca="false">IF($N195="","",INDEX('ALL ITEMS'!$J:$J,$N195))</f>
        <v/>
      </c>
      <c r="K195" s="54" t="str">
        <f aca="false">IF($N195="","",INDEX('ALL ITEMS'!$K:$K,$N195))</f>
        <v/>
      </c>
      <c r="L195" s="52" t="str">
        <f aca="false">IF($N195="","",INDEX('ALL ITEMS'!$L:$L,$N195))</f>
        <v/>
      </c>
      <c r="N195" s="0" t="str">
        <f aca="false">IF(ROWS($N$10:N195)&gt;$C$7,"",SMALL('ALL ITEMS'!$M$3:$M$764,ROWS($N$10:N195)))</f>
        <v/>
      </c>
    </row>
    <row r="196" customFormat="false" ht="15" hidden="false" customHeight="false" outlineLevel="0" collapsed="false">
      <c r="A196" s="52" t="str">
        <f aca="false">IF($N196="","",ROWS($N$10:N196))</f>
        <v/>
      </c>
      <c r="B196" s="52" t="str">
        <f aca="false">IF($N196="","",INDEX('ALL ITEMS'!$B:$B,$N196))</f>
        <v/>
      </c>
      <c r="C196" s="53" t="str">
        <f aca="false">IF($N196="","",INDEX('ALL ITEMS'!$A:$A,$N196))</f>
        <v/>
      </c>
      <c r="D196" s="53" t="str">
        <f aca="false">IF($N196="","",INDEX('ALL ITEMS'!$D:$D,$N196))</f>
        <v/>
      </c>
      <c r="E196" s="53" t="str">
        <f aca="false">IF($N196="","",INDEX('ALL ITEMS'!$E:$E,$N196))</f>
        <v/>
      </c>
      <c r="F196" s="53" t="str">
        <f aca="false">IF($N196="","",INDEX('ALL ITEMS'!$F:$F,$N196))</f>
        <v/>
      </c>
      <c r="G196" s="53" t="str">
        <f aca="false">IF($N196="","",INDEX('ALL ITEMS'!$G:$G,$N196))</f>
        <v/>
      </c>
      <c r="H196" s="52" t="str">
        <f aca="false">IF($N196="","",INDEX('ALL ITEMS'!$H:$H,$N196))</f>
        <v/>
      </c>
      <c r="I196" s="54" t="str">
        <f aca="false">IF($N196="","",INDEX('ALL ITEMS'!$I:$I,$N196))</f>
        <v/>
      </c>
      <c r="J196" s="54" t="str">
        <f aca="false">IF($N196="","",INDEX('ALL ITEMS'!$J:$J,$N196))</f>
        <v/>
      </c>
      <c r="K196" s="54" t="str">
        <f aca="false">IF($N196="","",INDEX('ALL ITEMS'!$K:$K,$N196))</f>
        <v/>
      </c>
      <c r="L196" s="52" t="str">
        <f aca="false">IF($N196="","",INDEX('ALL ITEMS'!$L:$L,$N196))</f>
        <v/>
      </c>
      <c r="N196" s="0" t="str">
        <f aca="false">IF(ROWS($N$10:N196)&gt;$C$7,"",SMALL('ALL ITEMS'!$M$3:$M$764,ROWS($N$10:N196)))</f>
        <v/>
      </c>
    </row>
    <row r="197" customFormat="false" ht="15" hidden="false" customHeight="false" outlineLevel="0" collapsed="false">
      <c r="A197" s="52" t="str">
        <f aca="false">IF($N197="","",ROWS($N$10:N197))</f>
        <v/>
      </c>
      <c r="B197" s="52" t="str">
        <f aca="false">IF($N197="","",INDEX('ALL ITEMS'!$B:$B,$N197))</f>
        <v/>
      </c>
      <c r="C197" s="53" t="str">
        <f aca="false">IF($N197="","",INDEX('ALL ITEMS'!$A:$A,$N197))</f>
        <v/>
      </c>
      <c r="D197" s="53" t="str">
        <f aca="false">IF($N197="","",INDEX('ALL ITEMS'!$D:$D,$N197))</f>
        <v/>
      </c>
      <c r="E197" s="53" t="str">
        <f aca="false">IF($N197="","",INDEX('ALL ITEMS'!$E:$E,$N197))</f>
        <v/>
      </c>
      <c r="F197" s="53" t="str">
        <f aca="false">IF($N197="","",INDEX('ALL ITEMS'!$F:$F,$N197))</f>
        <v/>
      </c>
      <c r="G197" s="53" t="str">
        <f aca="false">IF($N197="","",INDEX('ALL ITEMS'!$G:$G,$N197))</f>
        <v/>
      </c>
      <c r="H197" s="52" t="str">
        <f aca="false">IF($N197="","",INDEX('ALL ITEMS'!$H:$H,$N197))</f>
        <v/>
      </c>
      <c r="I197" s="54" t="str">
        <f aca="false">IF($N197="","",INDEX('ALL ITEMS'!$I:$I,$N197))</f>
        <v/>
      </c>
      <c r="J197" s="54" t="str">
        <f aca="false">IF($N197="","",INDEX('ALL ITEMS'!$J:$J,$N197))</f>
        <v/>
      </c>
      <c r="K197" s="54" t="str">
        <f aca="false">IF($N197="","",INDEX('ALL ITEMS'!$K:$K,$N197))</f>
        <v/>
      </c>
      <c r="L197" s="52" t="str">
        <f aca="false">IF($N197="","",INDEX('ALL ITEMS'!$L:$L,$N197))</f>
        <v/>
      </c>
      <c r="N197" s="0" t="str">
        <f aca="false">IF(ROWS($N$10:N197)&gt;$C$7,"",SMALL('ALL ITEMS'!$M$3:$M$764,ROWS($N$10:N197)))</f>
        <v/>
      </c>
    </row>
    <row r="198" customFormat="false" ht="15" hidden="false" customHeight="false" outlineLevel="0" collapsed="false">
      <c r="A198" s="52" t="str">
        <f aca="false">IF($N198="","",ROWS($N$10:N198))</f>
        <v/>
      </c>
      <c r="B198" s="52" t="str">
        <f aca="false">IF($N198="","",INDEX('ALL ITEMS'!$B:$B,$N198))</f>
        <v/>
      </c>
      <c r="C198" s="53" t="str">
        <f aca="false">IF($N198="","",INDEX('ALL ITEMS'!$A:$A,$N198))</f>
        <v/>
      </c>
      <c r="D198" s="53" t="str">
        <f aca="false">IF($N198="","",INDEX('ALL ITEMS'!$D:$D,$N198))</f>
        <v/>
      </c>
      <c r="E198" s="53" t="str">
        <f aca="false">IF($N198="","",INDEX('ALL ITEMS'!$E:$E,$N198))</f>
        <v/>
      </c>
      <c r="F198" s="53" t="str">
        <f aca="false">IF($N198="","",INDEX('ALL ITEMS'!$F:$F,$N198))</f>
        <v/>
      </c>
      <c r="G198" s="53" t="str">
        <f aca="false">IF($N198="","",INDEX('ALL ITEMS'!$G:$G,$N198))</f>
        <v/>
      </c>
      <c r="H198" s="52" t="str">
        <f aca="false">IF($N198="","",INDEX('ALL ITEMS'!$H:$H,$N198))</f>
        <v/>
      </c>
      <c r="I198" s="54" t="str">
        <f aca="false">IF($N198="","",INDEX('ALL ITEMS'!$I:$I,$N198))</f>
        <v/>
      </c>
      <c r="J198" s="54" t="str">
        <f aca="false">IF($N198="","",INDEX('ALL ITEMS'!$J:$J,$N198))</f>
        <v/>
      </c>
      <c r="K198" s="54" t="str">
        <f aca="false">IF($N198="","",INDEX('ALL ITEMS'!$K:$K,$N198))</f>
        <v/>
      </c>
      <c r="L198" s="52" t="str">
        <f aca="false">IF($N198="","",INDEX('ALL ITEMS'!$L:$L,$N198))</f>
        <v/>
      </c>
      <c r="N198" s="0" t="str">
        <f aca="false">IF(ROWS($N$10:N198)&gt;$C$7,"",SMALL('ALL ITEMS'!$M$3:$M$764,ROWS($N$10:N198)))</f>
        <v/>
      </c>
    </row>
    <row r="199" customFormat="false" ht="15" hidden="false" customHeight="false" outlineLevel="0" collapsed="false">
      <c r="A199" s="52" t="str">
        <f aca="false">IF($N199="","",ROWS($N$10:N199))</f>
        <v/>
      </c>
      <c r="B199" s="52" t="str">
        <f aca="false">IF($N199="","",INDEX('ALL ITEMS'!$B:$B,$N199))</f>
        <v/>
      </c>
      <c r="C199" s="53" t="str">
        <f aca="false">IF($N199="","",INDEX('ALL ITEMS'!$A:$A,$N199))</f>
        <v/>
      </c>
      <c r="D199" s="53" t="str">
        <f aca="false">IF($N199="","",INDEX('ALL ITEMS'!$D:$D,$N199))</f>
        <v/>
      </c>
      <c r="E199" s="53" t="str">
        <f aca="false">IF($N199="","",INDEX('ALL ITEMS'!$E:$E,$N199))</f>
        <v/>
      </c>
      <c r="F199" s="53" t="str">
        <f aca="false">IF($N199="","",INDEX('ALL ITEMS'!$F:$F,$N199))</f>
        <v/>
      </c>
      <c r="G199" s="53" t="str">
        <f aca="false">IF($N199="","",INDEX('ALL ITEMS'!$G:$G,$N199))</f>
        <v/>
      </c>
      <c r="H199" s="52" t="str">
        <f aca="false">IF($N199="","",INDEX('ALL ITEMS'!$H:$H,$N199))</f>
        <v/>
      </c>
      <c r="I199" s="54" t="str">
        <f aca="false">IF($N199="","",INDEX('ALL ITEMS'!$I:$I,$N199))</f>
        <v/>
      </c>
      <c r="J199" s="54" t="str">
        <f aca="false">IF($N199="","",INDEX('ALL ITEMS'!$J:$J,$N199))</f>
        <v/>
      </c>
      <c r="K199" s="54" t="str">
        <f aca="false">IF($N199="","",INDEX('ALL ITEMS'!$K:$K,$N199))</f>
        <v/>
      </c>
      <c r="L199" s="52" t="str">
        <f aca="false">IF($N199="","",INDEX('ALL ITEMS'!$L:$L,$N199))</f>
        <v/>
      </c>
      <c r="N199" s="0" t="str">
        <f aca="false">IF(ROWS($N$10:N199)&gt;$C$7,"",SMALL('ALL ITEMS'!$M$3:$M$764,ROWS($N$10:N199)))</f>
        <v/>
      </c>
    </row>
    <row r="200" customFormat="false" ht="15" hidden="false" customHeight="false" outlineLevel="0" collapsed="false">
      <c r="A200" s="52" t="str">
        <f aca="false">IF($N200="","",ROWS($N$10:N200))</f>
        <v/>
      </c>
      <c r="B200" s="52" t="str">
        <f aca="false">IF($N200="","",INDEX('ALL ITEMS'!$B:$B,$N200))</f>
        <v/>
      </c>
      <c r="C200" s="53" t="str">
        <f aca="false">IF($N200="","",INDEX('ALL ITEMS'!$A:$A,$N200))</f>
        <v/>
      </c>
      <c r="D200" s="53" t="str">
        <f aca="false">IF($N200="","",INDEX('ALL ITEMS'!$D:$D,$N200))</f>
        <v/>
      </c>
      <c r="E200" s="53" t="str">
        <f aca="false">IF($N200="","",INDEX('ALL ITEMS'!$E:$E,$N200))</f>
        <v/>
      </c>
      <c r="F200" s="53" t="str">
        <f aca="false">IF($N200="","",INDEX('ALL ITEMS'!$F:$F,$N200))</f>
        <v/>
      </c>
      <c r="G200" s="53" t="str">
        <f aca="false">IF($N200="","",INDEX('ALL ITEMS'!$G:$G,$N200))</f>
        <v/>
      </c>
      <c r="H200" s="52" t="str">
        <f aca="false">IF($N200="","",INDEX('ALL ITEMS'!$H:$H,$N200))</f>
        <v/>
      </c>
      <c r="I200" s="54" t="str">
        <f aca="false">IF($N200="","",INDEX('ALL ITEMS'!$I:$I,$N200))</f>
        <v/>
      </c>
      <c r="J200" s="54" t="str">
        <f aca="false">IF($N200="","",INDEX('ALL ITEMS'!$J:$J,$N200))</f>
        <v/>
      </c>
      <c r="K200" s="54" t="str">
        <f aca="false">IF($N200="","",INDEX('ALL ITEMS'!$K:$K,$N200))</f>
        <v/>
      </c>
      <c r="L200" s="52" t="str">
        <f aca="false">IF($N200="","",INDEX('ALL ITEMS'!$L:$L,$N200))</f>
        <v/>
      </c>
      <c r="N200" s="0" t="str">
        <f aca="false">IF(ROWS($N$10:N200)&gt;$C$7,"",SMALL('ALL ITEMS'!$M$3:$M$764,ROWS($N$10:N200)))</f>
        <v/>
      </c>
    </row>
    <row r="201" customFormat="false" ht="15" hidden="false" customHeight="false" outlineLevel="0" collapsed="false">
      <c r="A201" s="52" t="str">
        <f aca="false">IF($N201="","",ROWS($N$10:N201))</f>
        <v/>
      </c>
      <c r="B201" s="52" t="str">
        <f aca="false">IF($N201="","",INDEX('ALL ITEMS'!$B:$B,$N201))</f>
        <v/>
      </c>
      <c r="C201" s="53" t="str">
        <f aca="false">IF($N201="","",INDEX('ALL ITEMS'!$A:$A,$N201))</f>
        <v/>
      </c>
      <c r="D201" s="53" t="str">
        <f aca="false">IF($N201="","",INDEX('ALL ITEMS'!$D:$D,$N201))</f>
        <v/>
      </c>
      <c r="E201" s="53" t="str">
        <f aca="false">IF($N201="","",INDEX('ALL ITEMS'!$E:$E,$N201))</f>
        <v/>
      </c>
      <c r="F201" s="53" t="str">
        <f aca="false">IF($N201="","",INDEX('ALL ITEMS'!$F:$F,$N201))</f>
        <v/>
      </c>
      <c r="G201" s="53" t="str">
        <f aca="false">IF($N201="","",INDEX('ALL ITEMS'!$G:$G,$N201))</f>
        <v/>
      </c>
      <c r="H201" s="52" t="str">
        <f aca="false">IF($N201="","",INDEX('ALL ITEMS'!$H:$H,$N201))</f>
        <v/>
      </c>
      <c r="I201" s="54" t="str">
        <f aca="false">IF($N201="","",INDEX('ALL ITEMS'!$I:$I,$N201))</f>
        <v/>
      </c>
      <c r="J201" s="54" t="str">
        <f aca="false">IF($N201="","",INDEX('ALL ITEMS'!$J:$J,$N201))</f>
        <v/>
      </c>
      <c r="K201" s="54" t="str">
        <f aca="false">IF($N201="","",INDEX('ALL ITEMS'!$K:$K,$N201))</f>
        <v/>
      </c>
      <c r="L201" s="52" t="str">
        <f aca="false">IF($N201="","",INDEX('ALL ITEMS'!$L:$L,$N201))</f>
        <v/>
      </c>
      <c r="N201" s="0" t="str">
        <f aca="false">IF(ROWS($N$10:N201)&gt;$C$7,"",SMALL('ALL ITEMS'!$M$3:$M$764,ROWS($N$10:N201)))</f>
        <v/>
      </c>
    </row>
    <row r="202" customFormat="false" ht="15" hidden="false" customHeight="false" outlineLevel="0" collapsed="false">
      <c r="A202" s="52" t="str">
        <f aca="false">IF($N202="","",ROWS($N$10:N202))</f>
        <v/>
      </c>
      <c r="B202" s="52" t="str">
        <f aca="false">IF($N202="","",INDEX('ALL ITEMS'!$B:$B,$N202))</f>
        <v/>
      </c>
      <c r="C202" s="53" t="str">
        <f aca="false">IF($N202="","",INDEX('ALL ITEMS'!$A:$A,$N202))</f>
        <v/>
      </c>
      <c r="D202" s="53" t="str">
        <f aca="false">IF($N202="","",INDEX('ALL ITEMS'!$D:$D,$N202))</f>
        <v/>
      </c>
      <c r="E202" s="53" t="str">
        <f aca="false">IF($N202="","",INDEX('ALL ITEMS'!$E:$E,$N202))</f>
        <v/>
      </c>
      <c r="F202" s="53" t="str">
        <f aca="false">IF($N202="","",INDEX('ALL ITEMS'!$F:$F,$N202))</f>
        <v/>
      </c>
      <c r="G202" s="53" t="str">
        <f aca="false">IF($N202="","",INDEX('ALL ITEMS'!$G:$G,$N202))</f>
        <v/>
      </c>
      <c r="H202" s="52" t="str">
        <f aca="false">IF($N202="","",INDEX('ALL ITEMS'!$H:$H,$N202))</f>
        <v/>
      </c>
      <c r="I202" s="54" t="str">
        <f aca="false">IF($N202="","",INDEX('ALL ITEMS'!$I:$I,$N202))</f>
        <v/>
      </c>
      <c r="J202" s="54" t="str">
        <f aca="false">IF($N202="","",INDEX('ALL ITEMS'!$J:$J,$N202))</f>
        <v/>
      </c>
      <c r="K202" s="54" t="str">
        <f aca="false">IF($N202="","",INDEX('ALL ITEMS'!$K:$K,$N202))</f>
        <v/>
      </c>
      <c r="L202" s="52" t="str">
        <f aca="false">IF($N202="","",INDEX('ALL ITEMS'!$L:$L,$N202))</f>
        <v/>
      </c>
      <c r="N202" s="0" t="str">
        <f aca="false">IF(ROWS($N$10:N202)&gt;$C$7,"",SMALL('ALL ITEMS'!$M$3:$M$764,ROWS($N$10:N202)))</f>
        <v/>
      </c>
    </row>
    <row r="203" customFormat="false" ht="15" hidden="false" customHeight="false" outlineLevel="0" collapsed="false">
      <c r="A203" s="52" t="str">
        <f aca="false">IF($N203="","",ROWS($N$10:N203))</f>
        <v/>
      </c>
      <c r="B203" s="52" t="str">
        <f aca="false">IF($N203="","",INDEX('ALL ITEMS'!$B:$B,$N203))</f>
        <v/>
      </c>
      <c r="C203" s="53" t="str">
        <f aca="false">IF($N203="","",INDEX('ALL ITEMS'!$A:$A,$N203))</f>
        <v/>
      </c>
      <c r="D203" s="53" t="str">
        <f aca="false">IF($N203="","",INDEX('ALL ITEMS'!$D:$D,$N203))</f>
        <v/>
      </c>
      <c r="E203" s="53" t="str">
        <f aca="false">IF($N203="","",INDEX('ALL ITEMS'!$E:$E,$N203))</f>
        <v/>
      </c>
      <c r="F203" s="53" t="str">
        <f aca="false">IF($N203="","",INDEX('ALL ITEMS'!$F:$F,$N203))</f>
        <v/>
      </c>
      <c r="G203" s="53" t="str">
        <f aca="false">IF($N203="","",INDEX('ALL ITEMS'!$G:$G,$N203))</f>
        <v/>
      </c>
      <c r="H203" s="52" t="str">
        <f aca="false">IF($N203="","",INDEX('ALL ITEMS'!$H:$H,$N203))</f>
        <v/>
      </c>
      <c r="I203" s="54" t="str">
        <f aca="false">IF($N203="","",INDEX('ALL ITEMS'!$I:$I,$N203))</f>
        <v/>
      </c>
      <c r="J203" s="54" t="str">
        <f aca="false">IF($N203="","",INDEX('ALL ITEMS'!$J:$J,$N203))</f>
        <v/>
      </c>
      <c r="K203" s="54" t="str">
        <f aca="false">IF($N203="","",INDEX('ALL ITEMS'!$K:$K,$N203))</f>
        <v/>
      </c>
      <c r="L203" s="52" t="str">
        <f aca="false">IF($N203="","",INDEX('ALL ITEMS'!$L:$L,$N203))</f>
        <v/>
      </c>
      <c r="N203" s="0" t="str">
        <f aca="false">IF(ROWS($N$10:N203)&gt;$C$7,"",SMALL('ALL ITEMS'!$M$3:$M$764,ROWS($N$10:N203)))</f>
        <v/>
      </c>
    </row>
    <row r="204" customFormat="false" ht="15" hidden="false" customHeight="false" outlineLevel="0" collapsed="false">
      <c r="A204" s="52" t="str">
        <f aca="false">IF($N204="","",ROWS($N$10:N204))</f>
        <v/>
      </c>
      <c r="B204" s="52" t="str">
        <f aca="false">IF($N204="","",INDEX('ALL ITEMS'!$B:$B,$N204))</f>
        <v/>
      </c>
      <c r="C204" s="53" t="str">
        <f aca="false">IF($N204="","",INDEX('ALL ITEMS'!$A:$A,$N204))</f>
        <v/>
      </c>
      <c r="D204" s="53" t="str">
        <f aca="false">IF($N204="","",INDEX('ALL ITEMS'!$D:$D,$N204))</f>
        <v/>
      </c>
      <c r="E204" s="53" t="str">
        <f aca="false">IF($N204="","",INDEX('ALL ITEMS'!$E:$E,$N204))</f>
        <v/>
      </c>
      <c r="F204" s="53" t="str">
        <f aca="false">IF($N204="","",INDEX('ALL ITEMS'!$F:$F,$N204))</f>
        <v/>
      </c>
      <c r="G204" s="53" t="str">
        <f aca="false">IF($N204="","",INDEX('ALL ITEMS'!$G:$G,$N204))</f>
        <v/>
      </c>
      <c r="H204" s="52" t="str">
        <f aca="false">IF($N204="","",INDEX('ALL ITEMS'!$H:$H,$N204))</f>
        <v/>
      </c>
      <c r="I204" s="54" t="str">
        <f aca="false">IF($N204="","",INDEX('ALL ITEMS'!$I:$I,$N204))</f>
        <v/>
      </c>
      <c r="J204" s="54" t="str">
        <f aca="false">IF($N204="","",INDEX('ALL ITEMS'!$J:$J,$N204))</f>
        <v/>
      </c>
      <c r="K204" s="54" t="str">
        <f aca="false">IF($N204="","",INDEX('ALL ITEMS'!$K:$K,$N204))</f>
        <v/>
      </c>
      <c r="L204" s="52" t="str">
        <f aca="false">IF($N204="","",INDEX('ALL ITEMS'!$L:$L,$N204))</f>
        <v/>
      </c>
      <c r="N204" s="0" t="str">
        <f aca="false">IF(ROWS($N$10:N204)&gt;$C$7,"",SMALL('ALL ITEMS'!$M$3:$M$764,ROWS($N$10:N204)))</f>
        <v/>
      </c>
    </row>
    <row r="205" customFormat="false" ht="15" hidden="false" customHeight="false" outlineLevel="0" collapsed="false">
      <c r="A205" s="52" t="str">
        <f aca="false">IF($N205="","",ROWS($N$10:N205))</f>
        <v/>
      </c>
      <c r="B205" s="52" t="str">
        <f aca="false">IF($N205="","",INDEX('ALL ITEMS'!$B:$B,$N205))</f>
        <v/>
      </c>
      <c r="C205" s="53" t="str">
        <f aca="false">IF($N205="","",INDEX('ALL ITEMS'!$A:$A,$N205))</f>
        <v/>
      </c>
      <c r="D205" s="53" t="str">
        <f aca="false">IF($N205="","",INDEX('ALL ITEMS'!$D:$D,$N205))</f>
        <v/>
      </c>
      <c r="E205" s="53" t="str">
        <f aca="false">IF($N205="","",INDEX('ALL ITEMS'!$E:$E,$N205))</f>
        <v/>
      </c>
      <c r="F205" s="53" t="str">
        <f aca="false">IF($N205="","",INDEX('ALL ITEMS'!$F:$F,$N205))</f>
        <v/>
      </c>
      <c r="G205" s="53" t="str">
        <f aca="false">IF($N205="","",INDEX('ALL ITEMS'!$G:$G,$N205))</f>
        <v/>
      </c>
      <c r="H205" s="52" t="str">
        <f aca="false">IF($N205="","",INDEX('ALL ITEMS'!$H:$H,$N205))</f>
        <v/>
      </c>
      <c r="I205" s="54" t="str">
        <f aca="false">IF($N205="","",INDEX('ALL ITEMS'!$I:$I,$N205))</f>
        <v/>
      </c>
      <c r="J205" s="54" t="str">
        <f aca="false">IF($N205="","",INDEX('ALL ITEMS'!$J:$J,$N205))</f>
        <v/>
      </c>
      <c r="K205" s="54" t="str">
        <f aca="false">IF($N205="","",INDEX('ALL ITEMS'!$K:$K,$N205))</f>
        <v/>
      </c>
      <c r="L205" s="52" t="str">
        <f aca="false">IF($N205="","",INDEX('ALL ITEMS'!$L:$L,$N205))</f>
        <v/>
      </c>
      <c r="N205" s="0" t="str">
        <f aca="false">IF(ROWS($N$10:N205)&gt;$C$7,"",SMALL('ALL ITEMS'!$M$3:$M$764,ROWS($N$10:N205)))</f>
        <v/>
      </c>
    </row>
    <row r="206" customFormat="false" ht="15" hidden="false" customHeight="false" outlineLevel="0" collapsed="false">
      <c r="A206" s="52" t="str">
        <f aca="false">IF($N206="","",ROWS($N$10:N206))</f>
        <v/>
      </c>
      <c r="B206" s="52" t="str">
        <f aca="false">IF($N206="","",INDEX('ALL ITEMS'!$B:$B,$N206))</f>
        <v/>
      </c>
      <c r="C206" s="53" t="str">
        <f aca="false">IF($N206="","",INDEX('ALL ITEMS'!$A:$A,$N206))</f>
        <v/>
      </c>
      <c r="D206" s="53" t="str">
        <f aca="false">IF($N206="","",INDEX('ALL ITEMS'!$D:$D,$N206))</f>
        <v/>
      </c>
      <c r="E206" s="53" t="str">
        <f aca="false">IF($N206="","",INDEX('ALL ITEMS'!$E:$E,$N206))</f>
        <v/>
      </c>
      <c r="F206" s="53" t="str">
        <f aca="false">IF($N206="","",INDEX('ALL ITEMS'!$F:$F,$N206))</f>
        <v/>
      </c>
      <c r="G206" s="53" t="str">
        <f aca="false">IF($N206="","",INDEX('ALL ITEMS'!$G:$G,$N206))</f>
        <v/>
      </c>
      <c r="H206" s="52" t="str">
        <f aca="false">IF($N206="","",INDEX('ALL ITEMS'!$H:$H,$N206))</f>
        <v/>
      </c>
      <c r="I206" s="54" t="str">
        <f aca="false">IF($N206="","",INDEX('ALL ITEMS'!$I:$I,$N206))</f>
        <v/>
      </c>
      <c r="J206" s="54" t="str">
        <f aca="false">IF($N206="","",INDEX('ALL ITEMS'!$J:$J,$N206))</f>
        <v/>
      </c>
      <c r="K206" s="54" t="str">
        <f aca="false">IF($N206="","",INDEX('ALL ITEMS'!$K:$K,$N206))</f>
        <v/>
      </c>
      <c r="L206" s="52" t="str">
        <f aca="false">IF($N206="","",INDEX('ALL ITEMS'!$L:$L,$N206))</f>
        <v/>
      </c>
      <c r="N206" s="0" t="str">
        <f aca="false">IF(ROWS($N$10:N206)&gt;$C$7,"",SMALL('ALL ITEMS'!$M$3:$M$764,ROWS($N$10:N206)))</f>
        <v/>
      </c>
    </row>
    <row r="207" customFormat="false" ht="15" hidden="false" customHeight="false" outlineLevel="0" collapsed="false">
      <c r="A207" s="52" t="str">
        <f aca="false">IF($N207="","",ROWS($N$10:N207))</f>
        <v/>
      </c>
      <c r="B207" s="52" t="str">
        <f aca="false">IF($N207="","",INDEX('ALL ITEMS'!$B:$B,$N207))</f>
        <v/>
      </c>
      <c r="C207" s="53" t="str">
        <f aca="false">IF($N207="","",INDEX('ALL ITEMS'!$A:$A,$N207))</f>
        <v/>
      </c>
      <c r="D207" s="53" t="str">
        <f aca="false">IF($N207="","",INDEX('ALL ITEMS'!$D:$D,$N207))</f>
        <v/>
      </c>
      <c r="E207" s="53" t="str">
        <f aca="false">IF($N207="","",INDEX('ALL ITEMS'!$E:$E,$N207))</f>
        <v/>
      </c>
      <c r="F207" s="53" t="str">
        <f aca="false">IF($N207="","",INDEX('ALL ITEMS'!$F:$F,$N207))</f>
        <v/>
      </c>
      <c r="G207" s="53" t="str">
        <f aca="false">IF($N207="","",INDEX('ALL ITEMS'!$G:$G,$N207))</f>
        <v/>
      </c>
      <c r="H207" s="52" t="str">
        <f aca="false">IF($N207="","",INDEX('ALL ITEMS'!$H:$H,$N207))</f>
        <v/>
      </c>
      <c r="I207" s="54" t="str">
        <f aca="false">IF($N207="","",INDEX('ALL ITEMS'!$I:$I,$N207))</f>
        <v/>
      </c>
      <c r="J207" s="54" t="str">
        <f aca="false">IF($N207="","",INDEX('ALL ITEMS'!$J:$J,$N207))</f>
        <v/>
      </c>
      <c r="K207" s="54" t="str">
        <f aca="false">IF($N207="","",INDEX('ALL ITEMS'!$K:$K,$N207))</f>
        <v/>
      </c>
      <c r="L207" s="52" t="str">
        <f aca="false">IF($N207="","",INDEX('ALL ITEMS'!$L:$L,$N207))</f>
        <v/>
      </c>
      <c r="N207" s="0" t="str">
        <f aca="false">IF(ROWS($N$10:N207)&gt;$C$7,"",SMALL('ALL ITEMS'!$M$3:$M$764,ROWS($N$10:N207)))</f>
        <v/>
      </c>
    </row>
    <row r="208" customFormat="false" ht="15" hidden="false" customHeight="false" outlineLevel="0" collapsed="false">
      <c r="A208" s="52" t="str">
        <f aca="false">IF($N208="","",ROWS($N$10:N208))</f>
        <v/>
      </c>
      <c r="B208" s="52" t="str">
        <f aca="false">IF($N208="","",INDEX('ALL ITEMS'!$B:$B,$N208))</f>
        <v/>
      </c>
      <c r="C208" s="53" t="str">
        <f aca="false">IF($N208="","",INDEX('ALL ITEMS'!$A:$A,$N208))</f>
        <v/>
      </c>
      <c r="D208" s="53" t="str">
        <f aca="false">IF($N208="","",INDEX('ALL ITEMS'!$D:$D,$N208))</f>
        <v/>
      </c>
      <c r="E208" s="53" t="str">
        <f aca="false">IF($N208="","",INDEX('ALL ITEMS'!$E:$E,$N208))</f>
        <v/>
      </c>
      <c r="F208" s="53" t="str">
        <f aca="false">IF($N208="","",INDEX('ALL ITEMS'!$F:$F,$N208))</f>
        <v/>
      </c>
      <c r="G208" s="53" t="str">
        <f aca="false">IF($N208="","",INDEX('ALL ITEMS'!$G:$G,$N208))</f>
        <v/>
      </c>
      <c r="H208" s="52" t="str">
        <f aca="false">IF($N208="","",INDEX('ALL ITEMS'!$H:$H,$N208))</f>
        <v/>
      </c>
      <c r="I208" s="54" t="str">
        <f aca="false">IF($N208="","",INDEX('ALL ITEMS'!$I:$I,$N208))</f>
        <v/>
      </c>
      <c r="J208" s="54" t="str">
        <f aca="false">IF($N208="","",INDEX('ALL ITEMS'!$J:$J,$N208))</f>
        <v/>
      </c>
      <c r="K208" s="54" t="str">
        <f aca="false">IF($N208="","",INDEX('ALL ITEMS'!$K:$K,$N208))</f>
        <v/>
      </c>
      <c r="L208" s="52" t="str">
        <f aca="false">IF($N208="","",INDEX('ALL ITEMS'!$L:$L,$N208))</f>
        <v/>
      </c>
      <c r="N208" s="0" t="str">
        <f aca="false">IF(ROWS($N$10:N208)&gt;$C$7,"",SMALL('ALL ITEMS'!$M$3:$M$764,ROWS($N$10:N208)))</f>
        <v/>
      </c>
    </row>
    <row r="209" customFormat="false" ht="15" hidden="false" customHeight="false" outlineLevel="0" collapsed="false">
      <c r="A209" s="52" t="str">
        <f aca="false">IF($N209="","",ROWS($N$10:N209))</f>
        <v/>
      </c>
      <c r="B209" s="52" t="str">
        <f aca="false">IF($N209="","",INDEX('ALL ITEMS'!$B:$B,$N209))</f>
        <v/>
      </c>
      <c r="C209" s="53" t="str">
        <f aca="false">IF($N209="","",INDEX('ALL ITEMS'!$A:$A,$N209))</f>
        <v/>
      </c>
      <c r="D209" s="53" t="str">
        <f aca="false">IF($N209="","",INDEX('ALL ITEMS'!$D:$D,$N209))</f>
        <v/>
      </c>
      <c r="E209" s="53" t="str">
        <f aca="false">IF($N209="","",INDEX('ALL ITEMS'!$E:$E,$N209))</f>
        <v/>
      </c>
      <c r="F209" s="53" t="str">
        <f aca="false">IF($N209="","",INDEX('ALL ITEMS'!$F:$F,$N209))</f>
        <v/>
      </c>
      <c r="G209" s="53" t="str">
        <f aca="false">IF($N209="","",INDEX('ALL ITEMS'!$G:$G,$N209))</f>
        <v/>
      </c>
      <c r="H209" s="52" t="str">
        <f aca="false">IF($N209="","",INDEX('ALL ITEMS'!$H:$H,$N209))</f>
        <v/>
      </c>
      <c r="I209" s="54" t="str">
        <f aca="false">IF($N209="","",INDEX('ALL ITEMS'!$I:$I,$N209))</f>
        <v/>
      </c>
      <c r="J209" s="54" t="str">
        <f aca="false">IF($N209="","",INDEX('ALL ITEMS'!$J:$J,$N209))</f>
        <v/>
      </c>
      <c r="K209" s="54" t="str">
        <f aca="false">IF($N209="","",INDEX('ALL ITEMS'!$K:$K,$N209))</f>
        <v/>
      </c>
      <c r="L209" s="52" t="str">
        <f aca="false">IF($N209="","",INDEX('ALL ITEMS'!$L:$L,$N209))</f>
        <v/>
      </c>
      <c r="N209" s="0" t="str">
        <f aca="false">IF(ROWS($N$10:N209)&gt;$C$7,"",SMALL('ALL ITEMS'!$M$3:$M$764,ROWS($N$10:N209)))</f>
        <v/>
      </c>
    </row>
    <row r="210" customFormat="false" ht="15" hidden="false" customHeight="false" outlineLevel="0" collapsed="false">
      <c r="A210" s="52" t="str">
        <f aca="false">IF($N210="","",ROWS($N$10:N210))</f>
        <v/>
      </c>
      <c r="B210" s="52" t="str">
        <f aca="false">IF($N210="","",INDEX('ALL ITEMS'!$B:$B,$N210))</f>
        <v/>
      </c>
      <c r="C210" s="53" t="str">
        <f aca="false">IF($N210="","",INDEX('ALL ITEMS'!$A:$A,$N210))</f>
        <v/>
      </c>
      <c r="D210" s="53" t="str">
        <f aca="false">IF($N210="","",INDEX('ALL ITEMS'!$D:$D,$N210))</f>
        <v/>
      </c>
      <c r="E210" s="53" t="str">
        <f aca="false">IF($N210="","",INDEX('ALL ITEMS'!$E:$E,$N210))</f>
        <v/>
      </c>
      <c r="F210" s="53" t="str">
        <f aca="false">IF($N210="","",INDEX('ALL ITEMS'!$F:$F,$N210))</f>
        <v/>
      </c>
      <c r="G210" s="53" t="str">
        <f aca="false">IF($N210="","",INDEX('ALL ITEMS'!$G:$G,$N210))</f>
        <v/>
      </c>
      <c r="H210" s="52" t="str">
        <f aca="false">IF($N210="","",INDEX('ALL ITEMS'!$H:$H,$N210))</f>
        <v/>
      </c>
      <c r="I210" s="54" t="str">
        <f aca="false">IF($N210="","",INDEX('ALL ITEMS'!$I:$I,$N210))</f>
        <v/>
      </c>
      <c r="J210" s="54" t="str">
        <f aca="false">IF($N210="","",INDEX('ALL ITEMS'!$J:$J,$N210))</f>
        <v/>
      </c>
      <c r="K210" s="54" t="str">
        <f aca="false">IF($N210="","",INDEX('ALL ITEMS'!$K:$K,$N210))</f>
        <v/>
      </c>
      <c r="L210" s="52" t="str">
        <f aca="false">IF($N210="","",INDEX('ALL ITEMS'!$L:$L,$N210))</f>
        <v/>
      </c>
      <c r="N210" s="0" t="str">
        <f aca="false">IF(ROWS($N$10:N210)&gt;$C$7,"",SMALL('ALL ITEMS'!$M$3:$M$764,ROWS($N$10:N210)))</f>
        <v/>
      </c>
    </row>
    <row r="211" customFormat="false" ht="15" hidden="false" customHeight="false" outlineLevel="0" collapsed="false">
      <c r="A211" s="52" t="str">
        <f aca="false">IF($N211="","",ROWS($N$10:N211))</f>
        <v/>
      </c>
      <c r="B211" s="52" t="str">
        <f aca="false">IF($N211="","",INDEX('ALL ITEMS'!$B:$B,$N211))</f>
        <v/>
      </c>
      <c r="C211" s="53" t="str">
        <f aca="false">IF($N211="","",INDEX('ALL ITEMS'!$A:$A,$N211))</f>
        <v/>
      </c>
      <c r="D211" s="53" t="str">
        <f aca="false">IF($N211="","",INDEX('ALL ITEMS'!$D:$D,$N211))</f>
        <v/>
      </c>
      <c r="E211" s="53" t="str">
        <f aca="false">IF($N211="","",INDEX('ALL ITEMS'!$E:$E,$N211))</f>
        <v/>
      </c>
      <c r="F211" s="53" t="str">
        <f aca="false">IF($N211="","",INDEX('ALL ITEMS'!$F:$F,$N211))</f>
        <v/>
      </c>
      <c r="G211" s="53" t="str">
        <f aca="false">IF($N211="","",INDEX('ALL ITEMS'!$G:$G,$N211))</f>
        <v/>
      </c>
      <c r="H211" s="52" t="str">
        <f aca="false">IF($N211="","",INDEX('ALL ITEMS'!$H:$H,$N211))</f>
        <v/>
      </c>
      <c r="I211" s="54" t="str">
        <f aca="false">IF($N211="","",INDEX('ALL ITEMS'!$I:$I,$N211))</f>
        <v/>
      </c>
      <c r="J211" s="54" t="str">
        <f aca="false">IF($N211="","",INDEX('ALL ITEMS'!$J:$J,$N211))</f>
        <v/>
      </c>
      <c r="K211" s="54" t="str">
        <f aca="false">IF($N211="","",INDEX('ALL ITEMS'!$K:$K,$N211))</f>
        <v/>
      </c>
      <c r="L211" s="52" t="str">
        <f aca="false">IF($N211="","",INDEX('ALL ITEMS'!$L:$L,$N211))</f>
        <v/>
      </c>
      <c r="N211" s="0" t="str">
        <f aca="false">IF(ROWS($N$10:N211)&gt;$C$7,"",SMALL('ALL ITEMS'!$M$3:$M$764,ROWS($N$10:N211)))</f>
        <v/>
      </c>
    </row>
    <row r="212" customFormat="false" ht="15" hidden="false" customHeight="false" outlineLevel="0" collapsed="false">
      <c r="A212" s="52" t="str">
        <f aca="false">IF($N212="","",ROWS($N$10:N212))</f>
        <v/>
      </c>
      <c r="B212" s="52" t="str">
        <f aca="false">IF($N212="","",INDEX('ALL ITEMS'!$B:$B,$N212))</f>
        <v/>
      </c>
      <c r="C212" s="53" t="str">
        <f aca="false">IF($N212="","",INDEX('ALL ITEMS'!$A:$A,$N212))</f>
        <v/>
      </c>
      <c r="D212" s="53" t="str">
        <f aca="false">IF($N212="","",INDEX('ALL ITEMS'!$D:$D,$N212))</f>
        <v/>
      </c>
      <c r="E212" s="53" t="str">
        <f aca="false">IF($N212="","",INDEX('ALL ITEMS'!$E:$E,$N212))</f>
        <v/>
      </c>
      <c r="F212" s="53" t="str">
        <f aca="false">IF($N212="","",INDEX('ALL ITEMS'!$F:$F,$N212))</f>
        <v/>
      </c>
      <c r="G212" s="53" t="str">
        <f aca="false">IF($N212="","",INDEX('ALL ITEMS'!$G:$G,$N212))</f>
        <v/>
      </c>
      <c r="H212" s="52" t="str">
        <f aca="false">IF($N212="","",INDEX('ALL ITEMS'!$H:$H,$N212))</f>
        <v/>
      </c>
      <c r="I212" s="54" t="str">
        <f aca="false">IF($N212="","",INDEX('ALL ITEMS'!$I:$I,$N212))</f>
        <v/>
      </c>
      <c r="J212" s="54" t="str">
        <f aca="false">IF($N212="","",INDEX('ALL ITEMS'!$J:$J,$N212))</f>
        <v/>
      </c>
      <c r="K212" s="54" t="str">
        <f aca="false">IF($N212="","",INDEX('ALL ITEMS'!$K:$K,$N212))</f>
        <v/>
      </c>
      <c r="L212" s="52" t="str">
        <f aca="false">IF($N212="","",INDEX('ALL ITEMS'!$L:$L,$N212))</f>
        <v/>
      </c>
      <c r="N212" s="0" t="str">
        <f aca="false">IF(ROWS($N$10:N212)&gt;$C$7,"",SMALL('ALL ITEMS'!$M$3:$M$764,ROWS($N$10:N212)))</f>
        <v/>
      </c>
    </row>
    <row r="213" customFormat="false" ht="15" hidden="false" customHeight="false" outlineLevel="0" collapsed="false">
      <c r="A213" s="52" t="str">
        <f aca="false">IF($N213="","",ROWS($N$10:N213))</f>
        <v/>
      </c>
      <c r="B213" s="52" t="str">
        <f aca="false">IF($N213="","",INDEX('ALL ITEMS'!$B:$B,$N213))</f>
        <v/>
      </c>
      <c r="C213" s="53" t="str">
        <f aca="false">IF($N213="","",INDEX('ALL ITEMS'!$A:$A,$N213))</f>
        <v/>
      </c>
      <c r="D213" s="53" t="str">
        <f aca="false">IF($N213="","",INDEX('ALL ITEMS'!$D:$D,$N213))</f>
        <v/>
      </c>
      <c r="E213" s="53" t="str">
        <f aca="false">IF($N213="","",INDEX('ALL ITEMS'!$E:$E,$N213))</f>
        <v/>
      </c>
      <c r="F213" s="53" t="str">
        <f aca="false">IF($N213="","",INDEX('ALL ITEMS'!$F:$F,$N213))</f>
        <v/>
      </c>
      <c r="G213" s="53" t="str">
        <f aca="false">IF($N213="","",INDEX('ALL ITEMS'!$G:$G,$N213))</f>
        <v/>
      </c>
      <c r="H213" s="52" t="str">
        <f aca="false">IF($N213="","",INDEX('ALL ITEMS'!$H:$H,$N213))</f>
        <v/>
      </c>
      <c r="I213" s="54" t="str">
        <f aca="false">IF($N213="","",INDEX('ALL ITEMS'!$I:$I,$N213))</f>
        <v/>
      </c>
      <c r="J213" s="54" t="str">
        <f aca="false">IF($N213="","",INDEX('ALL ITEMS'!$J:$J,$N213))</f>
        <v/>
      </c>
      <c r="K213" s="54" t="str">
        <f aca="false">IF($N213="","",INDEX('ALL ITEMS'!$K:$K,$N213))</f>
        <v/>
      </c>
      <c r="L213" s="52" t="str">
        <f aca="false">IF($N213="","",INDEX('ALL ITEMS'!$L:$L,$N213))</f>
        <v/>
      </c>
      <c r="N213" s="0" t="str">
        <f aca="false">IF(ROWS($N$10:N213)&gt;$C$7,"",SMALL('ALL ITEMS'!$M$3:$M$764,ROWS($N$10:N213)))</f>
        <v/>
      </c>
    </row>
    <row r="214" customFormat="false" ht="15" hidden="false" customHeight="false" outlineLevel="0" collapsed="false">
      <c r="A214" s="52" t="str">
        <f aca="false">IF($N214="","",ROWS($N$10:N214))</f>
        <v/>
      </c>
      <c r="B214" s="52" t="str">
        <f aca="false">IF($N214="","",INDEX('ALL ITEMS'!$B:$B,$N214))</f>
        <v/>
      </c>
      <c r="C214" s="53" t="str">
        <f aca="false">IF($N214="","",INDEX('ALL ITEMS'!$A:$A,$N214))</f>
        <v/>
      </c>
      <c r="D214" s="53" t="str">
        <f aca="false">IF($N214="","",INDEX('ALL ITEMS'!$D:$D,$N214))</f>
        <v/>
      </c>
      <c r="E214" s="53" t="str">
        <f aca="false">IF($N214="","",INDEX('ALL ITEMS'!$E:$E,$N214))</f>
        <v/>
      </c>
      <c r="F214" s="53" t="str">
        <f aca="false">IF($N214="","",INDEX('ALL ITEMS'!$F:$F,$N214))</f>
        <v/>
      </c>
      <c r="G214" s="53" t="str">
        <f aca="false">IF($N214="","",INDEX('ALL ITEMS'!$G:$G,$N214))</f>
        <v/>
      </c>
      <c r="H214" s="52" t="str">
        <f aca="false">IF($N214="","",INDEX('ALL ITEMS'!$H:$H,$N214))</f>
        <v/>
      </c>
      <c r="I214" s="54" t="str">
        <f aca="false">IF($N214="","",INDEX('ALL ITEMS'!$I:$I,$N214))</f>
        <v/>
      </c>
      <c r="J214" s="54" t="str">
        <f aca="false">IF($N214="","",INDEX('ALL ITEMS'!$J:$J,$N214))</f>
        <v/>
      </c>
      <c r="K214" s="54" t="str">
        <f aca="false">IF($N214="","",INDEX('ALL ITEMS'!$K:$K,$N214))</f>
        <v/>
      </c>
      <c r="L214" s="52" t="str">
        <f aca="false">IF($N214="","",INDEX('ALL ITEMS'!$L:$L,$N214))</f>
        <v/>
      </c>
      <c r="N214" s="0" t="str">
        <f aca="false">IF(ROWS($N$10:N214)&gt;$C$7,"",SMALL('ALL ITEMS'!$M$3:$M$764,ROWS($N$10:N214)))</f>
        <v/>
      </c>
    </row>
    <row r="215" customFormat="false" ht="15" hidden="false" customHeight="false" outlineLevel="0" collapsed="false">
      <c r="A215" s="52" t="str">
        <f aca="false">IF($N215="","",ROWS($N$10:N215))</f>
        <v/>
      </c>
      <c r="B215" s="52" t="str">
        <f aca="false">IF($N215="","",INDEX('ALL ITEMS'!$B:$B,$N215))</f>
        <v/>
      </c>
      <c r="C215" s="53" t="str">
        <f aca="false">IF($N215="","",INDEX('ALL ITEMS'!$A:$A,$N215))</f>
        <v/>
      </c>
      <c r="D215" s="53" t="str">
        <f aca="false">IF($N215="","",INDEX('ALL ITEMS'!$D:$D,$N215))</f>
        <v/>
      </c>
      <c r="E215" s="53" t="str">
        <f aca="false">IF($N215="","",INDEX('ALL ITEMS'!$E:$E,$N215))</f>
        <v/>
      </c>
      <c r="F215" s="53" t="str">
        <f aca="false">IF($N215="","",INDEX('ALL ITEMS'!$F:$F,$N215))</f>
        <v/>
      </c>
      <c r="G215" s="53" t="str">
        <f aca="false">IF($N215="","",INDEX('ALL ITEMS'!$G:$G,$N215))</f>
        <v/>
      </c>
      <c r="H215" s="52" t="str">
        <f aca="false">IF($N215="","",INDEX('ALL ITEMS'!$H:$H,$N215))</f>
        <v/>
      </c>
      <c r="I215" s="54" t="str">
        <f aca="false">IF($N215="","",INDEX('ALL ITEMS'!$I:$I,$N215))</f>
        <v/>
      </c>
      <c r="J215" s="54" t="str">
        <f aca="false">IF($N215="","",INDEX('ALL ITEMS'!$J:$J,$N215))</f>
        <v/>
      </c>
      <c r="K215" s="54" t="str">
        <f aca="false">IF($N215="","",INDEX('ALL ITEMS'!$K:$K,$N215))</f>
        <v/>
      </c>
      <c r="L215" s="52" t="str">
        <f aca="false">IF($N215="","",INDEX('ALL ITEMS'!$L:$L,$N215))</f>
        <v/>
      </c>
      <c r="N215" s="0" t="str">
        <f aca="false">IF(ROWS($N$10:N215)&gt;$C$7,"",SMALL('ALL ITEMS'!$M$3:$M$764,ROWS($N$10:N215)))</f>
        <v/>
      </c>
    </row>
    <row r="216" customFormat="false" ht="15" hidden="false" customHeight="false" outlineLevel="0" collapsed="false">
      <c r="A216" s="52" t="str">
        <f aca="false">IF($N216="","",ROWS($N$10:N216))</f>
        <v/>
      </c>
      <c r="B216" s="52" t="str">
        <f aca="false">IF($N216="","",INDEX('ALL ITEMS'!$B:$B,$N216))</f>
        <v/>
      </c>
      <c r="C216" s="53" t="str">
        <f aca="false">IF($N216="","",INDEX('ALL ITEMS'!$A:$A,$N216))</f>
        <v/>
      </c>
      <c r="D216" s="53" t="str">
        <f aca="false">IF($N216="","",INDEX('ALL ITEMS'!$D:$D,$N216))</f>
        <v/>
      </c>
      <c r="E216" s="53" t="str">
        <f aca="false">IF($N216="","",INDEX('ALL ITEMS'!$E:$E,$N216))</f>
        <v/>
      </c>
      <c r="F216" s="53" t="str">
        <f aca="false">IF($N216="","",INDEX('ALL ITEMS'!$F:$F,$N216))</f>
        <v/>
      </c>
      <c r="G216" s="53" t="str">
        <f aca="false">IF($N216="","",INDEX('ALL ITEMS'!$G:$G,$N216))</f>
        <v/>
      </c>
      <c r="H216" s="52" t="str">
        <f aca="false">IF($N216="","",INDEX('ALL ITEMS'!$H:$H,$N216))</f>
        <v/>
      </c>
      <c r="I216" s="54" t="str">
        <f aca="false">IF($N216="","",INDEX('ALL ITEMS'!$I:$I,$N216))</f>
        <v/>
      </c>
      <c r="J216" s="54" t="str">
        <f aca="false">IF($N216="","",INDEX('ALL ITEMS'!$J:$J,$N216))</f>
        <v/>
      </c>
      <c r="K216" s="54" t="str">
        <f aca="false">IF($N216="","",INDEX('ALL ITEMS'!$K:$K,$N216))</f>
        <v/>
      </c>
      <c r="L216" s="52" t="str">
        <f aca="false">IF($N216="","",INDEX('ALL ITEMS'!$L:$L,$N216))</f>
        <v/>
      </c>
      <c r="N216" s="0" t="str">
        <f aca="false">IF(ROWS($N$10:N216)&gt;$C$7,"",SMALL('ALL ITEMS'!$M$3:$M$764,ROWS($N$10:N216)))</f>
        <v/>
      </c>
    </row>
    <row r="217" customFormat="false" ht="15" hidden="false" customHeight="false" outlineLevel="0" collapsed="false">
      <c r="A217" s="52" t="str">
        <f aca="false">IF($N217="","",ROWS($N$10:N217))</f>
        <v/>
      </c>
      <c r="B217" s="52" t="str">
        <f aca="false">IF($N217="","",INDEX('ALL ITEMS'!$B:$B,$N217))</f>
        <v/>
      </c>
      <c r="C217" s="53" t="str">
        <f aca="false">IF($N217="","",INDEX('ALL ITEMS'!$A:$A,$N217))</f>
        <v/>
      </c>
      <c r="D217" s="53" t="str">
        <f aca="false">IF($N217="","",INDEX('ALL ITEMS'!$D:$D,$N217))</f>
        <v/>
      </c>
      <c r="E217" s="53" t="str">
        <f aca="false">IF($N217="","",INDEX('ALL ITEMS'!$E:$E,$N217))</f>
        <v/>
      </c>
      <c r="F217" s="53" t="str">
        <f aca="false">IF($N217="","",INDEX('ALL ITEMS'!$F:$F,$N217))</f>
        <v/>
      </c>
      <c r="G217" s="53" t="str">
        <f aca="false">IF($N217="","",INDEX('ALL ITEMS'!$G:$G,$N217))</f>
        <v/>
      </c>
      <c r="H217" s="52" t="str">
        <f aca="false">IF($N217="","",INDEX('ALL ITEMS'!$H:$H,$N217))</f>
        <v/>
      </c>
      <c r="I217" s="54" t="str">
        <f aca="false">IF($N217="","",INDEX('ALL ITEMS'!$I:$I,$N217))</f>
        <v/>
      </c>
      <c r="J217" s="54" t="str">
        <f aca="false">IF($N217="","",INDEX('ALL ITEMS'!$J:$J,$N217))</f>
        <v/>
      </c>
      <c r="K217" s="54" t="str">
        <f aca="false">IF($N217="","",INDEX('ALL ITEMS'!$K:$K,$N217))</f>
        <v/>
      </c>
      <c r="L217" s="52" t="str">
        <f aca="false">IF($N217="","",INDEX('ALL ITEMS'!$L:$L,$N217))</f>
        <v/>
      </c>
      <c r="N217" s="0" t="str">
        <f aca="false">IF(ROWS($N$10:N217)&gt;$C$7,"",SMALL('ALL ITEMS'!$M$3:$M$764,ROWS($N$10:N217)))</f>
        <v/>
      </c>
    </row>
    <row r="218" customFormat="false" ht="15" hidden="false" customHeight="false" outlineLevel="0" collapsed="false">
      <c r="A218" s="52" t="str">
        <f aca="false">IF($N218="","",ROWS($N$10:N218))</f>
        <v/>
      </c>
      <c r="B218" s="52" t="str">
        <f aca="false">IF($N218="","",INDEX('ALL ITEMS'!$B:$B,$N218))</f>
        <v/>
      </c>
      <c r="C218" s="53" t="str">
        <f aca="false">IF($N218="","",INDEX('ALL ITEMS'!$A:$A,$N218))</f>
        <v/>
      </c>
      <c r="D218" s="53" t="str">
        <f aca="false">IF($N218="","",INDEX('ALL ITEMS'!$D:$D,$N218))</f>
        <v/>
      </c>
      <c r="E218" s="53" t="str">
        <f aca="false">IF($N218="","",INDEX('ALL ITEMS'!$E:$E,$N218))</f>
        <v/>
      </c>
      <c r="F218" s="53" t="str">
        <f aca="false">IF($N218="","",INDEX('ALL ITEMS'!$F:$F,$N218))</f>
        <v/>
      </c>
      <c r="G218" s="53" t="str">
        <f aca="false">IF($N218="","",INDEX('ALL ITEMS'!$G:$G,$N218))</f>
        <v/>
      </c>
      <c r="H218" s="52" t="str">
        <f aca="false">IF($N218="","",INDEX('ALL ITEMS'!$H:$H,$N218))</f>
        <v/>
      </c>
      <c r="I218" s="54" t="str">
        <f aca="false">IF($N218="","",INDEX('ALL ITEMS'!$I:$I,$N218))</f>
        <v/>
      </c>
      <c r="J218" s="54" t="str">
        <f aca="false">IF($N218="","",INDEX('ALL ITEMS'!$J:$J,$N218))</f>
        <v/>
      </c>
      <c r="K218" s="54" t="str">
        <f aca="false">IF($N218="","",INDEX('ALL ITEMS'!$K:$K,$N218))</f>
        <v/>
      </c>
      <c r="L218" s="52" t="str">
        <f aca="false">IF($N218="","",INDEX('ALL ITEMS'!$L:$L,$N218))</f>
        <v/>
      </c>
      <c r="N218" s="0" t="str">
        <f aca="false">IF(ROWS($N$10:N218)&gt;$C$7,"",SMALL('ALL ITEMS'!$M$3:$M$764,ROWS($N$10:N218)))</f>
        <v/>
      </c>
    </row>
    <row r="219" customFormat="false" ht="15" hidden="false" customHeight="false" outlineLevel="0" collapsed="false">
      <c r="A219" s="52" t="str">
        <f aca="false">IF($N219="","",ROWS($N$10:N219))</f>
        <v/>
      </c>
      <c r="B219" s="52" t="str">
        <f aca="false">IF($N219="","",INDEX('ALL ITEMS'!$B:$B,$N219))</f>
        <v/>
      </c>
      <c r="C219" s="53" t="str">
        <f aca="false">IF($N219="","",INDEX('ALL ITEMS'!$A:$A,$N219))</f>
        <v/>
      </c>
      <c r="D219" s="53" t="str">
        <f aca="false">IF($N219="","",INDEX('ALL ITEMS'!$D:$D,$N219))</f>
        <v/>
      </c>
      <c r="E219" s="53" t="str">
        <f aca="false">IF($N219="","",INDEX('ALL ITEMS'!$E:$E,$N219))</f>
        <v/>
      </c>
      <c r="F219" s="53" t="str">
        <f aca="false">IF($N219="","",INDEX('ALL ITEMS'!$F:$F,$N219))</f>
        <v/>
      </c>
      <c r="G219" s="53" t="str">
        <f aca="false">IF($N219="","",INDEX('ALL ITEMS'!$G:$G,$N219))</f>
        <v/>
      </c>
      <c r="H219" s="52" t="str">
        <f aca="false">IF($N219="","",INDEX('ALL ITEMS'!$H:$H,$N219))</f>
        <v/>
      </c>
      <c r="I219" s="54" t="str">
        <f aca="false">IF($N219="","",INDEX('ALL ITEMS'!$I:$I,$N219))</f>
        <v/>
      </c>
      <c r="J219" s="54" t="str">
        <f aca="false">IF($N219="","",INDEX('ALL ITEMS'!$J:$J,$N219))</f>
        <v/>
      </c>
      <c r="K219" s="54" t="str">
        <f aca="false">IF($N219="","",INDEX('ALL ITEMS'!$K:$K,$N219))</f>
        <v/>
      </c>
      <c r="L219" s="52" t="str">
        <f aca="false">IF($N219="","",INDEX('ALL ITEMS'!$L:$L,$N219))</f>
        <v/>
      </c>
      <c r="N219" s="0" t="str">
        <f aca="false">IF(ROWS($N$10:N219)&gt;$C$7,"",SMALL('ALL ITEMS'!$M$3:$M$764,ROWS($N$10:N219)))</f>
        <v/>
      </c>
    </row>
    <row r="220" customFormat="false" ht="15" hidden="false" customHeight="false" outlineLevel="0" collapsed="false">
      <c r="A220" s="52" t="str">
        <f aca="false">IF($N220="","",ROWS($N$10:N220))</f>
        <v/>
      </c>
      <c r="B220" s="52" t="str">
        <f aca="false">IF($N220="","",INDEX('ALL ITEMS'!$B:$B,$N220))</f>
        <v/>
      </c>
      <c r="C220" s="53" t="str">
        <f aca="false">IF($N220="","",INDEX('ALL ITEMS'!$A:$A,$N220))</f>
        <v/>
      </c>
      <c r="D220" s="53" t="str">
        <f aca="false">IF($N220="","",INDEX('ALL ITEMS'!$D:$D,$N220))</f>
        <v/>
      </c>
      <c r="E220" s="53" t="str">
        <f aca="false">IF($N220="","",INDEX('ALL ITEMS'!$E:$E,$N220))</f>
        <v/>
      </c>
      <c r="F220" s="53" t="str">
        <f aca="false">IF($N220="","",INDEX('ALL ITEMS'!$F:$F,$N220))</f>
        <v/>
      </c>
      <c r="G220" s="53" t="str">
        <f aca="false">IF($N220="","",INDEX('ALL ITEMS'!$G:$G,$N220))</f>
        <v/>
      </c>
      <c r="H220" s="52" t="str">
        <f aca="false">IF($N220="","",INDEX('ALL ITEMS'!$H:$H,$N220))</f>
        <v/>
      </c>
      <c r="I220" s="54" t="str">
        <f aca="false">IF($N220="","",INDEX('ALL ITEMS'!$I:$I,$N220))</f>
        <v/>
      </c>
      <c r="J220" s="54" t="str">
        <f aca="false">IF($N220="","",INDEX('ALL ITEMS'!$J:$J,$N220))</f>
        <v/>
      </c>
      <c r="K220" s="54" t="str">
        <f aca="false">IF($N220="","",INDEX('ALL ITEMS'!$K:$K,$N220))</f>
        <v/>
      </c>
      <c r="L220" s="52" t="str">
        <f aca="false">IF($N220="","",INDEX('ALL ITEMS'!$L:$L,$N220))</f>
        <v/>
      </c>
      <c r="N220" s="0" t="str">
        <f aca="false">IF(ROWS($N$10:N220)&gt;$C$7,"",SMALL('ALL ITEMS'!$M$3:$M$764,ROWS($N$10:N220)))</f>
        <v/>
      </c>
    </row>
    <row r="221" customFormat="false" ht="15" hidden="false" customHeight="false" outlineLevel="0" collapsed="false">
      <c r="A221" s="52" t="str">
        <f aca="false">IF($N221="","",ROWS($N$10:N221))</f>
        <v/>
      </c>
      <c r="B221" s="52" t="str">
        <f aca="false">IF($N221="","",INDEX('ALL ITEMS'!$B:$B,$N221))</f>
        <v/>
      </c>
      <c r="C221" s="53" t="str">
        <f aca="false">IF($N221="","",INDEX('ALL ITEMS'!$A:$A,$N221))</f>
        <v/>
      </c>
      <c r="D221" s="53" t="str">
        <f aca="false">IF($N221="","",INDEX('ALL ITEMS'!$D:$D,$N221))</f>
        <v/>
      </c>
      <c r="E221" s="53" t="str">
        <f aca="false">IF($N221="","",INDEX('ALL ITEMS'!$E:$E,$N221))</f>
        <v/>
      </c>
      <c r="F221" s="53" t="str">
        <f aca="false">IF($N221="","",INDEX('ALL ITEMS'!$F:$F,$N221))</f>
        <v/>
      </c>
      <c r="G221" s="53" t="str">
        <f aca="false">IF($N221="","",INDEX('ALL ITEMS'!$G:$G,$N221))</f>
        <v/>
      </c>
      <c r="H221" s="52" t="str">
        <f aca="false">IF($N221="","",INDEX('ALL ITEMS'!$H:$H,$N221))</f>
        <v/>
      </c>
      <c r="I221" s="54" t="str">
        <f aca="false">IF($N221="","",INDEX('ALL ITEMS'!$I:$I,$N221))</f>
        <v/>
      </c>
      <c r="J221" s="54" t="str">
        <f aca="false">IF($N221="","",INDEX('ALL ITEMS'!$J:$J,$N221))</f>
        <v/>
      </c>
      <c r="K221" s="54" t="str">
        <f aca="false">IF($N221="","",INDEX('ALL ITEMS'!$K:$K,$N221))</f>
        <v/>
      </c>
      <c r="L221" s="52" t="str">
        <f aca="false">IF($N221="","",INDEX('ALL ITEMS'!$L:$L,$N221))</f>
        <v/>
      </c>
      <c r="N221" s="0" t="str">
        <f aca="false">IF(ROWS($N$10:N221)&gt;$C$7,"",SMALL('ALL ITEMS'!$M$3:$M$764,ROWS($N$10:N221)))</f>
        <v/>
      </c>
    </row>
    <row r="222" customFormat="false" ht="15" hidden="false" customHeight="false" outlineLevel="0" collapsed="false">
      <c r="A222" s="52" t="str">
        <f aca="false">IF($N222="","",ROWS($N$10:N222))</f>
        <v/>
      </c>
      <c r="B222" s="52" t="str">
        <f aca="false">IF($N222="","",INDEX('ALL ITEMS'!$B:$B,$N222))</f>
        <v/>
      </c>
      <c r="C222" s="53" t="str">
        <f aca="false">IF($N222="","",INDEX('ALL ITEMS'!$A:$A,$N222))</f>
        <v/>
      </c>
      <c r="D222" s="53" t="str">
        <f aca="false">IF($N222="","",INDEX('ALL ITEMS'!$D:$D,$N222))</f>
        <v/>
      </c>
      <c r="E222" s="53" t="str">
        <f aca="false">IF($N222="","",INDEX('ALL ITEMS'!$E:$E,$N222))</f>
        <v/>
      </c>
      <c r="F222" s="53" t="str">
        <f aca="false">IF($N222="","",INDEX('ALL ITEMS'!$F:$F,$N222))</f>
        <v/>
      </c>
      <c r="G222" s="53" t="str">
        <f aca="false">IF($N222="","",INDEX('ALL ITEMS'!$G:$G,$N222))</f>
        <v/>
      </c>
      <c r="H222" s="52" t="str">
        <f aca="false">IF($N222="","",INDEX('ALL ITEMS'!$H:$H,$N222))</f>
        <v/>
      </c>
      <c r="I222" s="54" t="str">
        <f aca="false">IF($N222="","",INDEX('ALL ITEMS'!$I:$I,$N222))</f>
        <v/>
      </c>
      <c r="J222" s="54" t="str">
        <f aca="false">IF($N222="","",INDEX('ALL ITEMS'!$J:$J,$N222))</f>
        <v/>
      </c>
      <c r="K222" s="54" t="str">
        <f aca="false">IF($N222="","",INDEX('ALL ITEMS'!$K:$K,$N222))</f>
        <v/>
      </c>
      <c r="L222" s="52" t="str">
        <f aca="false">IF($N222="","",INDEX('ALL ITEMS'!$L:$L,$N222))</f>
        <v/>
      </c>
      <c r="N222" s="0" t="str">
        <f aca="false">IF(ROWS($N$10:N222)&gt;$C$7,"",SMALL('ALL ITEMS'!$M$3:$M$764,ROWS($N$10:N222)))</f>
        <v/>
      </c>
    </row>
    <row r="223" customFormat="false" ht="15" hidden="false" customHeight="false" outlineLevel="0" collapsed="false">
      <c r="A223" s="52" t="str">
        <f aca="false">IF($N223="","",ROWS($N$10:N223))</f>
        <v/>
      </c>
      <c r="B223" s="52" t="str">
        <f aca="false">IF($N223="","",INDEX('ALL ITEMS'!$B:$B,$N223))</f>
        <v/>
      </c>
      <c r="C223" s="53" t="str">
        <f aca="false">IF($N223="","",INDEX('ALL ITEMS'!$A:$A,$N223))</f>
        <v/>
      </c>
      <c r="D223" s="53" t="str">
        <f aca="false">IF($N223="","",INDEX('ALL ITEMS'!$D:$D,$N223))</f>
        <v/>
      </c>
      <c r="E223" s="53" t="str">
        <f aca="false">IF($N223="","",INDEX('ALL ITEMS'!$E:$E,$N223))</f>
        <v/>
      </c>
      <c r="F223" s="53" t="str">
        <f aca="false">IF($N223="","",INDEX('ALL ITEMS'!$F:$F,$N223))</f>
        <v/>
      </c>
      <c r="G223" s="53" t="str">
        <f aca="false">IF($N223="","",INDEX('ALL ITEMS'!$G:$G,$N223))</f>
        <v/>
      </c>
      <c r="H223" s="52" t="str">
        <f aca="false">IF($N223="","",INDEX('ALL ITEMS'!$H:$H,$N223))</f>
        <v/>
      </c>
      <c r="I223" s="54" t="str">
        <f aca="false">IF($N223="","",INDEX('ALL ITEMS'!$I:$I,$N223))</f>
        <v/>
      </c>
      <c r="J223" s="54" t="str">
        <f aca="false">IF($N223="","",INDEX('ALL ITEMS'!$J:$J,$N223))</f>
        <v/>
      </c>
      <c r="K223" s="54" t="str">
        <f aca="false">IF($N223="","",INDEX('ALL ITEMS'!$K:$K,$N223))</f>
        <v/>
      </c>
      <c r="L223" s="52" t="str">
        <f aca="false">IF($N223="","",INDEX('ALL ITEMS'!$L:$L,$N223))</f>
        <v/>
      </c>
      <c r="N223" s="0" t="str">
        <f aca="false">IF(ROWS($N$10:N223)&gt;$C$7,"",SMALL('ALL ITEMS'!$M$3:$M$764,ROWS($N$10:N223)))</f>
        <v/>
      </c>
    </row>
    <row r="224" customFormat="false" ht="15" hidden="false" customHeight="false" outlineLevel="0" collapsed="false">
      <c r="A224" s="52" t="str">
        <f aca="false">IF($N224="","",ROWS($N$10:N224))</f>
        <v/>
      </c>
      <c r="B224" s="52" t="str">
        <f aca="false">IF($N224="","",INDEX('ALL ITEMS'!$B:$B,$N224))</f>
        <v/>
      </c>
      <c r="C224" s="53" t="str">
        <f aca="false">IF($N224="","",INDEX('ALL ITEMS'!$A:$A,$N224))</f>
        <v/>
      </c>
      <c r="D224" s="53" t="str">
        <f aca="false">IF($N224="","",INDEX('ALL ITEMS'!$D:$D,$N224))</f>
        <v/>
      </c>
      <c r="E224" s="53" t="str">
        <f aca="false">IF($N224="","",INDEX('ALL ITEMS'!$E:$E,$N224))</f>
        <v/>
      </c>
      <c r="F224" s="53" t="str">
        <f aca="false">IF($N224="","",INDEX('ALL ITEMS'!$F:$F,$N224))</f>
        <v/>
      </c>
      <c r="G224" s="53" t="str">
        <f aca="false">IF($N224="","",INDEX('ALL ITEMS'!$G:$G,$N224))</f>
        <v/>
      </c>
      <c r="H224" s="52" t="str">
        <f aca="false">IF($N224="","",INDEX('ALL ITEMS'!$H:$H,$N224))</f>
        <v/>
      </c>
      <c r="I224" s="54" t="str">
        <f aca="false">IF($N224="","",INDEX('ALL ITEMS'!$I:$I,$N224))</f>
        <v/>
      </c>
      <c r="J224" s="54" t="str">
        <f aca="false">IF($N224="","",INDEX('ALL ITEMS'!$J:$J,$N224))</f>
        <v/>
      </c>
      <c r="K224" s="54" t="str">
        <f aca="false">IF($N224="","",INDEX('ALL ITEMS'!$K:$K,$N224))</f>
        <v/>
      </c>
      <c r="L224" s="52" t="str">
        <f aca="false">IF($N224="","",INDEX('ALL ITEMS'!$L:$L,$N224))</f>
        <v/>
      </c>
      <c r="N224" s="0" t="str">
        <f aca="false">IF(ROWS($N$10:N224)&gt;$C$7,"",SMALL('ALL ITEMS'!$M$3:$M$764,ROWS($N$10:N224)))</f>
        <v/>
      </c>
    </row>
    <row r="225" customFormat="false" ht="15" hidden="false" customHeight="false" outlineLevel="0" collapsed="false">
      <c r="A225" s="52" t="str">
        <f aca="false">IF($N225="","",ROWS($N$10:N225))</f>
        <v/>
      </c>
      <c r="B225" s="52" t="str">
        <f aca="false">IF($N225="","",INDEX('ALL ITEMS'!$B:$B,$N225))</f>
        <v/>
      </c>
      <c r="C225" s="53" t="str">
        <f aca="false">IF($N225="","",INDEX('ALL ITEMS'!$A:$A,$N225))</f>
        <v/>
      </c>
      <c r="D225" s="53" t="str">
        <f aca="false">IF($N225="","",INDEX('ALL ITEMS'!$D:$D,$N225))</f>
        <v/>
      </c>
      <c r="E225" s="53" t="str">
        <f aca="false">IF($N225="","",INDEX('ALL ITEMS'!$E:$E,$N225))</f>
        <v/>
      </c>
      <c r="F225" s="53" t="str">
        <f aca="false">IF($N225="","",INDEX('ALL ITEMS'!$F:$F,$N225))</f>
        <v/>
      </c>
      <c r="G225" s="53" t="str">
        <f aca="false">IF($N225="","",INDEX('ALL ITEMS'!$G:$G,$N225))</f>
        <v/>
      </c>
      <c r="H225" s="52" t="str">
        <f aca="false">IF($N225="","",INDEX('ALL ITEMS'!$H:$H,$N225))</f>
        <v/>
      </c>
      <c r="I225" s="54" t="str">
        <f aca="false">IF($N225="","",INDEX('ALL ITEMS'!$I:$I,$N225))</f>
        <v/>
      </c>
      <c r="J225" s="54" t="str">
        <f aca="false">IF($N225="","",INDEX('ALL ITEMS'!$J:$J,$N225))</f>
        <v/>
      </c>
      <c r="K225" s="54" t="str">
        <f aca="false">IF($N225="","",INDEX('ALL ITEMS'!$K:$K,$N225))</f>
        <v/>
      </c>
      <c r="L225" s="52" t="str">
        <f aca="false">IF($N225="","",INDEX('ALL ITEMS'!$L:$L,$N225))</f>
        <v/>
      </c>
      <c r="N225" s="0" t="str">
        <f aca="false">IF(ROWS($N$10:N225)&gt;$C$7,"",SMALL('ALL ITEMS'!$M$3:$M$764,ROWS($N$10:N225)))</f>
        <v/>
      </c>
    </row>
    <row r="226" customFormat="false" ht="15" hidden="false" customHeight="false" outlineLevel="0" collapsed="false">
      <c r="A226" s="52" t="str">
        <f aca="false">IF($N226="","",ROWS($N$10:N226))</f>
        <v/>
      </c>
      <c r="B226" s="52" t="str">
        <f aca="false">IF($N226="","",INDEX('ALL ITEMS'!$B:$B,$N226))</f>
        <v/>
      </c>
      <c r="C226" s="53" t="str">
        <f aca="false">IF($N226="","",INDEX('ALL ITEMS'!$A:$A,$N226))</f>
        <v/>
      </c>
      <c r="D226" s="53" t="str">
        <f aca="false">IF($N226="","",INDEX('ALL ITEMS'!$D:$D,$N226))</f>
        <v/>
      </c>
      <c r="E226" s="53" t="str">
        <f aca="false">IF($N226="","",INDEX('ALL ITEMS'!$E:$E,$N226))</f>
        <v/>
      </c>
      <c r="F226" s="53" t="str">
        <f aca="false">IF($N226="","",INDEX('ALL ITEMS'!$F:$F,$N226))</f>
        <v/>
      </c>
      <c r="G226" s="53" t="str">
        <f aca="false">IF($N226="","",INDEX('ALL ITEMS'!$G:$G,$N226))</f>
        <v/>
      </c>
      <c r="H226" s="52" t="str">
        <f aca="false">IF($N226="","",INDEX('ALL ITEMS'!$H:$H,$N226))</f>
        <v/>
      </c>
      <c r="I226" s="54" t="str">
        <f aca="false">IF($N226="","",INDEX('ALL ITEMS'!$I:$I,$N226))</f>
        <v/>
      </c>
      <c r="J226" s="54" t="str">
        <f aca="false">IF($N226="","",INDEX('ALL ITEMS'!$J:$J,$N226))</f>
        <v/>
      </c>
      <c r="K226" s="54" t="str">
        <f aca="false">IF($N226="","",INDEX('ALL ITEMS'!$K:$K,$N226))</f>
        <v/>
      </c>
      <c r="L226" s="52" t="str">
        <f aca="false">IF($N226="","",INDEX('ALL ITEMS'!$L:$L,$N226))</f>
        <v/>
      </c>
      <c r="N226" s="0" t="str">
        <f aca="false">IF(ROWS($N$10:N226)&gt;$C$7,"",SMALL('ALL ITEMS'!$M$3:$M$764,ROWS($N$10:N226)))</f>
        <v/>
      </c>
    </row>
    <row r="227" customFormat="false" ht="15" hidden="false" customHeight="false" outlineLevel="0" collapsed="false">
      <c r="A227" s="52" t="str">
        <f aca="false">IF($N227="","",ROWS($N$10:N227))</f>
        <v/>
      </c>
      <c r="B227" s="52" t="str">
        <f aca="false">IF($N227="","",INDEX('ALL ITEMS'!$B:$B,$N227))</f>
        <v/>
      </c>
      <c r="C227" s="53" t="str">
        <f aca="false">IF($N227="","",INDEX('ALL ITEMS'!$A:$A,$N227))</f>
        <v/>
      </c>
      <c r="D227" s="53" t="str">
        <f aca="false">IF($N227="","",INDEX('ALL ITEMS'!$D:$D,$N227))</f>
        <v/>
      </c>
      <c r="E227" s="53" t="str">
        <f aca="false">IF($N227="","",INDEX('ALL ITEMS'!$E:$E,$N227))</f>
        <v/>
      </c>
      <c r="F227" s="53" t="str">
        <f aca="false">IF($N227="","",INDEX('ALL ITEMS'!$F:$F,$N227))</f>
        <v/>
      </c>
      <c r="G227" s="53" t="str">
        <f aca="false">IF($N227="","",INDEX('ALL ITEMS'!$G:$G,$N227))</f>
        <v/>
      </c>
      <c r="H227" s="52" t="str">
        <f aca="false">IF($N227="","",INDEX('ALL ITEMS'!$H:$H,$N227))</f>
        <v/>
      </c>
      <c r="I227" s="54" t="str">
        <f aca="false">IF($N227="","",INDEX('ALL ITEMS'!$I:$I,$N227))</f>
        <v/>
      </c>
      <c r="J227" s="54" t="str">
        <f aca="false">IF($N227="","",INDEX('ALL ITEMS'!$J:$J,$N227))</f>
        <v/>
      </c>
      <c r="K227" s="54" t="str">
        <f aca="false">IF($N227="","",INDEX('ALL ITEMS'!$K:$K,$N227))</f>
        <v/>
      </c>
      <c r="L227" s="52" t="str">
        <f aca="false">IF($N227="","",INDEX('ALL ITEMS'!$L:$L,$N227))</f>
        <v/>
      </c>
      <c r="N227" s="0" t="str">
        <f aca="false">IF(ROWS($N$10:N227)&gt;$C$7,"",SMALL('ALL ITEMS'!$M$3:$M$764,ROWS($N$10:N227)))</f>
        <v/>
      </c>
    </row>
    <row r="228" customFormat="false" ht="15" hidden="false" customHeight="false" outlineLevel="0" collapsed="false">
      <c r="A228" s="52" t="str">
        <f aca="false">IF($N228="","",ROWS($N$10:N228))</f>
        <v/>
      </c>
      <c r="B228" s="52" t="str">
        <f aca="false">IF($N228="","",INDEX('ALL ITEMS'!$B:$B,$N228))</f>
        <v/>
      </c>
      <c r="C228" s="53" t="str">
        <f aca="false">IF($N228="","",INDEX('ALL ITEMS'!$A:$A,$N228))</f>
        <v/>
      </c>
      <c r="D228" s="53" t="str">
        <f aca="false">IF($N228="","",INDEX('ALL ITEMS'!$D:$D,$N228))</f>
        <v/>
      </c>
      <c r="E228" s="53" t="str">
        <f aca="false">IF($N228="","",INDEX('ALL ITEMS'!$E:$E,$N228))</f>
        <v/>
      </c>
      <c r="F228" s="53" t="str">
        <f aca="false">IF($N228="","",INDEX('ALL ITEMS'!$F:$F,$N228))</f>
        <v/>
      </c>
      <c r="G228" s="53" t="str">
        <f aca="false">IF($N228="","",INDEX('ALL ITEMS'!$G:$G,$N228))</f>
        <v/>
      </c>
      <c r="H228" s="52" t="str">
        <f aca="false">IF($N228="","",INDEX('ALL ITEMS'!$H:$H,$N228))</f>
        <v/>
      </c>
      <c r="I228" s="54" t="str">
        <f aca="false">IF($N228="","",INDEX('ALL ITEMS'!$I:$I,$N228))</f>
        <v/>
      </c>
      <c r="J228" s="54" t="str">
        <f aca="false">IF($N228="","",INDEX('ALL ITEMS'!$J:$J,$N228))</f>
        <v/>
      </c>
      <c r="K228" s="54" t="str">
        <f aca="false">IF($N228="","",INDEX('ALL ITEMS'!$K:$K,$N228))</f>
        <v/>
      </c>
      <c r="L228" s="52" t="str">
        <f aca="false">IF($N228="","",INDEX('ALL ITEMS'!$L:$L,$N228))</f>
        <v/>
      </c>
      <c r="N228" s="0" t="str">
        <f aca="false">IF(ROWS($N$10:N228)&gt;$C$7,"",SMALL('ALL ITEMS'!$M$3:$M$764,ROWS($N$10:N228)))</f>
        <v/>
      </c>
    </row>
    <row r="229" customFormat="false" ht="15" hidden="false" customHeight="false" outlineLevel="0" collapsed="false">
      <c r="A229" s="52" t="str">
        <f aca="false">IF($N229="","",ROWS($N$10:N229))</f>
        <v/>
      </c>
      <c r="B229" s="52" t="str">
        <f aca="false">IF($N229="","",INDEX('ALL ITEMS'!$B:$B,$N229))</f>
        <v/>
      </c>
      <c r="C229" s="53" t="str">
        <f aca="false">IF($N229="","",INDEX('ALL ITEMS'!$A:$A,$N229))</f>
        <v/>
      </c>
      <c r="D229" s="53" t="str">
        <f aca="false">IF($N229="","",INDEX('ALL ITEMS'!$D:$D,$N229))</f>
        <v/>
      </c>
      <c r="E229" s="53" t="str">
        <f aca="false">IF($N229="","",INDEX('ALL ITEMS'!$E:$E,$N229))</f>
        <v/>
      </c>
      <c r="F229" s="53" t="str">
        <f aca="false">IF($N229="","",INDEX('ALL ITEMS'!$F:$F,$N229))</f>
        <v/>
      </c>
      <c r="G229" s="53" t="str">
        <f aca="false">IF($N229="","",INDEX('ALL ITEMS'!$G:$G,$N229))</f>
        <v/>
      </c>
      <c r="H229" s="52" t="str">
        <f aca="false">IF($N229="","",INDEX('ALL ITEMS'!$H:$H,$N229))</f>
        <v/>
      </c>
      <c r="I229" s="54" t="str">
        <f aca="false">IF($N229="","",INDEX('ALL ITEMS'!$I:$I,$N229))</f>
        <v/>
      </c>
      <c r="J229" s="54" t="str">
        <f aca="false">IF($N229="","",INDEX('ALL ITEMS'!$J:$J,$N229))</f>
        <v/>
      </c>
      <c r="K229" s="54" t="str">
        <f aca="false">IF($N229="","",INDEX('ALL ITEMS'!$K:$K,$N229))</f>
        <v/>
      </c>
      <c r="L229" s="52" t="str">
        <f aca="false">IF($N229="","",INDEX('ALL ITEMS'!$L:$L,$N229))</f>
        <v/>
      </c>
      <c r="N229" s="0" t="str">
        <f aca="false">IF(ROWS($N$10:N229)&gt;$C$7,"",SMALL('ALL ITEMS'!$M$3:$M$764,ROWS($N$10:N229)))</f>
        <v/>
      </c>
    </row>
    <row r="230" customFormat="false" ht="15" hidden="false" customHeight="false" outlineLevel="0" collapsed="false">
      <c r="A230" s="52" t="str">
        <f aca="false">IF($N230="","",ROWS($N$10:N230))</f>
        <v/>
      </c>
      <c r="B230" s="52" t="str">
        <f aca="false">IF($N230="","",INDEX('ALL ITEMS'!$B:$B,$N230))</f>
        <v/>
      </c>
      <c r="C230" s="53" t="str">
        <f aca="false">IF($N230="","",INDEX('ALL ITEMS'!$A:$A,$N230))</f>
        <v/>
      </c>
      <c r="D230" s="53" t="str">
        <f aca="false">IF($N230="","",INDEX('ALL ITEMS'!$D:$D,$N230))</f>
        <v/>
      </c>
      <c r="E230" s="53" t="str">
        <f aca="false">IF($N230="","",INDEX('ALL ITEMS'!$E:$E,$N230))</f>
        <v/>
      </c>
      <c r="F230" s="53" t="str">
        <f aca="false">IF($N230="","",INDEX('ALL ITEMS'!$F:$F,$N230))</f>
        <v/>
      </c>
      <c r="G230" s="53" t="str">
        <f aca="false">IF($N230="","",INDEX('ALL ITEMS'!$G:$G,$N230))</f>
        <v/>
      </c>
      <c r="H230" s="52" t="str">
        <f aca="false">IF($N230="","",INDEX('ALL ITEMS'!$H:$H,$N230))</f>
        <v/>
      </c>
      <c r="I230" s="54" t="str">
        <f aca="false">IF($N230="","",INDEX('ALL ITEMS'!$I:$I,$N230))</f>
        <v/>
      </c>
      <c r="J230" s="54" t="str">
        <f aca="false">IF($N230="","",INDEX('ALL ITEMS'!$J:$J,$N230))</f>
        <v/>
      </c>
      <c r="K230" s="54" t="str">
        <f aca="false">IF($N230="","",INDEX('ALL ITEMS'!$K:$K,$N230))</f>
        <v/>
      </c>
      <c r="L230" s="52" t="str">
        <f aca="false">IF($N230="","",INDEX('ALL ITEMS'!$L:$L,$N230))</f>
        <v/>
      </c>
      <c r="N230" s="0" t="str">
        <f aca="false">IF(ROWS($N$10:N230)&gt;$C$7,"",SMALL('ALL ITEMS'!$M$3:$M$764,ROWS($N$10:N230)))</f>
        <v/>
      </c>
    </row>
    <row r="231" customFormat="false" ht="15" hidden="false" customHeight="false" outlineLevel="0" collapsed="false">
      <c r="A231" s="52" t="str">
        <f aca="false">IF($N231="","",ROWS($N$10:N231))</f>
        <v/>
      </c>
      <c r="B231" s="52" t="str">
        <f aca="false">IF($N231="","",INDEX('ALL ITEMS'!$B:$B,$N231))</f>
        <v/>
      </c>
      <c r="C231" s="53" t="str">
        <f aca="false">IF($N231="","",INDEX('ALL ITEMS'!$A:$A,$N231))</f>
        <v/>
      </c>
      <c r="D231" s="53" t="str">
        <f aca="false">IF($N231="","",INDEX('ALL ITEMS'!$D:$D,$N231))</f>
        <v/>
      </c>
      <c r="E231" s="53" t="str">
        <f aca="false">IF($N231="","",INDEX('ALL ITEMS'!$E:$E,$N231))</f>
        <v/>
      </c>
      <c r="F231" s="53" t="str">
        <f aca="false">IF($N231="","",INDEX('ALL ITEMS'!$F:$F,$N231))</f>
        <v/>
      </c>
      <c r="G231" s="53" t="str">
        <f aca="false">IF($N231="","",INDEX('ALL ITEMS'!$G:$G,$N231))</f>
        <v/>
      </c>
      <c r="H231" s="52" t="str">
        <f aca="false">IF($N231="","",INDEX('ALL ITEMS'!$H:$H,$N231))</f>
        <v/>
      </c>
      <c r="I231" s="54" t="str">
        <f aca="false">IF($N231="","",INDEX('ALL ITEMS'!$I:$I,$N231))</f>
        <v/>
      </c>
      <c r="J231" s="54" t="str">
        <f aca="false">IF($N231="","",INDEX('ALL ITEMS'!$J:$J,$N231))</f>
        <v/>
      </c>
      <c r="K231" s="54" t="str">
        <f aca="false">IF($N231="","",INDEX('ALL ITEMS'!$K:$K,$N231))</f>
        <v/>
      </c>
      <c r="L231" s="52" t="str">
        <f aca="false">IF($N231="","",INDEX('ALL ITEMS'!$L:$L,$N231))</f>
        <v/>
      </c>
      <c r="N231" s="0" t="str">
        <f aca="false">IF(ROWS($N$10:N231)&gt;$C$7,"",SMALL('ALL ITEMS'!$M$3:$M$764,ROWS($N$10:N231)))</f>
        <v/>
      </c>
    </row>
    <row r="232" customFormat="false" ht="15" hidden="false" customHeight="false" outlineLevel="0" collapsed="false">
      <c r="A232" s="52" t="str">
        <f aca="false">IF($N232="","",ROWS($N$10:N232))</f>
        <v/>
      </c>
      <c r="B232" s="52" t="str">
        <f aca="false">IF($N232="","",INDEX('ALL ITEMS'!$B:$B,$N232))</f>
        <v/>
      </c>
      <c r="C232" s="53" t="str">
        <f aca="false">IF($N232="","",INDEX('ALL ITEMS'!$A:$A,$N232))</f>
        <v/>
      </c>
      <c r="D232" s="53" t="str">
        <f aca="false">IF($N232="","",INDEX('ALL ITEMS'!$D:$D,$N232))</f>
        <v/>
      </c>
      <c r="E232" s="53" t="str">
        <f aca="false">IF($N232="","",INDEX('ALL ITEMS'!$E:$E,$N232))</f>
        <v/>
      </c>
      <c r="F232" s="53" t="str">
        <f aca="false">IF($N232="","",INDEX('ALL ITEMS'!$F:$F,$N232))</f>
        <v/>
      </c>
      <c r="G232" s="53" t="str">
        <f aca="false">IF($N232="","",INDEX('ALL ITEMS'!$G:$G,$N232))</f>
        <v/>
      </c>
      <c r="H232" s="52" t="str">
        <f aca="false">IF($N232="","",INDEX('ALL ITEMS'!$H:$H,$N232))</f>
        <v/>
      </c>
      <c r="I232" s="54" t="str">
        <f aca="false">IF($N232="","",INDEX('ALL ITEMS'!$I:$I,$N232))</f>
        <v/>
      </c>
      <c r="J232" s="54" t="str">
        <f aca="false">IF($N232="","",INDEX('ALL ITEMS'!$J:$J,$N232))</f>
        <v/>
      </c>
      <c r="K232" s="54" t="str">
        <f aca="false">IF($N232="","",INDEX('ALL ITEMS'!$K:$K,$N232))</f>
        <v/>
      </c>
      <c r="L232" s="52" t="str">
        <f aca="false">IF($N232="","",INDEX('ALL ITEMS'!$L:$L,$N232))</f>
        <v/>
      </c>
      <c r="N232" s="0" t="str">
        <f aca="false">IF(ROWS($N$10:N232)&gt;$C$7,"",SMALL('ALL ITEMS'!$M$3:$M$764,ROWS($N$10:N232)))</f>
        <v/>
      </c>
    </row>
    <row r="233" customFormat="false" ht="15" hidden="false" customHeight="false" outlineLevel="0" collapsed="false">
      <c r="A233" s="52" t="str">
        <f aca="false">IF($N233="","",ROWS($N$10:N233))</f>
        <v/>
      </c>
      <c r="B233" s="52" t="str">
        <f aca="false">IF($N233="","",INDEX('ALL ITEMS'!$B:$B,$N233))</f>
        <v/>
      </c>
      <c r="C233" s="53" t="str">
        <f aca="false">IF($N233="","",INDEX('ALL ITEMS'!$A:$A,$N233))</f>
        <v/>
      </c>
      <c r="D233" s="53" t="str">
        <f aca="false">IF($N233="","",INDEX('ALL ITEMS'!$D:$D,$N233))</f>
        <v/>
      </c>
      <c r="E233" s="53" t="str">
        <f aca="false">IF($N233="","",INDEX('ALL ITEMS'!$E:$E,$N233))</f>
        <v/>
      </c>
      <c r="F233" s="53" t="str">
        <f aca="false">IF($N233="","",INDEX('ALL ITEMS'!$F:$F,$N233))</f>
        <v/>
      </c>
      <c r="G233" s="53" t="str">
        <f aca="false">IF($N233="","",INDEX('ALL ITEMS'!$G:$G,$N233))</f>
        <v/>
      </c>
      <c r="H233" s="52" t="str">
        <f aca="false">IF($N233="","",INDEX('ALL ITEMS'!$H:$H,$N233))</f>
        <v/>
      </c>
      <c r="I233" s="54" t="str">
        <f aca="false">IF($N233="","",INDEX('ALL ITEMS'!$I:$I,$N233))</f>
        <v/>
      </c>
      <c r="J233" s="54" t="str">
        <f aca="false">IF($N233="","",INDEX('ALL ITEMS'!$J:$J,$N233))</f>
        <v/>
      </c>
      <c r="K233" s="54" t="str">
        <f aca="false">IF($N233="","",INDEX('ALL ITEMS'!$K:$K,$N233))</f>
        <v/>
      </c>
      <c r="L233" s="52" t="str">
        <f aca="false">IF($N233="","",INDEX('ALL ITEMS'!$L:$L,$N233))</f>
        <v/>
      </c>
      <c r="N233" s="0" t="str">
        <f aca="false">IF(ROWS($N$10:N233)&gt;$C$7,"",SMALL('ALL ITEMS'!$M$3:$M$764,ROWS($N$10:N233)))</f>
        <v/>
      </c>
    </row>
    <row r="234" customFormat="false" ht="15" hidden="false" customHeight="false" outlineLevel="0" collapsed="false">
      <c r="A234" s="52" t="str">
        <f aca="false">IF($N234="","",ROWS($N$10:N234))</f>
        <v/>
      </c>
      <c r="B234" s="52" t="str">
        <f aca="false">IF($N234="","",INDEX('ALL ITEMS'!$B:$B,$N234))</f>
        <v/>
      </c>
      <c r="C234" s="53" t="str">
        <f aca="false">IF($N234="","",INDEX('ALL ITEMS'!$A:$A,$N234))</f>
        <v/>
      </c>
      <c r="D234" s="53" t="str">
        <f aca="false">IF($N234="","",INDEX('ALL ITEMS'!$D:$D,$N234))</f>
        <v/>
      </c>
      <c r="E234" s="53" t="str">
        <f aca="false">IF($N234="","",INDEX('ALL ITEMS'!$E:$E,$N234))</f>
        <v/>
      </c>
      <c r="F234" s="53" t="str">
        <f aca="false">IF($N234="","",INDEX('ALL ITEMS'!$F:$F,$N234))</f>
        <v/>
      </c>
      <c r="G234" s="53" t="str">
        <f aca="false">IF($N234="","",INDEX('ALL ITEMS'!$G:$G,$N234))</f>
        <v/>
      </c>
      <c r="H234" s="52" t="str">
        <f aca="false">IF($N234="","",INDEX('ALL ITEMS'!$H:$H,$N234))</f>
        <v/>
      </c>
      <c r="I234" s="54" t="str">
        <f aca="false">IF($N234="","",INDEX('ALL ITEMS'!$I:$I,$N234))</f>
        <v/>
      </c>
      <c r="J234" s="54" t="str">
        <f aca="false">IF($N234="","",INDEX('ALL ITEMS'!$J:$J,$N234))</f>
        <v/>
      </c>
      <c r="K234" s="54" t="str">
        <f aca="false">IF($N234="","",INDEX('ALL ITEMS'!$K:$K,$N234))</f>
        <v/>
      </c>
      <c r="L234" s="52" t="str">
        <f aca="false">IF($N234="","",INDEX('ALL ITEMS'!$L:$L,$N234))</f>
        <v/>
      </c>
      <c r="N234" s="0" t="str">
        <f aca="false">IF(ROWS($N$10:N234)&gt;$C$7,"",SMALL('ALL ITEMS'!$M$3:$M$764,ROWS($N$10:N234)))</f>
        <v/>
      </c>
    </row>
    <row r="235" customFormat="false" ht="15" hidden="false" customHeight="false" outlineLevel="0" collapsed="false">
      <c r="A235" s="52" t="str">
        <f aca="false">IF($N235="","",ROWS($N$10:N235))</f>
        <v/>
      </c>
      <c r="B235" s="52" t="str">
        <f aca="false">IF($N235="","",INDEX('ALL ITEMS'!$B:$B,$N235))</f>
        <v/>
      </c>
      <c r="C235" s="53" t="str">
        <f aca="false">IF($N235="","",INDEX('ALL ITEMS'!$A:$A,$N235))</f>
        <v/>
      </c>
      <c r="D235" s="53" t="str">
        <f aca="false">IF($N235="","",INDEX('ALL ITEMS'!$D:$D,$N235))</f>
        <v/>
      </c>
      <c r="E235" s="53" t="str">
        <f aca="false">IF($N235="","",INDEX('ALL ITEMS'!$E:$E,$N235))</f>
        <v/>
      </c>
      <c r="F235" s="53" t="str">
        <f aca="false">IF($N235="","",INDEX('ALL ITEMS'!$F:$F,$N235))</f>
        <v/>
      </c>
      <c r="G235" s="53" t="str">
        <f aca="false">IF($N235="","",INDEX('ALL ITEMS'!$G:$G,$N235))</f>
        <v/>
      </c>
      <c r="H235" s="52" t="str">
        <f aca="false">IF($N235="","",INDEX('ALL ITEMS'!$H:$H,$N235))</f>
        <v/>
      </c>
      <c r="I235" s="54" t="str">
        <f aca="false">IF($N235="","",INDEX('ALL ITEMS'!$I:$I,$N235))</f>
        <v/>
      </c>
      <c r="J235" s="54" t="str">
        <f aca="false">IF($N235="","",INDEX('ALL ITEMS'!$J:$J,$N235))</f>
        <v/>
      </c>
      <c r="K235" s="54" t="str">
        <f aca="false">IF($N235="","",INDEX('ALL ITEMS'!$K:$K,$N235))</f>
        <v/>
      </c>
      <c r="L235" s="52" t="str">
        <f aca="false">IF($N235="","",INDEX('ALL ITEMS'!$L:$L,$N235))</f>
        <v/>
      </c>
      <c r="N235" s="0" t="str">
        <f aca="false">IF(ROWS($N$10:N235)&gt;$C$7,"",SMALL('ALL ITEMS'!$M$3:$M$764,ROWS($N$10:N235)))</f>
        <v/>
      </c>
    </row>
    <row r="236" customFormat="false" ht="15" hidden="false" customHeight="false" outlineLevel="0" collapsed="false">
      <c r="A236" s="52" t="str">
        <f aca="false">IF($N236="","",ROWS($N$10:N236))</f>
        <v/>
      </c>
      <c r="B236" s="52" t="str">
        <f aca="false">IF($N236="","",INDEX('ALL ITEMS'!$B:$B,$N236))</f>
        <v/>
      </c>
      <c r="C236" s="53" t="str">
        <f aca="false">IF($N236="","",INDEX('ALL ITEMS'!$A:$A,$N236))</f>
        <v/>
      </c>
      <c r="D236" s="53" t="str">
        <f aca="false">IF($N236="","",INDEX('ALL ITEMS'!$D:$D,$N236))</f>
        <v/>
      </c>
      <c r="E236" s="53" t="str">
        <f aca="false">IF($N236="","",INDEX('ALL ITEMS'!$E:$E,$N236))</f>
        <v/>
      </c>
      <c r="F236" s="53" t="str">
        <f aca="false">IF($N236="","",INDEX('ALL ITEMS'!$F:$F,$N236))</f>
        <v/>
      </c>
      <c r="G236" s="53" t="str">
        <f aca="false">IF($N236="","",INDEX('ALL ITEMS'!$G:$G,$N236))</f>
        <v/>
      </c>
      <c r="H236" s="52" t="str">
        <f aca="false">IF($N236="","",INDEX('ALL ITEMS'!$H:$H,$N236))</f>
        <v/>
      </c>
      <c r="I236" s="54" t="str">
        <f aca="false">IF($N236="","",INDEX('ALL ITEMS'!$I:$I,$N236))</f>
        <v/>
      </c>
      <c r="J236" s="54" t="str">
        <f aca="false">IF($N236="","",INDEX('ALL ITEMS'!$J:$J,$N236))</f>
        <v/>
      </c>
      <c r="K236" s="54" t="str">
        <f aca="false">IF($N236="","",INDEX('ALL ITEMS'!$K:$K,$N236))</f>
        <v/>
      </c>
      <c r="L236" s="52" t="str">
        <f aca="false">IF($N236="","",INDEX('ALL ITEMS'!$L:$L,$N236))</f>
        <v/>
      </c>
      <c r="N236" s="0" t="str">
        <f aca="false">IF(ROWS($N$10:N236)&gt;$C$7,"",SMALL('ALL ITEMS'!$M$3:$M$764,ROWS($N$10:N236)))</f>
        <v/>
      </c>
    </row>
    <row r="237" customFormat="false" ht="15" hidden="false" customHeight="false" outlineLevel="0" collapsed="false">
      <c r="A237" s="52" t="str">
        <f aca="false">IF($N237="","",ROWS($N$10:N237))</f>
        <v/>
      </c>
      <c r="B237" s="52" t="str">
        <f aca="false">IF($N237="","",INDEX('ALL ITEMS'!$B:$B,$N237))</f>
        <v/>
      </c>
      <c r="C237" s="53" t="str">
        <f aca="false">IF($N237="","",INDEX('ALL ITEMS'!$A:$A,$N237))</f>
        <v/>
      </c>
      <c r="D237" s="53" t="str">
        <f aca="false">IF($N237="","",INDEX('ALL ITEMS'!$D:$D,$N237))</f>
        <v/>
      </c>
      <c r="E237" s="53" t="str">
        <f aca="false">IF($N237="","",INDEX('ALL ITEMS'!$E:$E,$N237))</f>
        <v/>
      </c>
      <c r="F237" s="53" t="str">
        <f aca="false">IF($N237="","",INDEX('ALL ITEMS'!$F:$F,$N237))</f>
        <v/>
      </c>
      <c r="G237" s="53" t="str">
        <f aca="false">IF($N237="","",INDEX('ALL ITEMS'!$G:$G,$N237))</f>
        <v/>
      </c>
      <c r="H237" s="52" t="str">
        <f aca="false">IF($N237="","",INDEX('ALL ITEMS'!$H:$H,$N237))</f>
        <v/>
      </c>
      <c r="I237" s="54" t="str">
        <f aca="false">IF($N237="","",INDEX('ALL ITEMS'!$I:$I,$N237))</f>
        <v/>
      </c>
      <c r="J237" s="54" t="str">
        <f aca="false">IF($N237="","",INDEX('ALL ITEMS'!$J:$J,$N237))</f>
        <v/>
      </c>
      <c r="K237" s="54" t="str">
        <f aca="false">IF($N237="","",INDEX('ALL ITEMS'!$K:$K,$N237))</f>
        <v/>
      </c>
      <c r="L237" s="52" t="str">
        <f aca="false">IF($N237="","",INDEX('ALL ITEMS'!$L:$L,$N237))</f>
        <v/>
      </c>
      <c r="N237" s="0" t="str">
        <f aca="false">IF(ROWS($N$10:N237)&gt;$C$7,"",SMALL('ALL ITEMS'!$M$3:$M$764,ROWS($N$10:N237)))</f>
        <v/>
      </c>
    </row>
    <row r="238" customFormat="false" ht="15" hidden="false" customHeight="false" outlineLevel="0" collapsed="false">
      <c r="A238" s="52" t="str">
        <f aca="false">IF($N238="","",ROWS($N$10:N238))</f>
        <v/>
      </c>
      <c r="B238" s="52" t="str">
        <f aca="false">IF($N238="","",INDEX('ALL ITEMS'!$B:$B,$N238))</f>
        <v/>
      </c>
      <c r="C238" s="53" t="str">
        <f aca="false">IF($N238="","",INDEX('ALL ITEMS'!$A:$A,$N238))</f>
        <v/>
      </c>
      <c r="D238" s="53" t="str">
        <f aca="false">IF($N238="","",INDEX('ALL ITEMS'!$D:$D,$N238))</f>
        <v/>
      </c>
      <c r="E238" s="53" t="str">
        <f aca="false">IF($N238="","",INDEX('ALL ITEMS'!$E:$E,$N238))</f>
        <v/>
      </c>
      <c r="F238" s="53" t="str">
        <f aca="false">IF($N238="","",INDEX('ALL ITEMS'!$F:$F,$N238))</f>
        <v/>
      </c>
      <c r="G238" s="53" t="str">
        <f aca="false">IF($N238="","",INDEX('ALL ITEMS'!$G:$G,$N238))</f>
        <v/>
      </c>
      <c r="H238" s="52" t="str">
        <f aca="false">IF($N238="","",INDEX('ALL ITEMS'!$H:$H,$N238))</f>
        <v/>
      </c>
      <c r="I238" s="54" t="str">
        <f aca="false">IF($N238="","",INDEX('ALL ITEMS'!$I:$I,$N238))</f>
        <v/>
      </c>
      <c r="J238" s="54" t="str">
        <f aca="false">IF($N238="","",INDEX('ALL ITEMS'!$J:$J,$N238))</f>
        <v/>
      </c>
      <c r="K238" s="54" t="str">
        <f aca="false">IF($N238="","",INDEX('ALL ITEMS'!$K:$K,$N238))</f>
        <v/>
      </c>
      <c r="L238" s="52" t="str">
        <f aca="false">IF($N238="","",INDEX('ALL ITEMS'!$L:$L,$N238))</f>
        <v/>
      </c>
      <c r="N238" s="0" t="str">
        <f aca="false">IF(ROWS($N$10:N238)&gt;$C$7,"",SMALL('ALL ITEMS'!$M$3:$M$764,ROWS($N$10:N238)))</f>
        <v/>
      </c>
    </row>
    <row r="239" customFormat="false" ht="15" hidden="false" customHeight="false" outlineLevel="0" collapsed="false">
      <c r="A239" s="52" t="str">
        <f aca="false">IF($N239="","",ROWS($N$10:N239))</f>
        <v/>
      </c>
      <c r="B239" s="52" t="str">
        <f aca="false">IF($N239="","",INDEX('ALL ITEMS'!$B:$B,$N239))</f>
        <v/>
      </c>
      <c r="C239" s="53" t="str">
        <f aca="false">IF($N239="","",INDEX('ALL ITEMS'!$A:$A,$N239))</f>
        <v/>
      </c>
      <c r="D239" s="53" t="str">
        <f aca="false">IF($N239="","",INDEX('ALL ITEMS'!$D:$D,$N239))</f>
        <v/>
      </c>
      <c r="E239" s="53" t="str">
        <f aca="false">IF($N239="","",INDEX('ALL ITEMS'!$E:$E,$N239))</f>
        <v/>
      </c>
      <c r="F239" s="53" t="str">
        <f aca="false">IF($N239="","",INDEX('ALL ITEMS'!$F:$F,$N239))</f>
        <v/>
      </c>
      <c r="G239" s="53" t="str">
        <f aca="false">IF($N239="","",INDEX('ALL ITEMS'!$G:$G,$N239))</f>
        <v/>
      </c>
      <c r="H239" s="52" t="str">
        <f aca="false">IF($N239="","",INDEX('ALL ITEMS'!$H:$H,$N239))</f>
        <v/>
      </c>
      <c r="I239" s="54" t="str">
        <f aca="false">IF($N239="","",INDEX('ALL ITEMS'!$I:$I,$N239))</f>
        <v/>
      </c>
      <c r="J239" s="54" t="str">
        <f aca="false">IF($N239="","",INDEX('ALL ITEMS'!$J:$J,$N239))</f>
        <v/>
      </c>
      <c r="K239" s="54" t="str">
        <f aca="false">IF($N239="","",INDEX('ALL ITEMS'!$K:$K,$N239))</f>
        <v/>
      </c>
      <c r="L239" s="52" t="str">
        <f aca="false">IF($N239="","",INDEX('ALL ITEMS'!$L:$L,$N239))</f>
        <v/>
      </c>
      <c r="N239" s="0" t="str">
        <f aca="false">IF(ROWS($N$10:N239)&gt;$C$7,"",SMALL('ALL ITEMS'!$M$3:$M$764,ROWS($N$10:N239)))</f>
        <v/>
      </c>
    </row>
    <row r="240" customFormat="false" ht="15" hidden="false" customHeight="false" outlineLevel="0" collapsed="false">
      <c r="A240" s="52" t="str">
        <f aca="false">IF($N240="","",ROWS($N$10:N240))</f>
        <v/>
      </c>
      <c r="B240" s="52" t="str">
        <f aca="false">IF($N240="","",INDEX('ALL ITEMS'!$B:$B,$N240))</f>
        <v/>
      </c>
      <c r="C240" s="53" t="str">
        <f aca="false">IF($N240="","",INDEX('ALL ITEMS'!$A:$A,$N240))</f>
        <v/>
      </c>
      <c r="D240" s="53" t="str">
        <f aca="false">IF($N240="","",INDEX('ALL ITEMS'!$D:$D,$N240))</f>
        <v/>
      </c>
      <c r="E240" s="53" t="str">
        <f aca="false">IF($N240="","",INDEX('ALL ITEMS'!$E:$E,$N240))</f>
        <v/>
      </c>
      <c r="F240" s="53" t="str">
        <f aca="false">IF($N240="","",INDEX('ALL ITEMS'!$F:$F,$N240))</f>
        <v/>
      </c>
      <c r="G240" s="53" t="str">
        <f aca="false">IF($N240="","",INDEX('ALL ITEMS'!$G:$G,$N240))</f>
        <v/>
      </c>
      <c r="H240" s="52" t="str">
        <f aca="false">IF($N240="","",INDEX('ALL ITEMS'!$H:$H,$N240))</f>
        <v/>
      </c>
      <c r="I240" s="54" t="str">
        <f aca="false">IF($N240="","",INDEX('ALL ITEMS'!$I:$I,$N240))</f>
        <v/>
      </c>
      <c r="J240" s="54" t="str">
        <f aca="false">IF($N240="","",INDEX('ALL ITEMS'!$J:$J,$N240))</f>
        <v/>
      </c>
      <c r="K240" s="54" t="str">
        <f aca="false">IF($N240="","",INDEX('ALL ITEMS'!$K:$K,$N240))</f>
        <v/>
      </c>
      <c r="L240" s="52" t="str">
        <f aca="false">IF($N240="","",INDEX('ALL ITEMS'!$L:$L,$N240))</f>
        <v/>
      </c>
      <c r="N240" s="0" t="str">
        <f aca="false">IF(ROWS($N$10:N240)&gt;$C$7,"",SMALL('ALL ITEMS'!$M$3:$M$764,ROWS($N$10:N240)))</f>
        <v/>
      </c>
    </row>
    <row r="241" customFormat="false" ht="15" hidden="false" customHeight="false" outlineLevel="0" collapsed="false">
      <c r="A241" s="52" t="str">
        <f aca="false">IF($N241="","",ROWS($N$10:N241))</f>
        <v/>
      </c>
      <c r="B241" s="52" t="str">
        <f aca="false">IF($N241="","",INDEX('ALL ITEMS'!$B:$B,$N241))</f>
        <v/>
      </c>
      <c r="C241" s="53" t="str">
        <f aca="false">IF($N241="","",INDEX('ALL ITEMS'!$A:$A,$N241))</f>
        <v/>
      </c>
      <c r="D241" s="53" t="str">
        <f aca="false">IF($N241="","",INDEX('ALL ITEMS'!$D:$D,$N241))</f>
        <v/>
      </c>
      <c r="E241" s="53" t="str">
        <f aca="false">IF($N241="","",INDEX('ALL ITEMS'!$E:$E,$N241))</f>
        <v/>
      </c>
      <c r="F241" s="53" t="str">
        <f aca="false">IF($N241="","",INDEX('ALL ITEMS'!$F:$F,$N241))</f>
        <v/>
      </c>
      <c r="G241" s="53" t="str">
        <f aca="false">IF($N241="","",INDEX('ALL ITEMS'!$G:$G,$N241))</f>
        <v/>
      </c>
      <c r="H241" s="52" t="str">
        <f aca="false">IF($N241="","",INDEX('ALL ITEMS'!$H:$H,$N241))</f>
        <v/>
      </c>
      <c r="I241" s="54" t="str">
        <f aca="false">IF($N241="","",INDEX('ALL ITEMS'!$I:$I,$N241))</f>
        <v/>
      </c>
      <c r="J241" s="54" t="str">
        <f aca="false">IF($N241="","",INDEX('ALL ITEMS'!$J:$J,$N241))</f>
        <v/>
      </c>
      <c r="K241" s="54" t="str">
        <f aca="false">IF($N241="","",INDEX('ALL ITEMS'!$K:$K,$N241))</f>
        <v/>
      </c>
      <c r="L241" s="52" t="str">
        <f aca="false">IF($N241="","",INDEX('ALL ITEMS'!$L:$L,$N241))</f>
        <v/>
      </c>
      <c r="N241" s="0" t="str">
        <f aca="false">IF(ROWS($N$10:N241)&gt;$C$7,"",SMALL('ALL ITEMS'!$M$3:$M$764,ROWS($N$10:N241)))</f>
        <v/>
      </c>
    </row>
    <row r="242" customFormat="false" ht="15" hidden="false" customHeight="false" outlineLevel="0" collapsed="false">
      <c r="A242" s="52" t="str">
        <f aca="false">IF($N242="","",ROWS($N$10:N242))</f>
        <v/>
      </c>
      <c r="B242" s="52" t="str">
        <f aca="false">IF($N242="","",INDEX('ALL ITEMS'!$B:$B,$N242))</f>
        <v/>
      </c>
      <c r="C242" s="53" t="str">
        <f aca="false">IF($N242="","",INDEX('ALL ITEMS'!$A:$A,$N242))</f>
        <v/>
      </c>
      <c r="D242" s="53" t="str">
        <f aca="false">IF($N242="","",INDEX('ALL ITEMS'!$D:$D,$N242))</f>
        <v/>
      </c>
      <c r="E242" s="53" t="str">
        <f aca="false">IF($N242="","",INDEX('ALL ITEMS'!$E:$E,$N242))</f>
        <v/>
      </c>
      <c r="F242" s="53" t="str">
        <f aca="false">IF($N242="","",INDEX('ALL ITEMS'!$F:$F,$N242))</f>
        <v/>
      </c>
      <c r="G242" s="53" t="str">
        <f aca="false">IF($N242="","",INDEX('ALL ITEMS'!$G:$G,$N242))</f>
        <v/>
      </c>
      <c r="H242" s="52" t="str">
        <f aca="false">IF($N242="","",INDEX('ALL ITEMS'!$H:$H,$N242))</f>
        <v/>
      </c>
      <c r="I242" s="54" t="str">
        <f aca="false">IF($N242="","",INDEX('ALL ITEMS'!$I:$I,$N242))</f>
        <v/>
      </c>
      <c r="J242" s="54" t="str">
        <f aca="false">IF($N242="","",INDEX('ALL ITEMS'!$J:$J,$N242))</f>
        <v/>
      </c>
      <c r="K242" s="54" t="str">
        <f aca="false">IF($N242="","",INDEX('ALL ITEMS'!$K:$K,$N242))</f>
        <v/>
      </c>
      <c r="L242" s="52" t="str">
        <f aca="false">IF($N242="","",INDEX('ALL ITEMS'!$L:$L,$N242))</f>
        <v/>
      </c>
      <c r="N242" s="0" t="str">
        <f aca="false">IF(ROWS($N$10:N242)&gt;$C$7,"",SMALL('ALL ITEMS'!$M$3:$M$764,ROWS($N$10:N242)))</f>
        <v/>
      </c>
    </row>
    <row r="243" customFormat="false" ht="15" hidden="false" customHeight="false" outlineLevel="0" collapsed="false">
      <c r="A243" s="52" t="str">
        <f aca="false">IF($N243="","",ROWS($N$10:N243))</f>
        <v/>
      </c>
      <c r="B243" s="52" t="str">
        <f aca="false">IF($N243="","",INDEX('ALL ITEMS'!$B:$B,$N243))</f>
        <v/>
      </c>
      <c r="C243" s="53" t="str">
        <f aca="false">IF($N243="","",INDEX('ALL ITEMS'!$A:$A,$N243))</f>
        <v/>
      </c>
      <c r="D243" s="53" t="str">
        <f aca="false">IF($N243="","",INDEX('ALL ITEMS'!$D:$D,$N243))</f>
        <v/>
      </c>
      <c r="E243" s="53" t="str">
        <f aca="false">IF($N243="","",INDEX('ALL ITEMS'!$E:$E,$N243))</f>
        <v/>
      </c>
      <c r="F243" s="53" t="str">
        <f aca="false">IF($N243="","",INDEX('ALL ITEMS'!$F:$F,$N243))</f>
        <v/>
      </c>
      <c r="G243" s="53" t="str">
        <f aca="false">IF($N243="","",INDEX('ALL ITEMS'!$G:$G,$N243))</f>
        <v/>
      </c>
      <c r="H243" s="52" t="str">
        <f aca="false">IF($N243="","",INDEX('ALL ITEMS'!$H:$H,$N243))</f>
        <v/>
      </c>
      <c r="I243" s="54" t="str">
        <f aca="false">IF($N243="","",INDEX('ALL ITEMS'!$I:$I,$N243))</f>
        <v/>
      </c>
      <c r="J243" s="54" t="str">
        <f aca="false">IF($N243="","",INDEX('ALL ITEMS'!$J:$J,$N243))</f>
        <v/>
      </c>
      <c r="K243" s="54" t="str">
        <f aca="false">IF($N243="","",INDEX('ALL ITEMS'!$K:$K,$N243))</f>
        <v/>
      </c>
      <c r="L243" s="52" t="str">
        <f aca="false">IF($N243="","",INDEX('ALL ITEMS'!$L:$L,$N243))</f>
        <v/>
      </c>
      <c r="N243" s="0" t="str">
        <f aca="false">IF(ROWS($N$10:N243)&gt;$C$7,"",SMALL('ALL ITEMS'!$M$3:$M$764,ROWS($N$10:N243)))</f>
        <v/>
      </c>
    </row>
    <row r="244" customFormat="false" ht="15" hidden="false" customHeight="false" outlineLevel="0" collapsed="false">
      <c r="A244" s="52" t="str">
        <f aca="false">IF($N244="","",ROWS($N$10:N244))</f>
        <v/>
      </c>
      <c r="B244" s="52" t="str">
        <f aca="false">IF($N244="","",INDEX('ALL ITEMS'!$B:$B,$N244))</f>
        <v/>
      </c>
      <c r="C244" s="53" t="str">
        <f aca="false">IF($N244="","",INDEX('ALL ITEMS'!$A:$A,$N244))</f>
        <v/>
      </c>
      <c r="D244" s="53" t="str">
        <f aca="false">IF($N244="","",INDEX('ALL ITEMS'!$D:$D,$N244))</f>
        <v/>
      </c>
      <c r="E244" s="53" t="str">
        <f aca="false">IF($N244="","",INDEX('ALL ITEMS'!$E:$E,$N244))</f>
        <v/>
      </c>
      <c r="F244" s="53" t="str">
        <f aca="false">IF($N244="","",INDEX('ALL ITEMS'!$F:$F,$N244))</f>
        <v/>
      </c>
      <c r="G244" s="53" t="str">
        <f aca="false">IF($N244="","",INDEX('ALL ITEMS'!$G:$G,$N244))</f>
        <v/>
      </c>
      <c r="H244" s="52" t="str">
        <f aca="false">IF($N244="","",INDEX('ALL ITEMS'!$H:$H,$N244))</f>
        <v/>
      </c>
      <c r="I244" s="54" t="str">
        <f aca="false">IF($N244="","",INDEX('ALL ITEMS'!$I:$I,$N244))</f>
        <v/>
      </c>
      <c r="J244" s="54" t="str">
        <f aca="false">IF($N244="","",INDEX('ALL ITEMS'!$J:$J,$N244))</f>
        <v/>
      </c>
      <c r="K244" s="54" t="str">
        <f aca="false">IF($N244="","",INDEX('ALL ITEMS'!$K:$K,$N244))</f>
        <v/>
      </c>
      <c r="L244" s="52" t="str">
        <f aca="false">IF($N244="","",INDEX('ALL ITEMS'!$L:$L,$N244))</f>
        <v/>
      </c>
      <c r="N244" s="0" t="str">
        <f aca="false">IF(ROWS($N$10:N244)&gt;$C$7,"",SMALL('ALL ITEMS'!$M$3:$M$764,ROWS($N$10:N244)))</f>
        <v/>
      </c>
    </row>
    <row r="245" customFormat="false" ht="15" hidden="false" customHeight="false" outlineLevel="0" collapsed="false">
      <c r="A245" s="52" t="str">
        <f aca="false">IF($N245="","",ROWS($N$10:N245))</f>
        <v/>
      </c>
      <c r="B245" s="52" t="str">
        <f aca="false">IF($N245="","",INDEX('ALL ITEMS'!$B:$B,$N245))</f>
        <v/>
      </c>
      <c r="C245" s="53" t="str">
        <f aca="false">IF($N245="","",INDEX('ALL ITEMS'!$A:$A,$N245))</f>
        <v/>
      </c>
      <c r="D245" s="53" t="str">
        <f aca="false">IF($N245="","",INDEX('ALL ITEMS'!$D:$D,$N245))</f>
        <v/>
      </c>
      <c r="E245" s="53" t="str">
        <f aca="false">IF($N245="","",INDEX('ALL ITEMS'!$E:$E,$N245))</f>
        <v/>
      </c>
      <c r="F245" s="53" t="str">
        <f aca="false">IF($N245="","",INDEX('ALL ITEMS'!$F:$F,$N245))</f>
        <v/>
      </c>
      <c r="G245" s="53" t="str">
        <f aca="false">IF($N245="","",INDEX('ALL ITEMS'!$G:$G,$N245))</f>
        <v/>
      </c>
      <c r="H245" s="52" t="str">
        <f aca="false">IF($N245="","",INDEX('ALL ITEMS'!$H:$H,$N245))</f>
        <v/>
      </c>
      <c r="I245" s="54" t="str">
        <f aca="false">IF($N245="","",INDEX('ALL ITEMS'!$I:$I,$N245))</f>
        <v/>
      </c>
      <c r="J245" s="54" t="str">
        <f aca="false">IF($N245="","",INDEX('ALL ITEMS'!$J:$J,$N245))</f>
        <v/>
      </c>
      <c r="K245" s="54" t="str">
        <f aca="false">IF($N245="","",INDEX('ALL ITEMS'!$K:$K,$N245))</f>
        <v/>
      </c>
      <c r="L245" s="52" t="str">
        <f aca="false">IF($N245="","",INDEX('ALL ITEMS'!$L:$L,$N245))</f>
        <v/>
      </c>
      <c r="N245" s="0" t="str">
        <f aca="false">IF(ROWS($N$10:N245)&gt;$C$7,"",SMALL('ALL ITEMS'!$M$3:$M$764,ROWS($N$10:N245)))</f>
        <v/>
      </c>
    </row>
    <row r="246" customFormat="false" ht="15" hidden="false" customHeight="false" outlineLevel="0" collapsed="false">
      <c r="A246" s="52" t="str">
        <f aca="false">IF($N246="","",ROWS($N$10:N246))</f>
        <v/>
      </c>
      <c r="B246" s="52" t="str">
        <f aca="false">IF($N246="","",INDEX('ALL ITEMS'!$B:$B,$N246))</f>
        <v/>
      </c>
      <c r="C246" s="53" t="str">
        <f aca="false">IF($N246="","",INDEX('ALL ITEMS'!$A:$A,$N246))</f>
        <v/>
      </c>
      <c r="D246" s="53" t="str">
        <f aca="false">IF($N246="","",INDEX('ALL ITEMS'!$D:$D,$N246))</f>
        <v/>
      </c>
      <c r="E246" s="53" t="str">
        <f aca="false">IF($N246="","",INDEX('ALL ITEMS'!$E:$E,$N246))</f>
        <v/>
      </c>
      <c r="F246" s="53" t="str">
        <f aca="false">IF($N246="","",INDEX('ALL ITEMS'!$F:$F,$N246))</f>
        <v/>
      </c>
      <c r="G246" s="53" t="str">
        <f aca="false">IF($N246="","",INDEX('ALL ITEMS'!$G:$G,$N246))</f>
        <v/>
      </c>
      <c r="H246" s="52" t="str">
        <f aca="false">IF($N246="","",INDEX('ALL ITEMS'!$H:$H,$N246))</f>
        <v/>
      </c>
      <c r="I246" s="54" t="str">
        <f aca="false">IF($N246="","",INDEX('ALL ITEMS'!$I:$I,$N246))</f>
        <v/>
      </c>
      <c r="J246" s="54" t="str">
        <f aca="false">IF($N246="","",INDEX('ALL ITEMS'!$J:$J,$N246))</f>
        <v/>
      </c>
      <c r="K246" s="54" t="str">
        <f aca="false">IF($N246="","",INDEX('ALL ITEMS'!$K:$K,$N246))</f>
        <v/>
      </c>
      <c r="L246" s="52" t="str">
        <f aca="false">IF($N246="","",INDEX('ALL ITEMS'!$L:$L,$N246))</f>
        <v/>
      </c>
      <c r="N246" s="0" t="str">
        <f aca="false">IF(ROWS($N$10:N246)&gt;$C$7,"",SMALL('ALL ITEMS'!$M$3:$M$764,ROWS($N$10:N246)))</f>
        <v/>
      </c>
    </row>
    <row r="247" customFormat="false" ht="15" hidden="false" customHeight="false" outlineLevel="0" collapsed="false">
      <c r="A247" s="52" t="str">
        <f aca="false">IF($N247="","",ROWS($N$10:N247))</f>
        <v/>
      </c>
      <c r="B247" s="52" t="str">
        <f aca="false">IF($N247="","",INDEX('ALL ITEMS'!$B:$B,$N247))</f>
        <v/>
      </c>
      <c r="C247" s="53" t="str">
        <f aca="false">IF($N247="","",INDEX('ALL ITEMS'!$A:$A,$N247))</f>
        <v/>
      </c>
      <c r="D247" s="53" t="str">
        <f aca="false">IF($N247="","",INDEX('ALL ITEMS'!$D:$D,$N247))</f>
        <v/>
      </c>
      <c r="E247" s="53" t="str">
        <f aca="false">IF($N247="","",INDEX('ALL ITEMS'!$E:$E,$N247))</f>
        <v/>
      </c>
      <c r="F247" s="53" t="str">
        <f aca="false">IF($N247="","",INDEX('ALL ITEMS'!$F:$F,$N247))</f>
        <v/>
      </c>
      <c r="G247" s="53" t="str">
        <f aca="false">IF($N247="","",INDEX('ALL ITEMS'!$G:$G,$N247))</f>
        <v/>
      </c>
      <c r="H247" s="52" t="str">
        <f aca="false">IF($N247="","",INDEX('ALL ITEMS'!$H:$H,$N247))</f>
        <v/>
      </c>
      <c r="I247" s="54" t="str">
        <f aca="false">IF($N247="","",INDEX('ALL ITEMS'!$I:$I,$N247))</f>
        <v/>
      </c>
      <c r="J247" s="54" t="str">
        <f aca="false">IF($N247="","",INDEX('ALL ITEMS'!$J:$J,$N247))</f>
        <v/>
      </c>
      <c r="K247" s="54" t="str">
        <f aca="false">IF($N247="","",INDEX('ALL ITEMS'!$K:$K,$N247))</f>
        <v/>
      </c>
      <c r="L247" s="52" t="str">
        <f aca="false">IF($N247="","",INDEX('ALL ITEMS'!$L:$L,$N247))</f>
        <v/>
      </c>
      <c r="N247" s="0" t="str">
        <f aca="false">IF(ROWS($N$10:N247)&gt;$C$7,"",SMALL('ALL ITEMS'!$M$3:$M$764,ROWS($N$10:N247)))</f>
        <v/>
      </c>
    </row>
    <row r="248" customFormat="false" ht="15" hidden="false" customHeight="false" outlineLevel="0" collapsed="false">
      <c r="A248" s="52" t="str">
        <f aca="false">IF($N248="","",ROWS($N$10:N248))</f>
        <v/>
      </c>
      <c r="B248" s="52" t="str">
        <f aca="false">IF($N248="","",INDEX('ALL ITEMS'!$B:$B,$N248))</f>
        <v/>
      </c>
      <c r="C248" s="53" t="str">
        <f aca="false">IF($N248="","",INDEX('ALL ITEMS'!$A:$A,$N248))</f>
        <v/>
      </c>
      <c r="D248" s="53" t="str">
        <f aca="false">IF($N248="","",INDEX('ALL ITEMS'!$D:$D,$N248))</f>
        <v/>
      </c>
      <c r="E248" s="53" t="str">
        <f aca="false">IF($N248="","",INDEX('ALL ITEMS'!$E:$E,$N248))</f>
        <v/>
      </c>
      <c r="F248" s="53" t="str">
        <f aca="false">IF($N248="","",INDEX('ALL ITEMS'!$F:$F,$N248))</f>
        <v/>
      </c>
      <c r="G248" s="53" t="str">
        <f aca="false">IF($N248="","",INDEX('ALL ITEMS'!$G:$G,$N248))</f>
        <v/>
      </c>
      <c r="H248" s="52" t="str">
        <f aca="false">IF($N248="","",INDEX('ALL ITEMS'!$H:$H,$N248))</f>
        <v/>
      </c>
      <c r="I248" s="54" t="str">
        <f aca="false">IF($N248="","",INDEX('ALL ITEMS'!$I:$I,$N248))</f>
        <v/>
      </c>
      <c r="J248" s="54" t="str">
        <f aca="false">IF($N248="","",INDEX('ALL ITEMS'!$J:$J,$N248))</f>
        <v/>
      </c>
      <c r="K248" s="54" t="str">
        <f aca="false">IF($N248="","",INDEX('ALL ITEMS'!$K:$K,$N248))</f>
        <v/>
      </c>
      <c r="L248" s="52" t="str">
        <f aca="false">IF($N248="","",INDEX('ALL ITEMS'!$L:$L,$N248))</f>
        <v/>
      </c>
      <c r="N248" s="0" t="str">
        <f aca="false">IF(ROWS($N$10:N248)&gt;$C$7,"",SMALL('ALL ITEMS'!$M$3:$M$764,ROWS($N$10:N248)))</f>
        <v/>
      </c>
    </row>
    <row r="249" customFormat="false" ht="15" hidden="false" customHeight="false" outlineLevel="0" collapsed="false">
      <c r="A249" s="52" t="str">
        <f aca="false">IF($N249="","",ROWS($N$10:N249))</f>
        <v/>
      </c>
      <c r="B249" s="52" t="str">
        <f aca="false">IF($N249="","",INDEX('ALL ITEMS'!$B:$B,$N249))</f>
        <v/>
      </c>
      <c r="C249" s="53" t="str">
        <f aca="false">IF($N249="","",INDEX('ALL ITEMS'!$A:$A,$N249))</f>
        <v/>
      </c>
      <c r="D249" s="53" t="str">
        <f aca="false">IF($N249="","",INDEX('ALL ITEMS'!$D:$D,$N249))</f>
        <v/>
      </c>
      <c r="E249" s="53" t="str">
        <f aca="false">IF($N249="","",INDEX('ALL ITEMS'!$E:$E,$N249))</f>
        <v/>
      </c>
      <c r="F249" s="53" t="str">
        <f aca="false">IF($N249="","",INDEX('ALL ITEMS'!$F:$F,$N249))</f>
        <v/>
      </c>
      <c r="G249" s="53" t="str">
        <f aca="false">IF($N249="","",INDEX('ALL ITEMS'!$G:$G,$N249))</f>
        <v/>
      </c>
      <c r="H249" s="52" t="str">
        <f aca="false">IF($N249="","",INDEX('ALL ITEMS'!$H:$H,$N249))</f>
        <v/>
      </c>
      <c r="I249" s="54" t="str">
        <f aca="false">IF($N249="","",INDEX('ALL ITEMS'!$I:$I,$N249))</f>
        <v/>
      </c>
      <c r="J249" s="54" t="str">
        <f aca="false">IF($N249="","",INDEX('ALL ITEMS'!$J:$J,$N249))</f>
        <v/>
      </c>
      <c r="K249" s="54" t="str">
        <f aca="false">IF($N249="","",INDEX('ALL ITEMS'!$K:$K,$N249))</f>
        <v/>
      </c>
      <c r="L249" s="52" t="str">
        <f aca="false">IF($N249="","",INDEX('ALL ITEMS'!$L:$L,$N249))</f>
        <v/>
      </c>
      <c r="N249" s="0" t="str">
        <f aca="false">IF(ROWS($N$10:N249)&gt;$C$7,"",SMALL('ALL ITEMS'!$M$3:$M$764,ROWS($N$10:N249)))</f>
        <v/>
      </c>
    </row>
    <row r="250" customFormat="false" ht="15" hidden="false" customHeight="false" outlineLevel="0" collapsed="false">
      <c r="A250" s="52" t="str">
        <f aca="false">IF($N250="","",ROWS($N$10:N250))</f>
        <v/>
      </c>
      <c r="B250" s="52" t="str">
        <f aca="false">IF($N250="","",INDEX('ALL ITEMS'!$B:$B,$N250))</f>
        <v/>
      </c>
      <c r="C250" s="53" t="str">
        <f aca="false">IF($N250="","",INDEX('ALL ITEMS'!$A:$A,$N250))</f>
        <v/>
      </c>
      <c r="D250" s="53" t="str">
        <f aca="false">IF($N250="","",INDEX('ALL ITEMS'!$D:$D,$N250))</f>
        <v/>
      </c>
      <c r="E250" s="53" t="str">
        <f aca="false">IF($N250="","",INDEX('ALL ITEMS'!$E:$E,$N250))</f>
        <v/>
      </c>
      <c r="F250" s="53" t="str">
        <f aca="false">IF($N250="","",INDEX('ALL ITEMS'!$F:$F,$N250))</f>
        <v/>
      </c>
      <c r="G250" s="53" t="str">
        <f aca="false">IF($N250="","",INDEX('ALL ITEMS'!$G:$G,$N250))</f>
        <v/>
      </c>
      <c r="H250" s="52" t="str">
        <f aca="false">IF($N250="","",INDEX('ALL ITEMS'!$H:$H,$N250))</f>
        <v/>
      </c>
      <c r="I250" s="54" t="str">
        <f aca="false">IF($N250="","",INDEX('ALL ITEMS'!$I:$I,$N250))</f>
        <v/>
      </c>
      <c r="J250" s="54" t="str">
        <f aca="false">IF($N250="","",INDEX('ALL ITEMS'!$J:$J,$N250))</f>
        <v/>
      </c>
      <c r="K250" s="54" t="str">
        <f aca="false">IF($N250="","",INDEX('ALL ITEMS'!$K:$K,$N250))</f>
        <v/>
      </c>
      <c r="L250" s="52" t="str">
        <f aca="false">IF($N250="","",INDEX('ALL ITEMS'!$L:$L,$N250))</f>
        <v/>
      </c>
      <c r="N250" s="0" t="str">
        <f aca="false">IF(ROWS($N$10:N250)&gt;$C$7,"",SMALL('ALL ITEMS'!$M$3:$M$764,ROWS($N$10:N250)))</f>
        <v/>
      </c>
    </row>
    <row r="251" customFormat="false" ht="15" hidden="false" customHeight="false" outlineLevel="0" collapsed="false">
      <c r="A251" s="52" t="str">
        <f aca="false">IF($N251="","",ROWS($N$10:N251))</f>
        <v/>
      </c>
      <c r="B251" s="52" t="str">
        <f aca="false">IF($N251="","",INDEX('ALL ITEMS'!$B:$B,$N251))</f>
        <v/>
      </c>
      <c r="C251" s="53" t="str">
        <f aca="false">IF($N251="","",INDEX('ALL ITEMS'!$A:$A,$N251))</f>
        <v/>
      </c>
      <c r="D251" s="53" t="str">
        <f aca="false">IF($N251="","",INDEX('ALL ITEMS'!$D:$D,$N251))</f>
        <v/>
      </c>
      <c r="E251" s="53" t="str">
        <f aca="false">IF($N251="","",INDEX('ALL ITEMS'!$E:$E,$N251))</f>
        <v/>
      </c>
      <c r="F251" s="53" t="str">
        <f aca="false">IF($N251="","",INDEX('ALL ITEMS'!$F:$F,$N251))</f>
        <v/>
      </c>
      <c r="G251" s="53" t="str">
        <f aca="false">IF($N251="","",INDEX('ALL ITEMS'!$G:$G,$N251))</f>
        <v/>
      </c>
      <c r="H251" s="52" t="str">
        <f aca="false">IF($N251="","",INDEX('ALL ITEMS'!$H:$H,$N251))</f>
        <v/>
      </c>
      <c r="I251" s="54" t="str">
        <f aca="false">IF($N251="","",INDEX('ALL ITEMS'!$I:$I,$N251))</f>
        <v/>
      </c>
      <c r="J251" s="54" t="str">
        <f aca="false">IF($N251="","",INDEX('ALL ITEMS'!$J:$J,$N251))</f>
        <v/>
      </c>
      <c r="K251" s="54" t="str">
        <f aca="false">IF($N251="","",INDEX('ALL ITEMS'!$K:$K,$N251))</f>
        <v/>
      </c>
      <c r="L251" s="52" t="str">
        <f aca="false">IF($N251="","",INDEX('ALL ITEMS'!$L:$L,$N251))</f>
        <v/>
      </c>
      <c r="N251" s="0" t="str">
        <f aca="false">IF(ROWS($N$10:N251)&gt;$C$7,"",SMALL('ALL ITEMS'!$M$3:$M$764,ROWS($N$10:N251)))</f>
        <v/>
      </c>
    </row>
    <row r="252" customFormat="false" ht="15" hidden="false" customHeight="false" outlineLevel="0" collapsed="false">
      <c r="A252" s="52" t="str">
        <f aca="false">IF($N252="","",ROWS($N$10:N252))</f>
        <v/>
      </c>
      <c r="B252" s="52" t="str">
        <f aca="false">IF($N252="","",INDEX('ALL ITEMS'!$B:$B,$N252))</f>
        <v/>
      </c>
      <c r="C252" s="53" t="str">
        <f aca="false">IF($N252="","",INDEX('ALL ITEMS'!$A:$A,$N252))</f>
        <v/>
      </c>
      <c r="D252" s="53" t="str">
        <f aca="false">IF($N252="","",INDEX('ALL ITEMS'!$D:$D,$N252))</f>
        <v/>
      </c>
      <c r="E252" s="53" t="str">
        <f aca="false">IF($N252="","",INDEX('ALL ITEMS'!$E:$E,$N252))</f>
        <v/>
      </c>
      <c r="F252" s="53" t="str">
        <f aca="false">IF($N252="","",INDEX('ALL ITEMS'!$F:$F,$N252))</f>
        <v/>
      </c>
      <c r="G252" s="53" t="str">
        <f aca="false">IF($N252="","",INDEX('ALL ITEMS'!$G:$G,$N252))</f>
        <v/>
      </c>
      <c r="H252" s="52" t="str">
        <f aca="false">IF($N252="","",INDEX('ALL ITEMS'!$H:$H,$N252))</f>
        <v/>
      </c>
      <c r="I252" s="54" t="str">
        <f aca="false">IF($N252="","",INDEX('ALL ITEMS'!$I:$I,$N252))</f>
        <v/>
      </c>
      <c r="J252" s="54" t="str">
        <f aca="false">IF($N252="","",INDEX('ALL ITEMS'!$J:$J,$N252))</f>
        <v/>
      </c>
      <c r="K252" s="54" t="str">
        <f aca="false">IF($N252="","",INDEX('ALL ITEMS'!$K:$K,$N252))</f>
        <v/>
      </c>
      <c r="L252" s="52" t="str">
        <f aca="false">IF($N252="","",INDEX('ALL ITEMS'!$L:$L,$N252))</f>
        <v/>
      </c>
      <c r="N252" s="0" t="str">
        <f aca="false">IF(ROWS($N$10:N252)&gt;$C$7,"",SMALL('ALL ITEMS'!$M$3:$M$764,ROWS($N$10:N252)))</f>
        <v/>
      </c>
    </row>
    <row r="253" customFormat="false" ht="15" hidden="false" customHeight="false" outlineLevel="0" collapsed="false">
      <c r="A253" s="52" t="str">
        <f aca="false">IF($N253="","",ROWS($N$10:N253))</f>
        <v/>
      </c>
      <c r="B253" s="52" t="str">
        <f aca="false">IF($N253="","",INDEX('ALL ITEMS'!$B:$B,$N253))</f>
        <v/>
      </c>
      <c r="C253" s="53" t="str">
        <f aca="false">IF($N253="","",INDEX('ALL ITEMS'!$A:$A,$N253))</f>
        <v/>
      </c>
      <c r="D253" s="53" t="str">
        <f aca="false">IF($N253="","",INDEX('ALL ITEMS'!$D:$D,$N253))</f>
        <v/>
      </c>
      <c r="E253" s="53" t="str">
        <f aca="false">IF($N253="","",INDEX('ALL ITEMS'!$E:$E,$N253))</f>
        <v/>
      </c>
      <c r="F253" s="53" t="str">
        <f aca="false">IF($N253="","",INDEX('ALL ITEMS'!$F:$F,$N253))</f>
        <v/>
      </c>
      <c r="G253" s="53" t="str">
        <f aca="false">IF($N253="","",INDEX('ALL ITEMS'!$G:$G,$N253))</f>
        <v/>
      </c>
      <c r="H253" s="52" t="str">
        <f aca="false">IF($N253="","",INDEX('ALL ITEMS'!$H:$H,$N253))</f>
        <v/>
      </c>
      <c r="I253" s="54" t="str">
        <f aca="false">IF($N253="","",INDEX('ALL ITEMS'!$I:$I,$N253))</f>
        <v/>
      </c>
      <c r="J253" s="54" t="str">
        <f aca="false">IF($N253="","",INDEX('ALL ITEMS'!$J:$J,$N253))</f>
        <v/>
      </c>
      <c r="K253" s="54" t="str">
        <f aca="false">IF($N253="","",INDEX('ALL ITEMS'!$K:$K,$N253))</f>
        <v/>
      </c>
      <c r="L253" s="52" t="str">
        <f aca="false">IF($N253="","",INDEX('ALL ITEMS'!$L:$L,$N253))</f>
        <v/>
      </c>
      <c r="N253" s="0" t="str">
        <f aca="false">IF(ROWS($N$10:N253)&gt;$C$7,"",SMALL('ALL ITEMS'!$M$3:$M$764,ROWS($N$10:N253)))</f>
        <v/>
      </c>
    </row>
    <row r="254" customFormat="false" ht="15" hidden="false" customHeight="false" outlineLevel="0" collapsed="false">
      <c r="A254" s="52" t="str">
        <f aca="false">IF($N254="","",ROWS($N$10:N254))</f>
        <v/>
      </c>
      <c r="B254" s="52" t="str">
        <f aca="false">IF($N254="","",INDEX('ALL ITEMS'!$B:$B,$N254))</f>
        <v/>
      </c>
      <c r="C254" s="53" t="str">
        <f aca="false">IF($N254="","",INDEX('ALL ITEMS'!$A:$A,$N254))</f>
        <v/>
      </c>
      <c r="D254" s="53" t="str">
        <f aca="false">IF($N254="","",INDEX('ALL ITEMS'!$D:$D,$N254))</f>
        <v/>
      </c>
      <c r="E254" s="53" t="str">
        <f aca="false">IF($N254="","",INDEX('ALL ITEMS'!$E:$E,$N254))</f>
        <v/>
      </c>
      <c r="F254" s="53" t="str">
        <f aca="false">IF($N254="","",INDEX('ALL ITEMS'!$F:$F,$N254))</f>
        <v/>
      </c>
      <c r="G254" s="53" t="str">
        <f aca="false">IF($N254="","",INDEX('ALL ITEMS'!$G:$G,$N254))</f>
        <v/>
      </c>
      <c r="H254" s="52" t="str">
        <f aca="false">IF($N254="","",INDEX('ALL ITEMS'!$H:$H,$N254))</f>
        <v/>
      </c>
      <c r="I254" s="54" t="str">
        <f aca="false">IF($N254="","",INDEX('ALL ITEMS'!$I:$I,$N254))</f>
        <v/>
      </c>
      <c r="J254" s="54" t="str">
        <f aca="false">IF($N254="","",INDEX('ALL ITEMS'!$J:$J,$N254))</f>
        <v/>
      </c>
      <c r="K254" s="54" t="str">
        <f aca="false">IF($N254="","",INDEX('ALL ITEMS'!$K:$K,$N254))</f>
        <v/>
      </c>
      <c r="L254" s="52" t="str">
        <f aca="false">IF($N254="","",INDEX('ALL ITEMS'!$L:$L,$N254))</f>
        <v/>
      </c>
      <c r="N254" s="0" t="str">
        <f aca="false">IF(ROWS($N$10:N254)&gt;$C$7,"",SMALL('ALL ITEMS'!$M$3:$M$764,ROWS($N$10:N254)))</f>
        <v/>
      </c>
    </row>
    <row r="255" customFormat="false" ht="15" hidden="false" customHeight="false" outlineLevel="0" collapsed="false">
      <c r="A255" s="52" t="str">
        <f aca="false">IF($N255="","",ROWS($N$10:N255))</f>
        <v/>
      </c>
      <c r="B255" s="52" t="str">
        <f aca="false">IF($N255="","",INDEX('ALL ITEMS'!$B:$B,$N255))</f>
        <v/>
      </c>
      <c r="C255" s="53" t="str">
        <f aca="false">IF($N255="","",INDEX('ALL ITEMS'!$A:$A,$N255))</f>
        <v/>
      </c>
      <c r="D255" s="53" t="str">
        <f aca="false">IF($N255="","",INDEX('ALL ITEMS'!$D:$D,$N255))</f>
        <v/>
      </c>
      <c r="E255" s="53" t="str">
        <f aca="false">IF($N255="","",INDEX('ALL ITEMS'!$E:$E,$N255))</f>
        <v/>
      </c>
      <c r="F255" s="53" t="str">
        <f aca="false">IF($N255="","",INDEX('ALL ITEMS'!$F:$F,$N255))</f>
        <v/>
      </c>
      <c r="G255" s="53" t="str">
        <f aca="false">IF($N255="","",INDEX('ALL ITEMS'!$G:$G,$N255))</f>
        <v/>
      </c>
      <c r="H255" s="52" t="str">
        <f aca="false">IF($N255="","",INDEX('ALL ITEMS'!$H:$H,$N255))</f>
        <v/>
      </c>
      <c r="I255" s="54" t="str">
        <f aca="false">IF($N255="","",INDEX('ALL ITEMS'!$I:$I,$N255))</f>
        <v/>
      </c>
      <c r="J255" s="54" t="str">
        <f aca="false">IF($N255="","",INDEX('ALL ITEMS'!$J:$J,$N255))</f>
        <v/>
      </c>
      <c r="K255" s="54" t="str">
        <f aca="false">IF($N255="","",INDEX('ALL ITEMS'!$K:$K,$N255))</f>
        <v/>
      </c>
      <c r="L255" s="52" t="str">
        <f aca="false">IF($N255="","",INDEX('ALL ITEMS'!$L:$L,$N255))</f>
        <v/>
      </c>
      <c r="N255" s="0" t="str">
        <f aca="false">IF(ROWS($N$10:N255)&gt;$C$7,"",SMALL('ALL ITEMS'!$M$3:$M$764,ROWS($N$10:N255)))</f>
        <v/>
      </c>
    </row>
    <row r="256" customFormat="false" ht="15" hidden="false" customHeight="false" outlineLevel="0" collapsed="false">
      <c r="A256" s="52" t="str">
        <f aca="false">IF($N256="","",ROWS($N$10:N256))</f>
        <v/>
      </c>
      <c r="B256" s="52" t="str">
        <f aca="false">IF($N256="","",INDEX('ALL ITEMS'!$B:$B,$N256))</f>
        <v/>
      </c>
      <c r="C256" s="53" t="str">
        <f aca="false">IF($N256="","",INDEX('ALL ITEMS'!$A:$A,$N256))</f>
        <v/>
      </c>
      <c r="D256" s="53" t="str">
        <f aca="false">IF($N256="","",INDEX('ALL ITEMS'!$D:$D,$N256))</f>
        <v/>
      </c>
      <c r="E256" s="53" t="str">
        <f aca="false">IF($N256="","",INDEX('ALL ITEMS'!$E:$E,$N256))</f>
        <v/>
      </c>
      <c r="F256" s="53" t="str">
        <f aca="false">IF($N256="","",INDEX('ALL ITEMS'!$F:$F,$N256))</f>
        <v/>
      </c>
      <c r="G256" s="53" t="str">
        <f aca="false">IF($N256="","",INDEX('ALL ITEMS'!$G:$G,$N256))</f>
        <v/>
      </c>
      <c r="H256" s="52" t="str">
        <f aca="false">IF($N256="","",INDEX('ALL ITEMS'!$H:$H,$N256))</f>
        <v/>
      </c>
      <c r="I256" s="54" t="str">
        <f aca="false">IF($N256="","",INDEX('ALL ITEMS'!$I:$I,$N256))</f>
        <v/>
      </c>
      <c r="J256" s="54" t="str">
        <f aca="false">IF($N256="","",INDEX('ALL ITEMS'!$J:$J,$N256))</f>
        <v/>
      </c>
      <c r="K256" s="54" t="str">
        <f aca="false">IF($N256="","",INDEX('ALL ITEMS'!$K:$K,$N256))</f>
        <v/>
      </c>
      <c r="L256" s="52" t="str">
        <f aca="false">IF($N256="","",INDEX('ALL ITEMS'!$L:$L,$N256))</f>
        <v/>
      </c>
      <c r="N256" s="0" t="str">
        <f aca="false">IF(ROWS($N$10:N256)&gt;$C$7,"",SMALL('ALL ITEMS'!$M$3:$M$764,ROWS($N$10:N256)))</f>
        <v/>
      </c>
    </row>
    <row r="257" customFormat="false" ht="15" hidden="false" customHeight="false" outlineLevel="0" collapsed="false">
      <c r="A257" s="52" t="str">
        <f aca="false">IF($N257="","",ROWS($N$10:N257))</f>
        <v/>
      </c>
      <c r="B257" s="52" t="str">
        <f aca="false">IF($N257="","",INDEX('ALL ITEMS'!$B:$B,$N257))</f>
        <v/>
      </c>
      <c r="C257" s="53" t="str">
        <f aca="false">IF($N257="","",INDEX('ALL ITEMS'!$A:$A,$N257))</f>
        <v/>
      </c>
      <c r="D257" s="53" t="str">
        <f aca="false">IF($N257="","",INDEX('ALL ITEMS'!$D:$D,$N257))</f>
        <v/>
      </c>
      <c r="E257" s="53" t="str">
        <f aca="false">IF($N257="","",INDEX('ALL ITEMS'!$E:$E,$N257))</f>
        <v/>
      </c>
      <c r="F257" s="53" t="str">
        <f aca="false">IF($N257="","",INDEX('ALL ITEMS'!$F:$F,$N257))</f>
        <v/>
      </c>
      <c r="G257" s="53" t="str">
        <f aca="false">IF($N257="","",INDEX('ALL ITEMS'!$G:$G,$N257))</f>
        <v/>
      </c>
      <c r="H257" s="52" t="str">
        <f aca="false">IF($N257="","",INDEX('ALL ITEMS'!$H:$H,$N257))</f>
        <v/>
      </c>
      <c r="I257" s="54" t="str">
        <f aca="false">IF($N257="","",INDEX('ALL ITEMS'!$I:$I,$N257))</f>
        <v/>
      </c>
      <c r="J257" s="54" t="str">
        <f aca="false">IF($N257="","",INDEX('ALL ITEMS'!$J:$J,$N257))</f>
        <v/>
      </c>
      <c r="K257" s="54" t="str">
        <f aca="false">IF($N257="","",INDEX('ALL ITEMS'!$K:$K,$N257))</f>
        <v/>
      </c>
      <c r="L257" s="52" t="str">
        <f aca="false">IF($N257="","",INDEX('ALL ITEMS'!$L:$L,$N257))</f>
        <v/>
      </c>
      <c r="N257" s="0" t="str">
        <f aca="false">IF(ROWS($N$10:N257)&gt;$C$7,"",SMALL('ALL ITEMS'!$M$3:$M$764,ROWS($N$10:N257)))</f>
        <v/>
      </c>
    </row>
    <row r="258" customFormat="false" ht="15" hidden="false" customHeight="false" outlineLevel="0" collapsed="false">
      <c r="A258" s="52" t="str">
        <f aca="false">IF($N258="","",ROWS($N$10:N258))</f>
        <v/>
      </c>
      <c r="B258" s="52" t="str">
        <f aca="false">IF($N258="","",INDEX('ALL ITEMS'!$B:$B,$N258))</f>
        <v/>
      </c>
      <c r="C258" s="53" t="str">
        <f aca="false">IF($N258="","",INDEX('ALL ITEMS'!$A:$A,$N258))</f>
        <v/>
      </c>
      <c r="D258" s="53" t="str">
        <f aca="false">IF($N258="","",INDEX('ALL ITEMS'!$D:$D,$N258))</f>
        <v/>
      </c>
      <c r="E258" s="53" t="str">
        <f aca="false">IF($N258="","",INDEX('ALL ITEMS'!$E:$E,$N258))</f>
        <v/>
      </c>
      <c r="F258" s="53" t="str">
        <f aca="false">IF($N258="","",INDEX('ALL ITEMS'!$F:$F,$N258))</f>
        <v/>
      </c>
      <c r="G258" s="53" t="str">
        <f aca="false">IF($N258="","",INDEX('ALL ITEMS'!$G:$G,$N258))</f>
        <v/>
      </c>
      <c r="H258" s="52" t="str">
        <f aca="false">IF($N258="","",INDEX('ALL ITEMS'!$H:$H,$N258))</f>
        <v/>
      </c>
      <c r="I258" s="54" t="str">
        <f aca="false">IF($N258="","",INDEX('ALL ITEMS'!$I:$I,$N258))</f>
        <v/>
      </c>
      <c r="J258" s="54" t="str">
        <f aca="false">IF($N258="","",INDEX('ALL ITEMS'!$J:$J,$N258))</f>
        <v/>
      </c>
      <c r="K258" s="54" t="str">
        <f aca="false">IF($N258="","",INDEX('ALL ITEMS'!$K:$K,$N258))</f>
        <v/>
      </c>
      <c r="L258" s="52" t="str">
        <f aca="false">IF($N258="","",INDEX('ALL ITEMS'!$L:$L,$N258))</f>
        <v/>
      </c>
      <c r="N258" s="0" t="str">
        <f aca="false">IF(ROWS($N$10:N258)&gt;$C$7,"",SMALL('ALL ITEMS'!$M$3:$M$764,ROWS($N$10:N258)))</f>
        <v/>
      </c>
    </row>
    <row r="259" customFormat="false" ht="15" hidden="false" customHeight="false" outlineLevel="0" collapsed="false">
      <c r="A259" s="52" t="str">
        <f aca="false">IF($N259="","",ROWS($N$10:N259))</f>
        <v/>
      </c>
      <c r="B259" s="52" t="str">
        <f aca="false">IF($N259="","",INDEX('ALL ITEMS'!$B:$B,$N259))</f>
        <v/>
      </c>
      <c r="C259" s="53" t="str">
        <f aca="false">IF($N259="","",INDEX('ALL ITEMS'!$A:$A,$N259))</f>
        <v/>
      </c>
      <c r="D259" s="53" t="str">
        <f aca="false">IF($N259="","",INDEX('ALL ITEMS'!$D:$D,$N259))</f>
        <v/>
      </c>
      <c r="E259" s="53" t="str">
        <f aca="false">IF($N259="","",INDEX('ALL ITEMS'!$E:$E,$N259))</f>
        <v/>
      </c>
      <c r="F259" s="53" t="str">
        <f aca="false">IF($N259="","",INDEX('ALL ITEMS'!$F:$F,$N259))</f>
        <v/>
      </c>
      <c r="G259" s="53" t="str">
        <f aca="false">IF($N259="","",INDEX('ALL ITEMS'!$G:$G,$N259))</f>
        <v/>
      </c>
      <c r="H259" s="52" t="str">
        <f aca="false">IF($N259="","",INDEX('ALL ITEMS'!$H:$H,$N259))</f>
        <v/>
      </c>
      <c r="I259" s="54" t="str">
        <f aca="false">IF($N259="","",INDEX('ALL ITEMS'!$I:$I,$N259))</f>
        <v/>
      </c>
      <c r="J259" s="54" t="str">
        <f aca="false">IF($N259="","",INDEX('ALL ITEMS'!$J:$J,$N259))</f>
        <v/>
      </c>
      <c r="K259" s="54" t="str">
        <f aca="false">IF($N259="","",INDEX('ALL ITEMS'!$K:$K,$N259))</f>
        <v/>
      </c>
      <c r="L259" s="52" t="str">
        <f aca="false">IF($N259="","",INDEX('ALL ITEMS'!$L:$L,$N259))</f>
        <v/>
      </c>
      <c r="N259" s="0" t="str">
        <f aca="false">IF(ROWS($N$10:N259)&gt;$C$7,"",SMALL('ALL ITEMS'!$M$3:$M$764,ROWS($N$10:N259)))</f>
        <v/>
      </c>
    </row>
    <row r="260" customFormat="false" ht="15" hidden="false" customHeight="false" outlineLevel="0" collapsed="false">
      <c r="A260" s="52" t="str">
        <f aca="false">IF($N260="","",ROWS($N$10:N260))</f>
        <v/>
      </c>
      <c r="B260" s="52" t="str">
        <f aca="false">IF($N260="","",INDEX('ALL ITEMS'!$B:$B,$N260))</f>
        <v/>
      </c>
      <c r="C260" s="53" t="str">
        <f aca="false">IF($N260="","",INDEX('ALL ITEMS'!$A:$A,$N260))</f>
        <v/>
      </c>
      <c r="D260" s="53" t="str">
        <f aca="false">IF($N260="","",INDEX('ALL ITEMS'!$D:$D,$N260))</f>
        <v/>
      </c>
      <c r="E260" s="53" t="str">
        <f aca="false">IF($N260="","",INDEX('ALL ITEMS'!$E:$E,$N260))</f>
        <v/>
      </c>
      <c r="F260" s="53" t="str">
        <f aca="false">IF($N260="","",INDEX('ALL ITEMS'!$F:$F,$N260))</f>
        <v/>
      </c>
      <c r="G260" s="53" t="str">
        <f aca="false">IF($N260="","",INDEX('ALL ITEMS'!$G:$G,$N260))</f>
        <v/>
      </c>
      <c r="H260" s="52" t="str">
        <f aca="false">IF($N260="","",INDEX('ALL ITEMS'!$H:$H,$N260))</f>
        <v/>
      </c>
      <c r="I260" s="54" t="str">
        <f aca="false">IF($N260="","",INDEX('ALL ITEMS'!$I:$I,$N260))</f>
        <v/>
      </c>
      <c r="J260" s="54" t="str">
        <f aca="false">IF($N260="","",INDEX('ALL ITEMS'!$J:$J,$N260))</f>
        <v/>
      </c>
      <c r="K260" s="54" t="str">
        <f aca="false">IF($N260="","",INDEX('ALL ITEMS'!$K:$K,$N260))</f>
        <v/>
      </c>
      <c r="L260" s="52" t="str">
        <f aca="false">IF($N260="","",INDEX('ALL ITEMS'!$L:$L,$N260))</f>
        <v/>
      </c>
      <c r="N260" s="0" t="str">
        <f aca="false">IF(ROWS($N$10:N260)&gt;$C$7,"",SMALL('ALL ITEMS'!$M$3:$M$764,ROWS($N$10:N260)))</f>
        <v/>
      </c>
    </row>
    <row r="261" customFormat="false" ht="15" hidden="false" customHeight="false" outlineLevel="0" collapsed="false">
      <c r="A261" s="52" t="str">
        <f aca="false">IF($N261="","",ROWS($N$10:N261))</f>
        <v/>
      </c>
      <c r="B261" s="52" t="str">
        <f aca="false">IF($N261="","",INDEX('ALL ITEMS'!$B:$B,$N261))</f>
        <v/>
      </c>
      <c r="C261" s="53" t="str">
        <f aca="false">IF($N261="","",INDEX('ALL ITEMS'!$A:$A,$N261))</f>
        <v/>
      </c>
      <c r="D261" s="53" t="str">
        <f aca="false">IF($N261="","",INDEX('ALL ITEMS'!$D:$D,$N261))</f>
        <v/>
      </c>
      <c r="E261" s="53" t="str">
        <f aca="false">IF($N261="","",INDEX('ALL ITEMS'!$E:$E,$N261))</f>
        <v/>
      </c>
      <c r="F261" s="53" t="str">
        <f aca="false">IF($N261="","",INDEX('ALL ITEMS'!$F:$F,$N261))</f>
        <v/>
      </c>
      <c r="G261" s="53" t="str">
        <f aca="false">IF($N261="","",INDEX('ALL ITEMS'!$G:$G,$N261))</f>
        <v/>
      </c>
      <c r="H261" s="52" t="str">
        <f aca="false">IF($N261="","",INDEX('ALL ITEMS'!$H:$H,$N261))</f>
        <v/>
      </c>
      <c r="I261" s="54" t="str">
        <f aca="false">IF($N261="","",INDEX('ALL ITEMS'!$I:$I,$N261))</f>
        <v/>
      </c>
      <c r="J261" s="54" t="str">
        <f aca="false">IF($N261="","",INDEX('ALL ITEMS'!$J:$J,$N261))</f>
        <v/>
      </c>
      <c r="K261" s="54" t="str">
        <f aca="false">IF($N261="","",INDEX('ALL ITEMS'!$K:$K,$N261))</f>
        <v/>
      </c>
      <c r="L261" s="52" t="str">
        <f aca="false">IF($N261="","",INDEX('ALL ITEMS'!$L:$L,$N261))</f>
        <v/>
      </c>
      <c r="N261" s="0" t="str">
        <f aca="false">IF(ROWS($N$10:N261)&gt;$C$7,"",SMALL('ALL ITEMS'!$M$3:$M$764,ROWS($N$10:N261)))</f>
        <v/>
      </c>
    </row>
    <row r="262" customFormat="false" ht="15" hidden="false" customHeight="false" outlineLevel="0" collapsed="false">
      <c r="A262" s="52" t="str">
        <f aca="false">IF($N262="","",ROWS($N$10:N262))</f>
        <v/>
      </c>
      <c r="B262" s="52" t="str">
        <f aca="false">IF($N262="","",INDEX('ALL ITEMS'!$B:$B,$N262))</f>
        <v/>
      </c>
      <c r="C262" s="53" t="str">
        <f aca="false">IF($N262="","",INDEX('ALL ITEMS'!$A:$A,$N262))</f>
        <v/>
      </c>
      <c r="D262" s="53" t="str">
        <f aca="false">IF($N262="","",INDEX('ALL ITEMS'!$D:$D,$N262))</f>
        <v/>
      </c>
      <c r="E262" s="53" t="str">
        <f aca="false">IF($N262="","",INDEX('ALL ITEMS'!$E:$E,$N262))</f>
        <v/>
      </c>
      <c r="F262" s="53" t="str">
        <f aca="false">IF($N262="","",INDEX('ALL ITEMS'!$F:$F,$N262))</f>
        <v/>
      </c>
      <c r="G262" s="53" t="str">
        <f aca="false">IF($N262="","",INDEX('ALL ITEMS'!$G:$G,$N262))</f>
        <v/>
      </c>
      <c r="H262" s="52" t="str">
        <f aca="false">IF($N262="","",INDEX('ALL ITEMS'!$H:$H,$N262))</f>
        <v/>
      </c>
      <c r="I262" s="54" t="str">
        <f aca="false">IF($N262="","",INDEX('ALL ITEMS'!$I:$I,$N262))</f>
        <v/>
      </c>
      <c r="J262" s="54" t="str">
        <f aca="false">IF($N262="","",INDEX('ALL ITEMS'!$J:$J,$N262))</f>
        <v/>
      </c>
      <c r="K262" s="54" t="str">
        <f aca="false">IF($N262="","",INDEX('ALL ITEMS'!$K:$K,$N262))</f>
        <v/>
      </c>
      <c r="L262" s="52" t="str">
        <f aca="false">IF($N262="","",INDEX('ALL ITEMS'!$L:$L,$N262))</f>
        <v/>
      </c>
      <c r="N262" s="0" t="str">
        <f aca="false">IF(ROWS($N$10:N262)&gt;$C$7,"",SMALL('ALL ITEMS'!$M$3:$M$764,ROWS($N$10:N262)))</f>
        <v/>
      </c>
    </row>
    <row r="263" customFormat="false" ht="15" hidden="false" customHeight="false" outlineLevel="0" collapsed="false">
      <c r="A263" s="52" t="str">
        <f aca="false">IF($N263="","",ROWS($N$10:N263))</f>
        <v/>
      </c>
      <c r="B263" s="52" t="str">
        <f aca="false">IF($N263="","",INDEX('ALL ITEMS'!$B:$B,$N263))</f>
        <v/>
      </c>
      <c r="C263" s="53" t="str">
        <f aca="false">IF($N263="","",INDEX('ALL ITEMS'!$A:$A,$N263))</f>
        <v/>
      </c>
      <c r="D263" s="53" t="str">
        <f aca="false">IF($N263="","",INDEX('ALL ITEMS'!$D:$D,$N263))</f>
        <v/>
      </c>
      <c r="E263" s="53" t="str">
        <f aca="false">IF($N263="","",INDEX('ALL ITEMS'!$E:$E,$N263))</f>
        <v/>
      </c>
      <c r="F263" s="53" t="str">
        <f aca="false">IF($N263="","",INDEX('ALL ITEMS'!$F:$F,$N263))</f>
        <v/>
      </c>
      <c r="G263" s="53" t="str">
        <f aca="false">IF($N263="","",INDEX('ALL ITEMS'!$G:$G,$N263))</f>
        <v/>
      </c>
      <c r="H263" s="52" t="str">
        <f aca="false">IF($N263="","",INDEX('ALL ITEMS'!$H:$H,$N263))</f>
        <v/>
      </c>
      <c r="I263" s="54" t="str">
        <f aca="false">IF($N263="","",INDEX('ALL ITEMS'!$I:$I,$N263))</f>
        <v/>
      </c>
      <c r="J263" s="54" t="str">
        <f aca="false">IF($N263="","",INDEX('ALL ITEMS'!$J:$J,$N263))</f>
        <v/>
      </c>
      <c r="K263" s="54" t="str">
        <f aca="false">IF($N263="","",INDEX('ALL ITEMS'!$K:$K,$N263))</f>
        <v/>
      </c>
      <c r="L263" s="52" t="str">
        <f aca="false">IF($N263="","",INDEX('ALL ITEMS'!$L:$L,$N263))</f>
        <v/>
      </c>
      <c r="N263" s="0" t="str">
        <f aca="false">IF(ROWS($N$10:N263)&gt;$C$7,"",SMALL('ALL ITEMS'!$M$3:$M$764,ROWS($N$10:N263)))</f>
        <v/>
      </c>
    </row>
    <row r="264" customFormat="false" ht="15" hidden="false" customHeight="false" outlineLevel="0" collapsed="false">
      <c r="A264" s="52" t="str">
        <f aca="false">IF($N264="","",ROWS($N$10:N264))</f>
        <v/>
      </c>
      <c r="B264" s="52" t="str">
        <f aca="false">IF($N264="","",INDEX('ALL ITEMS'!$B:$B,$N264))</f>
        <v/>
      </c>
      <c r="C264" s="53" t="str">
        <f aca="false">IF($N264="","",INDEX('ALL ITEMS'!$A:$A,$N264))</f>
        <v/>
      </c>
      <c r="D264" s="53" t="str">
        <f aca="false">IF($N264="","",INDEX('ALL ITEMS'!$D:$D,$N264))</f>
        <v/>
      </c>
      <c r="E264" s="53" t="str">
        <f aca="false">IF($N264="","",INDEX('ALL ITEMS'!$E:$E,$N264))</f>
        <v/>
      </c>
      <c r="F264" s="53" t="str">
        <f aca="false">IF($N264="","",INDEX('ALL ITEMS'!$F:$F,$N264))</f>
        <v/>
      </c>
      <c r="G264" s="53" t="str">
        <f aca="false">IF($N264="","",INDEX('ALL ITEMS'!$G:$G,$N264))</f>
        <v/>
      </c>
      <c r="H264" s="52" t="str">
        <f aca="false">IF($N264="","",INDEX('ALL ITEMS'!$H:$H,$N264))</f>
        <v/>
      </c>
      <c r="I264" s="54" t="str">
        <f aca="false">IF($N264="","",INDEX('ALL ITEMS'!$I:$I,$N264))</f>
        <v/>
      </c>
      <c r="J264" s="54" t="str">
        <f aca="false">IF($N264="","",INDEX('ALL ITEMS'!$J:$J,$N264))</f>
        <v/>
      </c>
      <c r="K264" s="54" t="str">
        <f aca="false">IF($N264="","",INDEX('ALL ITEMS'!$K:$K,$N264))</f>
        <v/>
      </c>
      <c r="L264" s="52" t="str">
        <f aca="false">IF($N264="","",INDEX('ALL ITEMS'!$L:$L,$N264))</f>
        <v/>
      </c>
      <c r="N264" s="0" t="str">
        <f aca="false">IF(ROWS($N$10:N264)&gt;$C$7,"",SMALL('ALL ITEMS'!$M$3:$M$764,ROWS($N$10:N264)))</f>
        <v/>
      </c>
    </row>
    <row r="265" customFormat="false" ht="15" hidden="false" customHeight="false" outlineLevel="0" collapsed="false">
      <c r="A265" s="52" t="str">
        <f aca="false">IF($N265="","",ROWS($N$10:N265))</f>
        <v/>
      </c>
      <c r="B265" s="52" t="str">
        <f aca="false">IF($N265="","",INDEX('ALL ITEMS'!$B:$B,$N265))</f>
        <v/>
      </c>
      <c r="C265" s="53" t="str">
        <f aca="false">IF($N265="","",INDEX('ALL ITEMS'!$A:$A,$N265))</f>
        <v/>
      </c>
      <c r="D265" s="53" t="str">
        <f aca="false">IF($N265="","",INDEX('ALL ITEMS'!$D:$D,$N265))</f>
        <v/>
      </c>
      <c r="E265" s="53" t="str">
        <f aca="false">IF($N265="","",INDEX('ALL ITEMS'!$E:$E,$N265))</f>
        <v/>
      </c>
      <c r="F265" s="53" t="str">
        <f aca="false">IF($N265="","",INDEX('ALL ITEMS'!$F:$F,$N265))</f>
        <v/>
      </c>
      <c r="G265" s="53" t="str">
        <f aca="false">IF($N265="","",INDEX('ALL ITEMS'!$G:$G,$N265))</f>
        <v/>
      </c>
      <c r="H265" s="52" t="str">
        <f aca="false">IF($N265="","",INDEX('ALL ITEMS'!$H:$H,$N265))</f>
        <v/>
      </c>
      <c r="I265" s="54" t="str">
        <f aca="false">IF($N265="","",INDEX('ALL ITEMS'!$I:$I,$N265))</f>
        <v/>
      </c>
      <c r="J265" s="54" t="str">
        <f aca="false">IF($N265="","",INDEX('ALL ITEMS'!$J:$J,$N265))</f>
        <v/>
      </c>
      <c r="K265" s="54" t="str">
        <f aca="false">IF($N265="","",INDEX('ALL ITEMS'!$K:$K,$N265))</f>
        <v/>
      </c>
      <c r="L265" s="52" t="str">
        <f aca="false">IF($N265="","",INDEX('ALL ITEMS'!$L:$L,$N265))</f>
        <v/>
      </c>
      <c r="N265" s="0" t="str">
        <f aca="false">IF(ROWS($N$10:N265)&gt;$C$7,"",SMALL('ALL ITEMS'!$M$3:$M$764,ROWS($N$10:N265)))</f>
        <v/>
      </c>
    </row>
    <row r="266" customFormat="false" ht="15" hidden="false" customHeight="false" outlineLevel="0" collapsed="false">
      <c r="A266" s="52" t="str">
        <f aca="false">IF($N266="","",ROWS($N$10:N266))</f>
        <v/>
      </c>
      <c r="B266" s="52" t="str">
        <f aca="false">IF($N266="","",INDEX('ALL ITEMS'!$B:$B,$N266))</f>
        <v/>
      </c>
      <c r="C266" s="53" t="str">
        <f aca="false">IF($N266="","",INDEX('ALL ITEMS'!$A:$A,$N266))</f>
        <v/>
      </c>
      <c r="D266" s="53" t="str">
        <f aca="false">IF($N266="","",INDEX('ALL ITEMS'!$D:$D,$N266))</f>
        <v/>
      </c>
      <c r="E266" s="53" t="str">
        <f aca="false">IF($N266="","",INDEX('ALL ITEMS'!$E:$E,$N266))</f>
        <v/>
      </c>
      <c r="F266" s="53" t="str">
        <f aca="false">IF($N266="","",INDEX('ALL ITEMS'!$F:$F,$N266))</f>
        <v/>
      </c>
      <c r="G266" s="53" t="str">
        <f aca="false">IF($N266="","",INDEX('ALL ITEMS'!$G:$G,$N266))</f>
        <v/>
      </c>
      <c r="H266" s="52" t="str">
        <f aca="false">IF($N266="","",INDEX('ALL ITEMS'!$H:$H,$N266))</f>
        <v/>
      </c>
      <c r="I266" s="54" t="str">
        <f aca="false">IF($N266="","",INDEX('ALL ITEMS'!$I:$I,$N266))</f>
        <v/>
      </c>
      <c r="J266" s="54" t="str">
        <f aca="false">IF($N266="","",INDEX('ALL ITEMS'!$J:$J,$N266))</f>
        <v/>
      </c>
      <c r="K266" s="54" t="str">
        <f aca="false">IF($N266="","",INDEX('ALL ITEMS'!$K:$K,$N266))</f>
        <v/>
      </c>
      <c r="L266" s="52" t="str">
        <f aca="false">IF($N266="","",INDEX('ALL ITEMS'!$L:$L,$N266))</f>
        <v/>
      </c>
      <c r="N266" s="0" t="str">
        <f aca="false">IF(ROWS($N$10:N266)&gt;$C$7,"",SMALL('ALL ITEMS'!$M$3:$M$764,ROWS($N$10:N266)))</f>
        <v/>
      </c>
    </row>
    <row r="267" customFormat="false" ht="15" hidden="false" customHeight="false" outlineLevel="0" collapsed="false">
      <c r="A267" s="52" t="str">
        <f aca="false">IF($N267="","",ROWS($N$10:N267))</f>
        <v/>
      </c>
      <c r="B267" s="52" t="str">
        <f aca="false">IF($N267="","",INDEX('ALL ITEMS'!$B:$B,$N267))</f>
        <v/>
      </c>
      <c r="C267" s="53" t="str">
        <f aca="false">IF($N267="","",INDEX('ALL ITEMS'!$A:$A,$N267))</f>
        <v/>
      </c>
      <c r="D267" s="53" t="str">
        <f aca="false">IF($N267="","",INDEX('ALL ITEMS'!$D:$D,$N267))</f>
        <v/>
      </c>
      <c r="E267" s="53" t="str">
        <f aca="false">IF($N267="","",INDEX('ALL ITEMS'!$E:$E,$N267))</f>
        <v/>
      </c>
      <c r="F267" s="53" t="str">
        <f aca="false">IF($N267="","",INDEX('ALL ITEMS'!$F:$F,$N267))</f>
        <v/>
      </c>
      <c r="G267" s="53" t="str">
        <f aca="false">IF($N267="","",INDEX('ALL ITEMS'!$G:$G,$N267))</f>
        <v/>
      </c>
      <c r="H267" s="52" t="str">
        <f aca="false">IF($N267="","",INDEX('ALL ITEMS'!$H:$H,$N267))</f>
        <v/>
      </c>
      <c r="I267" s="54" t="str">
        <f aca="false">IF($N267="","",INDEX('ALL ITEMS'!$I:$I,$N267))</f>
        <v/>
      </c>
      <c r="J267" s="54" t="str">
        <f aca="false">IF($N267="","",INDEX('ALL ITEMS'!$J:$J,$N267))</f>
        <v/>
      </c>
      <c r="K267" s="54" t="str">
        <f aca="false">IF($N267="","",INDEX('ALL ITEMS'!$K:$K,$N267))</f>
        <v/>
      </c>
      <c r="L267" s="52" t="str">
        <f aca="false">IF($N267="","",INDEX('ALL ITEMS'!$L:$L,$N267))</f>
        <v/>
      </c>
      <c r="N267" s="0" t="str">
        <f aca="false">IF(ROWS($N$10:N267)&gt;$C$7,"",SMALL('ALL ITEMS'!$M$3:$M$764,ROWS($N$10:N267)))</f>
        <v/>
      </c>
    </row>
    <row r="268" customFormat="false" ht="15" hidden="false" customHeight="false" outlineLevel="0" collapsed="false">
      <c r="A268" s="52" t="str">
        <f aca="false">IF($N268="","",ROWS($N$10:N268))</f>
        <v/>
      </c>
      <c r="B268" s="52" t="str">
        <f aca="false">IF($N268="","",INDEX('ALL ITEMS'!$B:$B,$N268))</f>
        <v/>
      </c>
      <c r="C268" s="53" t="str">
        <f aca="false">IF($N268="","",INDEX('ALL ITEMS'!$A:$A,$N268))</f>
        <v/>
      </c>
      <c r="D268" s="53" t="str">
        <f aca="false">IF($N268="","",INDEX('ALL ITEMS'!$D:$D,$N268))</f>
        <v/>
      </c>
      <c r="E268" s="53" t="str">
        <f aca="false">IF($N268="","",INDEX('ALL ITEMS'!$E:$E,$N268))</f>
        <v/>
      </c>
      <c r="F268" s="53" t="str">
        <f aca="false">IF($N268="","",INDEX('ALL ITEMS'!$F:$F,$N268))</f>
        <v/>
      </c>
      <c r="G268" s="53" t="str">
        <f aca="false">IF($N268="","",INDEX('ALL ITEMS'!$G:$G,$N268))</f>
        <v/>
      </c>
      <c r="H268" s="52" t="str">
        <f aca="false">IF($N268="","",INDEX('ALL ITEMS'!$H:$H,$N268))</f>
        <v/>
      </c>
      <c r="I268" s="54" t="str">
        <f aca="false">IF($N268="","",INDEX('ALL ITEMS'!$I:$I,$N268))</f>
        <v/>
      </c>
      <c r="J268" s="54" t="str">
        <f aca="false">IF($N268="","",INDEX('ALL ITEMS'!$J:$J,$N268))</f>
        <v/>
      </c>
      <c r="K268" s="54" t="str">
        <f aca="false">IF($N268="","",INDEX('ALL ITEMS'!$K:$K,$N268))</f>
        <v/>
      </c>
      <c r="L268" s="52" t="str">
        <f aca="false">IF($N268="","",INDEX('ALL ITEMS'!$L:$L,$N268))</f>
        <v/>
      </c>
      <c r="N268" s="0" t="str">
        <f aca="false">IF(ROWS($N$10:N268)&gt;$C$7,"",SMALL('ALL ITEMS'!$M$3:$M$764,ROWS($N$10:N268)))</f>
        <v/>
      </c>
    </row>
    <row r="269" customFormat="false" ht="15" hidden="false" customHeight="false" outlineLevel="0" collapsed="false">
      <c r="A269" s="52" t="str">
        <f aca="false">IF($N269="","",ROWS($N$10:N269))</f>
        <v/>
      </c>
      <c r="B269" s="52" t="str">
        <f aca="false">IF($N269="","",INDEX('ALL ITEMS'!$B:$B,$N269))</f>
        <v/>
      </c>
      <c r="C269" s="53" t="str">
        <f aca="false">IF($N269="","",INDEX('ALL ITEMS'!$A:$A,$N269))</f>
        <v/>
      </c>
      <c r="D269" s="53" t="str">
        <f aca="false">IF($N269="","",INDEX('ALL ITEMS'!$D:$D,$N269))</f>
        <v/>
      </c>
      <c r="E269" s="53" t="str">
        <f aca="false">IF($N269="","",INDEX('ALL ITEMS'!$E:$E,$N269))</f>
        <v/>
      </c>
      <c r="F269" s="53" t="str">
        <f aca="false">IF($N269="","",INDEX('ALL ITEMS'!$F:$F,$N269))</f>
        <v/>
      </c>
      <c r="G269" s="53" t="str">
        <f aca="false">IF($N269="","",INDEX('ALL ITEMS'!$G:$G,$N269))</f>
        <v/>
      </c>
      <c r="H269" s="52" t="str">
        <f aca="false">IF($N269="","",INDEX('ALL ITEMS'!$H:$H,$N269))</f>
        <v/>
      </c>
      <c r="I269" s="54" t="str">
        <f aca="false">IF($N269="","",INDEX('ALL ITEMS'!$I:$I,$N269))</f>
        <v/>
      </c>
      <c r="J269" s="54" t="str">
        <f aca="false">IF($N269="","",INDEX('ALL ITEMS'!$J:$J,$N269))</f>
        <v/>
      </c>
      <c r="K269" s="54" t="str">
        <f aca="false">IF($N269="","",INDEX('ALL ITEMS'!$K:$K,$N269))</f>
        <v/>
      </c>
      <c r="L269" s="52" t="str">
        <f aca="false">IF($N269="","",INDEX('ALL ITEMS'!$L:$L,$N269))</f>
        <v/>
      </c>
      <c r="N269" s="0" t="str">
        <f aca="false">IF(ROWS($N$10:N269)&gt;$C$7,"",SMALL('ALL ITEMS'!$M$3:$M$764,ROWS($N$10:N269)))</f>
        <v/>
      </c>
    </row>
    <row r="270" customFormat="false" ht="15" hidden="false" customHeight="false" outlineLevel="0" collapsed="false">
      <c r="A270" s="52" t="str">
        <f aca="false">IF($N270="","",ROWS($N$10:N270))</f>
        <v/>
      </c>
      <c r="B270" s="52" t="str">
        <f aca="false">IF($N270="","",INDEX('ALL ITEMS'!$B:$B,$N270))</f>
        <v/>
      </c>
      <c r="C270" s="53" t="str">
        <f aca="false">IF($N270="","",INDEX('ALL ITEMS'!$A:$A,$N270))</f>
        <v/>
      </c>
      <c r="D270" s="53" t="str">
        <f aca="false">IF($N270="","",INDEX('ALL ITEMS'!$D:$D,$N270))</f>
        <v/>
      </c>
      <c r="E270" s="53" t="str">
        <f aca="false">IF($N270="","",INDEX('ALL ITEMS'!$E:$E,$N270))</f>
        <v/>
      </c>
      <c r="F270" s="53" t="str">
        <f aca="false">IF($N270="","",INDEX('ALL ITEMS'!$F:$F,$N270))</f>
        <v/>
      </c>
      <c r="G270" s="53" t="str">
        <f aca="false">IF($N270="","",INDEX('ALL ITEMS'!$G:$G,$N270))</f>
        <v/>
      </c>
      <c r="H270" s="52" t="str">
        <f aca="false">IF($N270="","",INDEX('ALL ITEMS'!$H:$H,$N270))</f>
        <v/>
      </c>
      <c r="I270" s="54" t="str">
        <f aca="false">IF($N270="","",INDEX('ALL ITEMS'!$I:$I,$N270))</f>
        <v/>
      </c>
      <c r="J270" s="54" t="str">
        <f aca="false">IF($N270="","",INDEX('ALL ITEMS'!$J:$J,$N270))</f>
        <v/>
      </c>
      <c r="K270" s="54" t="str">
        <f aca="false">IF($N270="","",INDEX('ALL ITEMS'!$K:$K,$N270))</f>
        <v/>
      </c>
      <c r="L270" s="52" t="str">
        <f aca="false">IF($N270="","",INDEX('ALL ITEMS'!$L:$L,$N270))</f>
        <v/>
      </c>
      <c r="N270" s="0" t="str">
        <f aca="false">IF(ROWS($N$10:N270)&gt;$C$7,"",SMALL('ALL ITEMS'!$M$3:$M$764,ROWS($N$10:N270)))</f>
        <v/>
      </c>
    </row>
    <row r="271" customFormat="false" ht="15" hidden="false" customHeight="false" outlineLevel="0" collapsed="false">
      <c r="A271" s="52" t="str">
        <f aca="false">IF($N271="","",ROWS($N$10:N271))</f>
        <v/>
      </c>
      <c r="B271" s="52" t="str">
        <f aca="false">IF($N271="","",INDEX('ALL ITEMS'!$B:$B,$N271))</f>
        <v/>
      </c>
      <c r="C271" s="53" t="str">
        <f aca="false">IF($N271="","",INDEX('ALL ITEMS'!$A:$A,$N271))</f>
        <v/>
      </c>
      <c r="D271" s="53" t="str">
        <f aca="false">IF($N271="","",INDEX('ALL ITEMS'!$D:$D,$N271))</f>
        <v/>
      </c>
      <c r="E271" s="53" t="str">
        <f aca="false">IF($N271="","",INDEX('ALL ITEMS'!$E:$E,$N271))</f>
        <v/>
      </c>
      <c r="F271" s="53" t="str">
        <f aca="false">IF($N271="","",INDEX('ALL ITEMS'!$F:$F,$N271))</f>
        <v/>
      </c>
      <c r="G271" s="53" t="str">
        <f aca="false">IF($N271="","",INDEX('ALL ITEMS'!$G:$G,$N271))</f>
        <v/>
      </c>
      <c r="H271" s="52" t="str">
        <f aca="false">IF($N271="","",INDEX('ALL ITEMS'!$H:$H,$N271))</f>
        <v/>
      </c>
      <c r="I271" s="54" t="str">
        <f aca="false">IF($N271="","",INDEX('ALL ITEMS'!$I:$I,$N271))</f>
        <v/>
      </c>
      <c r="J271" s="54" t="str">
        <f aca="false">IF($N271="","",INDEX('ALL ITEMS'!$J:$J,$N271))</f>
        <v/>
      </c>
      <c r="K271" s="54" t="str">
        <f aca="false">IF($N271="","",INDEX('ALL ITEMS'!$K:$K,$N271))</f>
        <v/>
      </c>
      <c r="L271" s="52" t="str">
        <f aca="false">IF($N271="","",INDEX('ALL ITEMS'!$L:$L,$N271))</f>
        <v/>
      </c>
      <c r="N271" s="0" t="str">
        <f aca="false">IF(ROWS($N$10:N271)&gt;$C$7,"",SMALL('ALL ITEMS'!$M$3:$M$764,ROWS($N$10:N271)))</f>
        <v/>
      </c>
    </row>
    <row r="272" customFormat="false" ht="15" hidden="false" customHeight="false" outlineLevel="0" collapsed="false">
      <c r="A272" s="52" t="str">
        <f aca="false">IF($N272="","",ROWS($N$10:N272))</f>
        <v/>
      </c>
      <c r="B272" s="52" t="str">
        <f aca="false">IF($N272="","",INDEX('ALL ITEMS'!$B:$B,$N272))</f>
        <v/>
      </c>
      <c r="C272" s="53" t="str">
        <f aca="false">IF($N272="","",INDEX('ALL ITEMS'!$A:$A,$N272))</f>
        <v/>
      </c>
      <c r="D272" s="53" t="str">
        <f aca="false">IF($N272="","",INDEX('ALL ITEMS'!$D:$D,$N272))</f>
        <v/>
      </c>
      <c r="E272" s="53" t="str">
        <f aca="false">IF($N272="","",INDEX('ALL ITEMS'!$E:$E,$N272))</f>
        <v/>
      </c>
      <c r="F272" s="53" t="str">
        <f aca="false">IF($N272="","",INDEX('ALL ITEMS'!$F:$F,$N272))</f>
        <v/>
      </c>
      <c r="G272" s="53" t="str">
        <f aca="false">IF($N272="","",INDEX('ALL ITEMS'!$G:$G,$N272))</f>
        <v/>
      </c>
      <c r="H272" s="52" t="str">
        <f aca="false">IF($N272="","",INDEX('ALL ITEMS'!$H:$H,$N272))</f>
        <v/>
      </c>
      <c r="I272" s="54" t="str">
        <f aca="false">IF($N272="","",INDEX('ALL ITEMS'!$I:$I,$N272))</f>
        <v/>
      </c>
      <c r="J272" s="54" t="str">
        <f aca="false">IF($N272="","",INDEX('ALL ITEMS'!$J:$J,$N272))</f>
        <v/>
      </c>
      <c r="K272" s="54" t="str">
        <f aca="false">IF($N272="","",INDEX('ALL ITEMS'!$K:$K,$N272))</f>
        <v/>
      </c>
      <c r="L272" s="52" t="str">
        <f aca="false">IF($N272="","",INDEX('ALL ITEMS'!$L:$L,$N272))</f>
        <v/>
      </c>
      <c r="N272" s="0" t="str">
        <f aca="false">IF(ROWS($N$10:N272)&gt;$C$7,"",SMALL('ALL ITEMS'!$M$3:$M$764,ROWS($N$10:N272)))</f>
        <v/>
      </c>
    </row>
    <row r="273" customFormat="false" ht="15" hidden="false" customHeight="false" outlineLevel="0" collapsed="false">
      <c r="A273" s="52" t="str">
        <f aca="false">IF($N273="","",ROWS($N$10:N273))</f>
        <v/>
      </c>
      <c r="B273" s="52" t="str">
        <f aca="false">IF($N273="","",INDEX('ALL ITEMS'!$B:$B,$N273))</f>
        <v/>
      </c>
      <c r="C273" s="53" t="str">
        <f aca="false">IF($N273="","",INDEX('ALL ITEMS'!$A:$A,$N273))</f>
        <v/>
      </c>
      <c r="D273" s="53" t="str">
        <f aca="false">IF($N273="","",INDEX('ALL ITEMS'!$D:$D,$N273))</f>
        <v/>
      </c>
      <c r="E273" s="53" t="str">
        <f aca="false">IF($N273="","",INDEX('ALL ITEMS'!$E:$E,$N273))</f>
        <v/>
      </c>
      <c r="F273" s="53" t="str">
        <f aca="false">IF($N273="","",INDEX('ALL ITEMS'!$F:$F,$N273))</f>
        <v/>
      </c>
      <c r="G273" s="53" t="str">
        <f aca="false">IF($N273="","",INDEX('ALL ITEMS'!$G:$G,$N273))</f>
        <v/>
      </c>
      <c r="H273" s="52" t="str">
        <f aca="false">IF($N273="","",INDEX('ALL ITEMS'!$H:$H,$N273))</f>
        <v/>
      </c>
      <c r="I273" s="54" t="str">
        <f aca="false">IF($N273="","",INDEX('ALL ITEMS'!$I:$I,$N273))</f>
        <v/>
      </c>
      <c r="J273" s="54" t="str">
        <f aca="false">IF($N273="","",INDEX('ALL ITEMS'!$J:$J,$N273))</f>
        <v/>
      </c>
      <c r="K273" s="54" t="str">
        <f aca="false">IF($N273="","",INDEX('ALL ITEMS'!$K:$K,$N273))</f>
        <v/>
      </c>
      <c r="L273" s="52" t="str">
        <f aca="false">IF($N273="","",INDEX('ALL ITEMS'!$L:$L,$N273))</f>
        <v/>
      </c>
      <c r="N273" s="0" t="str">
        <f aca="false">IF(ROWS($N$10:N273)&gt;$C$7,"",SMALL('ALL ITEMS'!$M$3:$M$764,ROWS($N$10:N273)))</f>
        <v/>
      </c>
    </row>
    <row r="274" customFormat="false" ht="15" hidden="false" customHeight="false" outlineLevel="0" collapsed="false">
      <c r="A274" s="52" t="str">
        <f aca="false">IF($N274="","",ROWS($N$10:N274))</f>
        <v/>
      </c>
      <c r="B274" s="52" t="str">
        <f aca="false">IF($N274="","",INDEX('ALL ITEMS'!$B:$B,$N274))</f>
        <v/>
      </c>
      <c r="C274" s="53" t="str">
        <f aca="false">IF($N274="","",INDEX('ALL ITEMS'!$A:$A,$N274))</f>
        <v/>
      </c>
      <c r="D274" s="53" t="str">
        <f aca="false">IF($N274="","",INDEX('ALL ITEMS'!$D:$D,$N274))</f>
        <v/>
      </c>
      <c r="E274" s="53" t="str">
        <f aca="false">IF($N274="","",INDEX('ALL ITEMS'!$E:$E,$N274))</f>
        <v/>
      </c>
      <c r="F274" s="53" t="str">
        <f aca="false">IF($N274="","",INDEX('ALL ITEMS'!$F:$F,$N274))</f>
        <v/>
      </c>
      <c r="G274" s="53" t="str">
        <f aca="false">IF($N274="","",INDEX('ALL ITEMS'!$G:$G,$N274))</f>
        <v/>
      </c>
      <c r="H274" s="52" t="str">
        <f aca="false">IF($N274="","",INDEX('ALL ITEMS'!$H:$H,$N274))</f>
        <v/>
      </c>
      <c r="I274" s="54" t="str">
        <f aca="false">IF($N274="","",INDEX('ALL ITEMS'!$I:$I,$N274))</f>
        <v/>
      </c>
      <c r="J274" s="54" t="str">
        <f aca="false">IF($N274="","",INDEX('ALL ITEMS'!$J:$J,$N274))</f>
        <v/>
      </c>
      <c r="K274" s="54" t="str">
        <f aca="false">IF($N274="","",INDEX('ALL ITEMS'!$K:$K,$N274))</f>
        <v/>
      </c>
      <c r="L274" s="52" t="str">
        <f aca="false">IF($N274="","",INDEX('ALL ITEMS'!$L:$L,$N274))</f>
        <v/>
      </c>
      <c r="N274" s="0" t="str">
        <f aca="false">IF(ROWS($N$10:N274)&gt;$C$7,"",SMALL('ALL ITEMS'!$M$3:$M$764,ROWS($N$10:N274)))</f>
        <v/>
      </c>
    </row>
    <row r="275" customFormat="false" ht="15" hidden="false" customHeight="false" outlineLevel="0" collapsed="false">
      <c r="A275" s="52" t="str">
        <f aca="false">IF($N275="","",ROWS($N$10:N275))</f>
        <v/>
      </c>
      <c r="B275" s="52" t="str">
        <f aca="false">IF($N275="","",INDEX('ALL ITEMS'!$B:$B,$N275))</f>
        <v/>
      </c>
      <c r="C275" s="53" t="str">
        <f aca="false">IF($N275="","",INDEX('ALL ITEMS'!$A:$A,$N275))</f>
        <v/>
      </c>
      <c r="D275" s="53" t="str">
        <f aca="false">IF($N275="","",INDEX('ALL ITEMS'!$D:$D,$N275))</f>
        <v/>
      </c>
      <c r="E275" s="53" t="str">
        <f aca="false">IF($N275="","",INDEX('ALL ITEMS'!$E:$E,$N275))</f>
        <v/>
      </c>
      <c r="F275" s="53" t="str">
        <f aca="false">IF($N275="","",INDEX('ALL ITEMS'!$F:$F,$N275))</f>
        <v/>
      </c>
      <c r="G275" s="53" t="str">
        <f aca="false">IF($N275="","",INDEX('ALL ITEMS'!$G:$G,$N275))</f>
        <v/>
      </c>
      <c r="H275" s="52" t="str">
        <f aca="false">IF($N275="","",INDEX('ALL ITEMS'!$H:$H,$N275))</f>
        <v/>
      </c>
      <c r="I275" s="54" t="str">
        <f aca="false">IF($N275="","",INDEX('ALL ITEMS'!$I:$I,$N275))</f>
        <v/>
      </c>
      <c r="J275" s="54" t="str">
        <f aca="false">IF($N275="","",INDEX('ALL ITEMS'!$J:$J,$N275))</f>
        <v/>
      </c>
      <c r="K275" s="54" t="str">
        <f aca="false">IF($N275="","",INDEX('ALL ITEMS'!$K:$K,$N275))</f>
        <v/>
      </c>
      <c r="L275" s="52" t="str">
        <f aca="false">IF($N275="","",INDEX('ALL ITEMS'!$L:$L,$N275))</f>
        <v/>
      </c>
      <c r="N275" s="0" t="str">
        <f aca="false">IF(ROWS($N$10:N275)&gt;$C$7,"",SMALL('ALL ITEMS'!$M$3:$M$764,ROWS($N$10:N275)))</f>
        <v/>
      </c>
    </row>
    <row r="276" customFormat="false" ht="15" hidden="false" customHeight="false" outlineLevel="0" collapsed="false">
      <c r="A276" s="52" t="str">
        <f aca="false">IF($N276="","",ROWS($N$10:N276))</f>
        <v/>
      </c>
      <c r="B276" s="52" t="str">
        <f aca="false">IF($N276="","",INDEX('ALL ITEMS'!$B:$B,$N276))</f>
        <v/>
      </c>
      <c r="C276" s="53" t="str">
        <f aca="false">IF($N276="","",INDEX('ALL ITEMS'!$A:$A,$N276))</f>
        <v/>
      </c>
      <c r="D276" s="53" t="str">
        <f aca="false">IF($N276="","",INDEX('ALL ITEMS'!$D:$D,$N276))</f>
        <v/>
      </c>
      <c r="E276" s="53" t="str">
        <f aca="false">IF($N276="","",INDEX('ALL ITEMS'!$E:$E,$N276))</f>
        <v/>
      </c>
      <c r="F276" s="53" t="str">
        <f aca="false">IF($N276="","",INDEX('ALL ITEMS'!$F:$F,$N276))</f>
        <v/>
      </c>
      <c r="G276" s="53" t="str">
        <f aca="false">IF($N276="","",INDEX('ALL ITEMS'!$G:$G,$N276))</f>
        <v/>
      </c>
      <c r="H276" s="52" t="str">
        <f aca="false">IF($N276="","",INDEX('ALL ITEMS'!$H:$H,$N276))</f>
        <v/>
      </c>
      <c r="I276" s="54" t="str">
        <f aca="false">IF($N276="","",INDEX('ALL ITEMS'!$I:$I,$N276))</f>
        <v/>
      </c>
      <c r="J276" s="54" t="str">
        <f aca="false">IF($N276="","",INDEX('ALL ITEMS'!$J:$J,$N276))</f>
        <v/>
      </c>
      <c r="K276" s="54" t="str">
        <f aca="false">IF($N276="","",INDEX('ALL ITEMS'!$K:$K,$N276))</f>
        <v/>
      </c>
      <c r="L276" s="52" t="str">
        <f aca="false">IF($N276="","",INDEX('ALL ITEMS'!$L:$L,$N276))</f>
        <v/>
      </c>
      <c r="N276" s="0" t="str">
        <f aca="false">IF(ROWS($N$10:N276)&gt;$C$7,"",SMALL('ALL ITEMS'!$M$3:$M$764,ROWS($N$10:N276)))</f>
        <v/>
      </c>
    </row>
    <row r="277" customFormat="false" ht="15" hidden="false" customHeight="false" outlineLevel="0" collapsed="false">
      <c r="A277" s="52" t="str">
        <f aca="false">IF($N277="","",ROWS($N$10:N277))</f>
        <v/>
      </c>
      <c r="B277" s="52" t="str">
        <f aca="false">IF($N277="","",INDEX('ALL ITEMS'!$B:$B,$N277))</f>
        <v/>
      </c>
      <c r="C277" s="53" t="str">
        <f aca="false">IF($N277="","",INDEX('ALL ITEMS'!$A:$A,$N277))</f>
        <v/>
      </c>
      <c r="D277" s="53" t="str">
        <f aca="false">IF($N277="","",INDEX('ALL ITEMS'!$D:$D,$N277))</f>
        <v/>
      </c>
      <c r="E277" s="53" t="str">
        <f aca="false">IF($N277="","",INDEX('ALL ITEMS'!$E:$E,$N277))</f>
        <v/>
      </c>
      <c r="F277" s="53" t="str">
        <f aca="false">IF($N277="","",INDEX('ALL ITEMS'!$F:$F,$N277))</f>
        <v/>
      </c>
      <c r="G277" s="53" t="str">
        <f aca="false">IF($N277="","",INDEX('ALL ITEMS'!$G:$G,$N277))</f>
        <v/>
      </c>
      <c r="H277" s="52" t="str">
        <f aca="false">IF($N277="","",INDEX('ALL ITEMS'!$H:$H,$N277))</f>
        <v/>
      </c>
      <c r="I277" s="54" t="str">
        <f aca="false">IF($N277="","",INDEX('ALL ITEMS'!$I:$I,$N277))</f>
        <v/>
      </c>
      <c r="J277" s="54" t="str">
        <f aca="false">IF($N277="","",INDEX('ALL ITEMS'!$J:$J,$N277))</f>
        <v/>
      </c>
      <c r="K277" s="54" t="str">
        <f aca="false">IF($N277="","",INDEX('ALL ITEMS'!$K:$K,$N277))</f>
        <v/>
      </c>
      <c r="L277" s="52" t="str">
        <f aca="false">IF($N277="","",INDEX('ALL ITEMS'!$L:$L,$N277))</f>
        <v/>
      </c>
      <c r="N277" s="0" t="str">
        <f aca="false">IF(ROWS($N$10:N277)&gt;$C$7,"",SMALL('ALL ITEMS'!$M$3:$M$764,ROWS($N$10:N277)))</f>
        <v/>
      </c>
    </row>
    <row r="278" customFormat="false" ht="15" hidden="false" customHeight="false" outlineLevel="0" collapsed="false">
      <c r="A278" s="52" t="str">
        <f aca="false">IF($N278="","",ROWS($N$10:N278))</f>
        <v/>
      </c>
      <c r="B278" s="52" t="str">
        <f aca="false">IF($N278="","",INDEX('ALL ITEMS'!$B:$B,$N278))</f>
        <v/>
      </c>
      <c r="C278" s="53" t="str">
        <f aca="false">IF($N278="","",INDEX('ALL ITEMS'!$A:$A,$N278))</f>
        <v/>
      </c>
      <c r="D278" s="53" t="str">
        <f aca="false">IF($N278="","",INDEX('ALL ITEMS'!$D:$D,$N278))</f>
        <v/>
      </c>
      <c r="E278" s="53" t="str">
        <f aca="false">IF($N278="","",INDEX('ALL ITEMS'!$E:$E,$N278))</f>
        <v/>
      </c>
      <c r="F278" s="53" t="str">
        <f aca="false">IF($N278="","",INDEX('ALL ITEMS'!$F:$F,$N278))</f>
        <v/>
      </c>
      <c r="G278" s="53" t="str">
        <f aca="false">IF($N278="","",INDEX('ALL ITEMS'!$G:$G,$N278))</f>
        <v/>
      </c>
      <c r="H278" s="52" t="str">
        <f aca="false">IF($N278="","",INDEX('ALL ITEMS'!$H:$H,$N278))</f>
        <v/>
      </c>
      <c r="I278" s="54" t="str">
        <f aca="false">IF($N278="","",INDEX('ALL ITEMS'!$I:$I,$N278))</f>
        <v/>
      </c>
      <c r="J278" s="54" t="str">
        <f aca="false">IF($N278="","",INDEX('ALL ITEMS'!$J:$J,$N278))</f>
        <v/>
      </c>
      <c r="K278" s="54" t="str">
        <f aca="false">IF($N278="","",INDEX('ALL ITEMS'!$K:$K,$N278))</f>
        <v/>
      </c>
      <c r="L278" s="52" t="str">
        <f aca="false">IF($N278="","",INDEX('ALL ITEMS'!$L:$L,$N278))</f>
        <v/>
      </c>
      <c r="N278" s="0" t="str">
        <f aca="false">IF(ROWS($N$10:N278)&gt;$C$7,"",SMALL('ALL ITEMS'!$M$3:$M$764,ROWS($N$10:N278)))</f>
        <v/>
      </c>
    </row>
    <row r="279" customFormat="false" ht="15" hidden="false" customHeight="false" outlineLevel="0" collapsed="false">
      <c r="A279" s="52" t="str">
        <f aca="false">IF($N279="","",ROWS($N$10:N279))</f>
        <v/>
      </c>
      <c r="B279" s="52" t="str">
        <f aca="false">IF($N279="","",INDEX('ALL ITEMS'!$B:$B,$N279))</f>
        <v/>
      </c>
      <c r="C279" s="53" t="str">
        <f aca="false">IF($N279="","",INDEX('ALL ITEMS'!$A:$A,$N279))</f>
        <v/>
      </c>
      <c r="D279" s="53" t="str">
        <f aca="false">IF($N279="","",INDEX('ALL ITEMS'!$D:$D,$N279))</f>
        <v/>
      </c>
      <c r="E279" s="53" t="str">
        <f aca="false">IF($N279="","",INDEX('ALL ITEMS'!$E:$E,$N279))</f>
        <v/>
      </c>
      <c r="F279" s="53" t="str">
        <f aca="false">IF($N279="","",INDEX('ALL ITEMS'!$F:$F,$N279))</f>
        <v/>
      </c>
      <c r="G279" s="53" t="str">
        <f aca="false">IF($N279="","",INDEX('ALL ITEMS'!$G:$G,$N279))</f>
        <v/>
      </c>
      <c r="H279" s="52" t="str">
        <f aca="false">IF($N279="","",INDEX('ALL ITEMS'!$H:$H,$N279))</f>
        <v/>
      </c>
      <c r="I279" s="54" t="str">
        <f aca="false">IF($N279="","",INDEX('ALL ITEMS'!$I:$I,$N279))</f>
        <v/>
      </c>
      <c r="J279" s="54" t="str">
        <f aca="false">IF($N279="","",INDEX('ALL ITEMS'!$J:$J,$N279))</f>
        <v/>
      </c>
      <c r="K279" s="54" t="str">
        <f aca="false">IF($N279="","",INDEX('ALL ITEMS'!$K:$K,$N279))</f>
        <v/>
      </c>
      <c r="L279" s="52" t="str">
        <f aca="false">IF($N279="","",INDEX('ALL ITEMS'!$L:$L,$N279))</f>
        <v/>
      </c>
      <c r="N279" s="0" t="str">
        <f aca="false">IF(ROWS($N$10:N279)&gt;$C$7,"",SMALL('ALL ITEMS'!$M$3:$M$764,ROWS($N$10:N279)))</f>
        <v/>
      </c>
    </row>
    <row r="280" customFormat="false" ht="15" hidden="false" customHeight="false" outlineLevel="0" collapsed="false">
      <c r="A280" s="52" t="str">
        <f aca="false">IF($N280="","",ROWS($N$10:N280))</f>
        <v/>
      </c>
      <c r="B280" s="52" t="str">
        <f aca="false">IF($N280="","",INDEX('ALL ITEMS'!$B:$B,$N280))</f>
        <v/>
      </c>
      <c r="C280" s="53" t="str">
        <f aca="false">IF($N280="","",INDEX('ALL ITEMS'!$A:$A,$N280))</f>
        <v/>
      </c>
      <c r="D280" s="53" t="str">
        <f aca="false">IF($N280="","",INDEX('ALL ITEMS'!$D:$D,$N280))</f>
        <v/>
      </c>
      <c r="E280" s="53" t="str">
        <f aca="false">IF($N280="","",INDEX('ALL ITEMS'!$E:$E,$N280))</f>
        <v/>
      </c>
      <c r="F280" s="53" t="str">
        <f aca="false">IF($N280="","",INDEX('ALL ITEMS'!$F:$F,$N280))</f>
        <v/>
      </c>
      <c r="G280" s="53" t="str">
        <f aca="false">IF($N280="","",INDEX('ALL ITEMS'!$G:$G,$N280))</f>
        <v/>
      </c>
      <c r="H280" s="52" t="str">
        <f aca="false">IF($N280="","",INDEX('ALL ITEMS'!$H:$H,$N280))</f>
        <v/>
      </c>
      <c r="I280" s="54" t="str">
        <f aca="false">IF($N280="","",INDEX('ALL ITEMS'!$I:$I,$N280))</f>
        <v/>
      </c>
      <c r="J280" s="54" t="str">
        <f aca="false">IF($N280="","",INDEX('ALL ITEMS'!$J:$J,$N280))</f>
        <v/>
      </c>
      <c r="K280" s="54" t="str">
        <f aca="false">IF($N280="","",INDEX('ALL ITEMS'!$K:$K,$N280))</f>
        <v/>
      </c>
      <c r="L280" s="52" t="str">
        <f aca="false">IF($N280="","",INDEX('ALL ITEMS'!$L:$L,$N280))</f>
        <v/>
      </c>
      <c r="N280" s="0" t="str">
        <f aca="false">IF(ROWS($N$10:N280)&gt;$C$7,"",SMALL('ALL ITEMS'!$M$3:$M$764,ROWS($N$10:N280)))</f>
        <v/>
      </c>
    </row>
    <row r="281" customFormat="false" ht="15" hidden="false" customHeight="false" outlineLevel="0" collapsed="false">
      <c r="A281" s="52" t="str">
        <f aca="false">IF($N281="","",ROWS($N$10:N281))</f>
        <v/>
      </c>
      <c r="B281" s="52" t="str">
        <f aca="false">IF($N281="","",INDEX('ALL ITEMS'!$B:$B,$N281))</f>
        <v/>
      </c>
      <c r="C281" s="53" t="str">
        <f aca="false">IF($N281="","",INDEX('ALL ITEMS'!$A:$A,$N281))</f>
        <v/>
      </c>
      <c r="D281" s="53" t="str">
        <f aca="false">IF($N281="","",INDEX('ALL ITEMS'!$D:$D,$N281))</f>
        <v/>
      </c>
      <c r="E281" s="53" t="str">
        <f aca="false">IF($N281="","",INDEX('ALL ITEMS'!$E:$E,$N281))</f>
        <v/>
      </c>
      <c r="F281" s="53" t="str">
        <f aca="false">IF($N281="","",INDEX('ALL ITEMS'!$F:$F,$N281))</f>
        <v/>
      </c>
      <c r="G281" s="53" t="str">
        <f aca="false">IF($N281="","",INDEX('ALL ITEMS'!$G:$G,$N281))</f>
        <v/>
      </c>
      <c r="H281" s="52" t="str">
        <f aca="false">IF($N281="","",INDEX('ALL ITEMS'!$H:$H,$N281))</f>
        <v/>
      </c>
      <c r="I281" s="54" t="str">
        <f aca="false">IF($N281="","",INDEX('ALL ITEMS'!$I:$I,$N281))</f>
        <v/>
      </c>
      <c r="J281" s="54" t="str">
        <f aca="false">IF($N281="","",INDEX('ALL ITEMS'!$J:$J,$N281))</f>
        <v/>
      </c>
      <c r="K281" s="54" t="str">
        <f aca="false">IF($N281="","",INDEX('ALL ITEMS'!$K:$K,$N281))</f>
        <v/>
      </c>
      <c r="L281" s="52" t="str">
        <f aca="false">IF($N281="","",INDEX('ALL ITEMS'!$L:$L,$N281))</f>
        <v/>
      </c>
      <c r="N281" s="0" t="str">
        <f aca="false">IF(ROWS($N$10:N281)&gt;$C$7,"",SMALL('ALL ITEMS'!$M$3:$M$764,ROWS($N$10:N281)))</f>
        <v/>
      </c>
    </row>
    <row r="282" customFormat="false" ht="15" hidden="false" customHeight="false" outlineLevel="0" collapsed="false">
      <c r="A282" s="52" t="str">
        <f aca="false">IF($N282="","",ROWS($N$10:N282))</f>
        <v/>
      </c>
      <c r="B282" s="52" t="str">
        <f aca="false">IF($N282="","",INDEX('ALL ITEMS'!$B:$B,$N282))</f>
        <v/>
      </c>
      <c r="C282" s="53" t="str">
        <f aca="false">IF($N282="","",INDEX('ALL ITEMS'!$A:$A,$N282))</f>
        <v/>
      </c>
      <c r="D282" s="53" t="str">
        <f aca="false">IF($N282="","",INDEX('ALL ITEMS'!$D:$D,$N282))</f>
        <v/>
      </c>
      <c r="E282" s="53" t="str">
        <f aca="false">IF($N282="","",INDEX('ALL ITEMS'!$E:$E,$N282))</f>
        <v/>
      </c>
      <c r="F282" s="53" t="str">
        <f aca="false">IF($N282="","",INDEX('ALL ITEMS'!$F:$F,$N282))</f>
        <v/>
      </c>
      <c r="G282" s="53" t="str">
        <f aca="false">IF($N282="","",INDEX('ALL ITEMS'!$G:$G,$N282))</f>
        <v/>
      </c>
      <c r="H282" s="52" t="str">
        <f aca="false">IF($N282="","",INDEX('ALL ITEMS'!$H:$H,$N282))</f>
        <v/>
      </c>
      <c r="I282" s="54" t="str">
        <f aca="false">IF($N282="","",INDEX('ALL ITEMS'!$I:$I,$N282))</f>
        <v/>
      </c>
      <c r="J282" s="54" t="str">
        <f aca="false">IF($N282="","",INDEX('ALL ITEMS'!$J:$J,$N282))</f>
        <v/>
      </c>
      <c r="K282" s="54" t="str">
        <f aca="false">IF($N282="","",INDEX('ALL ITEMS'!$K:$K,$N282))</f>
        <v/>
      </c>
      <c r="L282" s="52" t="str">
        <f aca="false">IF($N282="","",INDEX('ALL ITEMS'!$L:$L,$N282))</f>
        <v/>
      </c>
      <c r="N282" s="0" t="str">
        <f aca="false">IF(ROWS($N$10:N282)&gt;$C$7,"",SMALL('ALL ITEMS'!$M$3:$M$764,ROWS($N$10:N282)))</f>
        <v/>
      </c>
    </row>
    <row r="283" customFormat="false" ht="15" hidden="false" customHeight="false" outlineLevel="0" collapsed="false">
      <c r="A283" s="52" t="str">
        <f aca="false">IF($N283="","",ROWS($N$10:N283))</f>
        <v/>
      </c>
      <c r="B283" s="52" t="str">
        <f aca="false">IF($N283="","",INDEX('ALL ITEMS'!$B:$B,$N283))</f>
        <v/>
      </c>
      <c r="C283" s="53" t="str">
        <f aca="false">IF($N283="","",INDEX('ALL ITEMS'!$A:$A,$N283))</f>
        <v/>
      </c>
      <c r="D283" s="53" t="str">
        <f aca="false">IF($N283="","",INDEX('ALL ITEMS'!$D:$D,$N283))</f>
        <v/>
      </c>
      <c r="E283" s="53" t="str">
        <f aca="false">IF($N283="","",INDEX('ALL ITEMS'!$E:$E,$N283))</f>
        <v/>
      </c>
      <c r="F283" s="53" t="str">
        <f aca="false">IF($N283="","",INDEX('ALL ITEMS'!$F:$F,$N283))</f>
        <v/>
      </c>
      <c r="G283" s="53" t="str">
        <f aca="false">IF($N283="","",INDEX('ALL ITEMS'!$G:$G,$N283))</f>
        <v/>
      </c>
      <c r="H283" s="52" t="str">
        <f aca="false">IF($N283="","",INDEX('ALL ITEMS'!$H:$H,$N283))</f>
        <v/>
      </c>
      <c r="I283" s="54" t="str">
        <f aca="false">IF($N283="","",INDEX('ALL ITEMS'!$I:$I,$N283))</f>
        <v/>
      </c>
      <c r="J283" s="54" t="str">
        <f aca="false">IF($N283="","",INDEX('ALL ITEMS'!$J:$J,$N283))</f>
        <v/>
      </c>
      <c r="K283" s="54" t="str">
        <f aca="false">IF($N283="","",INDEX('ALL ITEMS'!$K:$K,$N283))</f>
        <v/>
      </c>
      <c r="L283" s="52" t="str">
        <f aca="false">IF($N283="","",INDEX('ALL ITEMS'!$L:$L,$N283))</f>
        <v/>
      </c>
      <c r="N283" s="0" t="str">
        <f aca="false">IF(ROWS($N$10:N283)&gt;$C$7,"",SMALL('ALL ITEMS'!$M$3:$M$764,ROWS($N$10:N283)))</f>
        <v/>
      </c>
    </row>
    <row r="284" customFormat="false" ht="15" hidden="false" customHeight="false" outlineLevel="0" collapsed="false">
      <c r="A284" s="52" t="str">
        <f aca="false">IF($N284="","",ROWS($N$10:N284))</f>
        <v/>
      </c>
      <c r="B284" s="52" t="str">
        <f aca="false">IF($N284="","",INDEX('ALL ITEMS'!$B:$B,$N284))</f>
        <v/>
      </c>
      <c r="C284" s="53" t="str">
        <f aca="false">IF($N284="","",INDEX('ALL ITEMS'!$A:$A,$N284))</f>
        <v/>
      </c>
      <c r="D284" s="53" t="str">
        <f aca="false">IF($N284="","",INDEX('ALL ITEMS'!$D:$D,$N284))</f>
        <v/>
      </c>
      <c r="E284" s="53" t="str">
        <f aca="false">IF($N284="","",INDEX('ALL ITEMS'!$E:$E,$N284))</f>
        <v/>
      </c>
      <c r="F284" s="53" t="str">
        <f aca="false">IF($N284="","",INDEX('ALL ITEMS'!$F:$F,$N284))</f>
        <v/>
      </c>
      <c r="G284" s="53" t="str">
        <f aca="false">IF($N284="","",INDEX('ALL ITEMS'!$G:$G,$N284))</f>
        <v/>
      </c>
      <c r="H284" s="52" t="str">
        <f aca="false">IF($N284="","",INDEX('ALL ITEMS'!$H:$H,$N284))</f>
        <v/>
      </c>
      <c r="I284" s="54" t="str">
        <f aca="false">IF($N284="","",INDEX('ALL ITEMS'!$I:$I,$N284))</f>
        <v/>
      </c>
      <c r="J284" s="54" t="str">
        <f aca="false">IF($N284="","",INDEX('ALL ITEMS'!$J:$J,$N284))</f>
        <v/>
      </c>
      <c r="K284" s="54" t="str">
        <f aca="false">IF($N284="","",INDEX('ALL ITEMS'!$K:$K,$N284))</f>
        <v/>
      </c>
      <c r="L284" s="52" t="str">
        <f aca="false">IF($N284="","",INDEX('ALL ITEMS'!$L:$L,$N284))</f>
        <v/>
      </c>
      <c r="N284" s="0" t="str">
        <f aca="false">IF(ROWS($N$10:N284)&gt;$C$7,"",SMALL('ALL ITEMS'!$M$3:$M$764,ROWS($N$10:N284)))</f>
        <v/>
      </c>
    </row>
    <row r="285" customFormat="false" ht="15" hidden="false" customHeight="false" outlineLevel="0" collapsed="false">
      <c r="A285" s="52" t="str">
        <f aca="false">IF($N285="","",ROWS($N$10:N285))</f>
        <v/>
      </c>
      <c r="B285" s="52" t="str">
        <f aca="false">IF($N285="","",INDEX('ALL ITEMS'!$B:$B,$N285))</f>
        <v/>
      </c>
      <c r="C285" s="53" t="str">
        <f aca="false">IF($N285="","",INDEX('ALL ITEMS'!$A:$A,$N285))</f>
        <v/>
      </c>
      <c r="D285" s="53" t="str">
        <f aca="false">IF($N285="","",INDEX('ALL ITEMS'!$D:$D,$N285))</f>
        <v/>
      </c>
      <c r="E285" s="53" t="str">
        <f aca="false">IF($N285="","",INDEX('ALL ITEMS'!$E:$E,$N285))</f>
        <v/>
      </c>
      <c r="F285" s="53" t="str">
        <f aca="false">IF($N285="","",INDEX('ALL ITEMS'!$F:$F,$N285))</f>
        <v/>
      </c>
      <c r="G285" s="53" t="str">
        <f aca="false">IF($N285="","",INDEX('ALL ITEMS'!$G:$G,$N285))</f>
        <v/>
      </c>
      <c r="H285" s="52" t="str">
        <f aca="false">IF($N285="","",INDEX('ALL ITEMS'!$H:$H,$N285))</f>
        <v/>
      </c>
      <c r="I285" s="54" t="str">
        <f aca="false">IF($N285="","",INDEX('ALL ITEMS'!$I:$I,$N285))</f>
        <v/>
      </c>
      <c r="J285" s="54" t="str">
        <f aca="false">IF($N285="","",INDEX('ALL ITEMS'!$J:$J,$N285))</f>
        <v/>
      </c>
      <c r="K285" s="54" t="str">
        <f aca="false">IF($N285="","",INDEX('ALL ITEMS'!$K:$K,$N285))</f>
        <v/>
      </c>
      <c r="L285" s="52" t="str">
        <f aca="false">IF($N285="","",INDEX('ALL ITEMS'!$L:$L,$N285))</f>
        <v/>
      </c>
      <c r="N285" s="0" t="str">
        <f aca="false">IF(ROWS($N$10:N285)&gt;$C$7,"",SMALL('ALL ITEMS'!$M$3:$M$764,ROWS($N$10:N285)))</f>
        <v/>
      </c>
    </row>
    <row r="286" customFormat="false" ht="15" hidden="false" customHeight="false" outlineLevel="0" collapsed="false">
      <c r="A286" s="52" t="str">
        <f aca="false">IF($N286="","",ROWS($N$10:N286))</f>
        <v/>
      </c>
      <c r="B286" s="52" t="str">
        <f aca="false">IF($N286="","",INDEX('ALL ITEMS'!$B:$B,$N286))</f>
        <v/>
      </c>
      <c r="C286" s="53" t="str">
        <f aca="false">IF($N286="","",INDEX('ALL ITEMS'!$A:$A,$N286))</f>
        <v/>
      </c>
      <c r="D286" s="53" t="str">
        <f aca="false">IF($N286="","",INDEX('ALL ITEMS'!$D:$D,$N286))</f>
        <v/>
      </c>
      <c r="E286" s="53" t="str">
        <f aca="false">IF($N286="","",INDEX('ALL ITEMS'!$E:$E,$N286))</f>
        <v/>
      </c>
      <c r="F286" s="53" t="str">
        <f aca="false">IF($N286="","",INDEX('ALL ITEMS'!$F:$F,$N286))</f>
        <v/>
      </c>
      <c r="G286" s="53" t="str">
        <f aca="false">IF($N286="","",INDEX('ALL ITEMS'!$G:$G,$N286))</f>
        <v/>
      </c>
      <c r="H286" s="52" t="str">
        <f aca="false">IF($N286="","",INDEX('ALL ITEMS'!$H:$H,$N286))</f>
        <v/>
      </c>
      <c r="I286" s="54" t="str">
        <f aca="false">IF($N286="","",INDEX('ALL ITEMS'!$I:$I,$N286))</f>
        <v/>
      </c>
      <c r="J286" s="54" t="str">
        <f aca="false">IF($N286="","",INDEX('ALL ITEMS'!$J:$J,$N286))</f>
        <v/>
      </c>
      <c r="K286" s="54" t="str">
        <f aca="false">IF($N286="","",INDEX('ALL ITEMS'!$K:$K,$N286))</f>
        <v/>
      </c>
      <c r="L286" s="52" t="str">
        <f aca="false">IF($N286="","",INDEX('ALL ITEMS'!$L:$L,$N286))</f>
        <v/>
      </c>
      <c r="N286" s="0" t="str">
        <f aca="false">IF(ROWS($N$10:N286)&gt;$C$7,"",SMALL('ALL ITEMS'!$M$3:$M$764,ROWS($N$10:N286)))</f>
        <v/>
      </c>
    </row>
    <row r="287" customFormat="false" ht="15" hidden="false" customHeight="false" outlineLevel="0" collapsed="false">
      <c r="A287" s="52" t="str">
        <f aca="false">IF($N287="","",ROWS($N$10:N287))</f>
        <v/>
      </c>
      <c r="B287" s="52" t="str">
        <f aca="false">IF($N287="","",INDEX('ALL ITEMS'!$B:$B,$N287))</f>
        <v/>
      </c>
      <c r="C287" s="53" t="str">
        <f aca="false">IF($N287="","",INDEX('ALL ITEMS'!$A:$A,$N287))</f>
        <v/>
      </c>
      <c r="D287" s="53" t="str">
        <f aca="false">IF($N287="","",INDEX('ALL ITEMS'!$D:$D,$N287))</f>
        <v/>
      </c>
      <c r="E287" s="53" t="str">
        <f aca="false">IF($N287="","",INDEX('ALL ITEMS'!$E:$E,$N287))</f>
        <v/>
      </c>
      <c r="F287" s="53" t="str">
        <f aca="false">IF($N287="","",INDEX('ALL ITEMS'!$F:$F,$N287))</f>
        <v/>
      </c>
      <c r="G287" s="53" t="str">
        <f aca="false">IF($N287="","",INDEX('ALL ITEMS'!$G:$G,$N287))</f>
        <v/>
      </c>
      <c r="H287" s="52" t="str">
        <f aca="false">IF($N287="","",INDEX('ALL ITEMS'!$H:$H,$N287))</f>
        <v/>
      </c>
      <c r="I287" s="54" t="str">
        <f aca="false">IF($N287="","",INDEX('ALL ITEMS'!$I:$I,$N287))</f>
        <v/>
      </c>
      <c r="J287" s="54" t="str">
        <f aca="false">IF($N287="","",INDEX('ALL ITEMS'!$J:$J,$N287))</f>
        <v/>
      </c>
      <c r="K287" s="54" t="str">
        <f aca="false">IF($N287="","",INDEX('ALL ITEMS'!$K:$K,$N287))</f>
        <v/>
      </c>
      <c r="L287" s="52" t="str">
        <f aca="false">IF($N287="","",INDEX('ALL ITEMS'!$L:$L,$N287))</f>
        <v/>
      </c>
      <c r="N287" s="0" t="str">
        <f aca="false">IF(ROWS($N$10:N287)&gt;$C$7,"",SMALL('ALL ITEMS'!$M$3:$M$764,ROWS($N$10:N287)))</f>
        <v/>
      </c>
    </row>
    <row r="288" customFormat="false" ht="15" hidden="false" customHeight="false" outlineLevel="0" collapsed="false">
      <c r="A288" s="52" t="str">
        <f aca="false">IF($N288="","",ROWS($N$10:N288))</f>
        <v/>
      </c>
      <c r="B288" s="52" t="str">
        <f aca="false">IF($N288="","",INDEX('ALL ITEMS'!$B:$B,$N288))</f>
        <v/>
      </c>
      <c r="C288" s="53" t="str">
        <f aca="false">IF($N288="","",INDEX('ALL ITEMS'!$A:$A,$N288))</f>
        <v/>
      </c>
      <c r="D288" s="53" t="str">
        <f aca="false">IF($N288="","",INDEX('ALL ITEMS'!$D:$D,$N288))</f>
        <v/>
      </c>
      <c r="E288" s="53" t="str">
        <f aca="false">IF($N288="","",INDEX('ALL ITEMS'!$E:$E,$N288))</f>
        <v/>
      </c>
      <c r="F288" s="53" t="str">
        <f aca="false">IF($N288="","",INDEX('ALL ITEMS'!$F:$F,$N288))</f>
        <v/>
      </c>
      <c r="G288" s="53" t="str">
        <f aca="false">IF($N288="","",INDEX('ALL ITEMS'!$G:$G,$N288))</f>
        <v/>
      </c>
      <c r="H288" s="52" t="str">
        <f aca="false">IF($N288="","",INDEX('ALL ITEMS'!$H:$H,$N288))</f>
        <v/>
      </c>
      <c r="I288" s="54" t="str">
        <f aca="false">IF($N288="","",INDEX('ALL ITEMS'!$I:$I,$N288))</f>
        <v/>
      </c>
      <c r="J288" s="54" t="str">
        <f aca="false">IF($N288="","",INDEX('ALL ITEMS'!$J:$J,$N288))</f>
        <v/>
      </c>
      <c r="K288" s="54" t="str">
        <f aca="false">IF($N288="","",INDEX('ALL ITEMS'!$K:$K,$N288))</f>
        <v/>
      </c>
      <c r="L288" s="52" t="str">
        <f aca="false">IF($N288="","",INDEX('ALL ITEMS'!$L:$L,$N288))</f>
        <v/>
      </c>
      <c r="N288" s="0" t="str">
        <f aca="false">IF(ROWS($N$10:N288)&gt;$C$7,"",SMALL('ALL ITEMS'!$M$3:$M$764,ROWS($N$10:N288)))</f>
        <v/>
      </c>
    </row>
    <row r="289" customFormat="false" ht="15" hidden="false" customHeight="false" outlineLevel="0" collapsed="false">
      <c r="A289" s="52" t="str">
        <f aca="false">IF($N289="","",ROWS($N$10:N289))</f>
        <v/>
      </c>
      <c r="B289" s="52" t="str">
        <f aca="false">IF($N289="","",INDEX('ALL ITEMS'!$B:$B,$N289))</f>
        <v/>
      </c>
      <c r="C289" s="53" t="str">
        <f aca="false">IF($N289="","",INDEX('ALL ITEMS'!$A:$A,$N289))</f>
        <v/>
      </c>
      <c r="D289" s="53" t="str">
        <f aca="false">IF($N289="","",INDEX('ALL ITEMS'!$D:$D,$N289))</f>
        <v/>
      </c>
      <c r="E289" s="53" t="str">
        <f aca="false">IF($N289="","",INDEX('ALL ITEMS'!$E:$E,$N289))</f>
        <v/>
      </c>
      <c r="F289" s="53" t="str">
        <f aca="false">IF($N289="","",INDEX('ALL ITEMS'!$F:$F,$N289))</f>
        <v/>
      </c>
      <c r="G289" s="53" t="str">
        <f aca="false">IF($N289="","",INDEX('ALL ITEMS'!$G:$G,$N289))</f>
        <v/>
      </c>
      <c r="H289" s="52" t="str">
        <f aca="false">IF($N289="","",INDEX('ALL ITEMS'!$H:$H,$N289))</f>
        <v/>
      </c>
      <c r="I289" s="54" t="str">
        <f aca="false">IF($N289="","",INDEX('ALL ITEMS'!$I:$I,$N289))</f>
        <v/>
      </c>
      <c r="J289" s="54" t="str">
        <f aca="false">IF($N289="","",INDEX('ALL ITEMS'!$J:$J,$N289))</f>
        <v/>
      </c>
      <c r="K289" s="54" t="str">
        <f aca="false">IF($N289="","",INDEX('ALL ITEMS'!$K:$K,$N289))</f>
        <v/>
      </c>
      <c r="L289" s="52" t="str">
        <f aca="false">IF($N289="","",INDEX('ALL ITEMS'!$L:$L,$N289))</f>
        <v/>
      </c>
      <c r="N289" s="0" t="str">
        <f aca="false">IF(ROWS($N$10:N289)&gt;$C$7,"",SMALL('ALL ITEMS'!$M$3:$M$764,ROWS($N$10:N289)))</f>
        <v/>
      </c>
    </row>
    <row r="290" customFormat="false" ht="15" hidden="false" customHeight="false" outlineLevel="0" collapsed="false">
      <c r="A290" s="52" t="str">
        <f aca="false">IF($N290="","",ROWS($N$10:N290))</f>
        <v/>
      </c>
      <c r="B290" s="52" t="str">
        <f aca="false">IF($N290="","",INDEX('ALL ITEMS'!$B:$B,$N290))</f>
        <v/>
      </c>
      <c r="C290" s="53" t="str">
        <f aca="false">IF($N290="","",INDEX('ALL ITEMS'!$A:$A,$N290))</f>
        <v/>
      </c>
      <c r="D290" s="53" t="str">
        <f aca="false">IF($N290="","",INDEX('ALL ITEMS'!$D:$D,$N290))</f>
        <v/>
      </c>
      <c r="E290" s="53" t="str">
        <f aca="false">IF($N290="","",INDEX('ALL ITEMS'!$E:$E,$N290))</f>
        <v/>
      </c>
      <c r="F290" s="53" t="str">
        <f aca="false">IF($N290="","",INDEX('ALL ITEMS'!$F:$F,$N290))</f>
        <v/>
      </c>
      <c r="G290" s="53" t="str">
        <f aca="false">IF($N290="","",INDEX('ALL ITEMS'!$G:$G,$N290))</f>
        <v/>
      </c>
      <c r="H290" s="52" t="str">
        <f aca="false">IF($N290="","",INDEX('ALL ITEMS'!$H:$H,$N290))</f>
        <v/>
      </c>
      <c r="I290" s="54" t="str">
        <f aca="false">IF($N290="","",INDEX('ALL ITEMS'!$I:$I,$N290))</f>
        <v/>
      </c>
      <c r="J290" s="54" t="str">
        <f aca="false">IF($N290="","",INDEX('ALL ITEMS'!$J:$J,$N290))</f>
        <v/>
      </c>
      <c r="K290" s="54" t="str">
        <f aca="false">IF($N290="","",INDEX('ALL ITEMS'!$K:$K,$N290))</f>
        <v/>
      </c>
      <c r="L290" s="52" t="str">
        <f aca="false">IF($N290="","",INDEX('ALL ITEMS'!$L:$L,$N290))</f>
        <v/>
      </c>
      <c r="N290" s="0" t="str">
        <f aca="false">IF(ROWS($N$10:N290)&gt;$C$7,"",SMALL('ALL ITEMS'!$M$3:$M$764,ROWS($N$10:N290)))</f>
        <v/>
      </c>
    </row>
    <row r="291" customFormat="false" ht="15" hidden="false" customHeight="false" outlineLevel="0" collapsed="false">
      <c r="A291" s="52" t="str">
        <f aca="false">IF($N291="","",ROWS($N$10:N291))</f>
        <v/>
      </c>
      <c r="B291" s="52" t="str">
        <f aca="false">IF($N291="","",INDEX('ALL ITEMS'!$B:$B,$N291))</f>
        <v/>
      </c>
      <c r="C291" s="53" t="str">
        <f aca="false">IF($N291="","",INDEX('ALL ITEMS'!$A:$A,$N291))</f>
        <v/>
      </c>
      <c r="D291" s="53" t="str">
        <f aca="false">IF($N291="","",INDEX('ALL ITEMS'!$D:$D,$N291))</f>
        <v/>
      </c>
      <c r="E291" s="53" t="str">
        <f aca="false">IF($N291="","",INDEX('ALL ITEMS'!$E:$E,$N291))</f>
        <v/>
      </c>
      <c r="F291" s="53" t="str">
        <f aca="false">IF($N291="","",INDEX('ALL ITEMS'!$F:$F,$N291))</f>
        <v/>
      </c>
      <c r="G291" s="53" t="str">
        <f aca="false">IF($N291="","",INDEX('ALL ITEMS'!$G:$G,$N291))</f>
        <v/>
      </c>
      <c r="H291" s="52" t="str">
        <f aca="false">IF($N291="","",INDEX('ALL ITEMS'!$H:$H,$N291))</f>
        <v/>
      </c>
      <c r="I291" s="54" t="str">
        <f aca="false">IF($N291="","",INDEX('ALL ITEMS'!$I:$I,$N291))</f>
        <v/>
      </c>
      <c r="J291" s="54" t="str">
        <f aca="false">IF($N291="","",INDEX('ALL ITEMS'!$J:$J,$N291))</f>
        <v/>
      </c>
      <c r="K291" s="54" t="str">
        <f aca="false">IF($N291="","",INDEX('ALL ITEMS'!$K:$K,$N291))</f>
        <v/>
      </c>
      <c r="L291" s="52" t="str">
        <f aca="false">IF($N291="","",INDEX('ALL ITEMS'!$L:$L,$N291))</f>
        <v/>
      </c>
      <c r="N291" s="0" t="str">
        <f aca="false">IF(ROWS($N$10:N291)&gt;$C$7,"",SMALL('ALL ITEMS'!$M$3:$M$764,ROWS($N$10:N291)))</f>
        <v/>
      </c>
    </row>
    <row r="292" customFormat="false" ht="15" hidden="false" customHeight="false" outlineLevel="0" collapsed="false">
      <c r="A292" s="52" t="str">
        <f aca="false">IF($N292="","",ROWS($N$10:N292))</f>
        <v/>
      </c>
      <c r="B292" s="52" t="str">
        <f aca="false">IF($N292="","",INDEX('ALL ITEMS'!$B:$B,$N292))</f>
        <v/>
      </c>
      <c r="C292" s="53" t="str">
        <f aca="false">IF($N292="","",INDEX('ALL ITEMS'!$A:$A,$N292))</f>
        <v/>
      </c>
      <c r="D292" s="53" t="str">
        <f aca="false">IF($N292="","",INDEX('ALL ITEMS'!$D:$D,$N292))</f>
        <v/>
      </c>
      <c r="E292" s="53" t="str">
        <f aca="false">IF($N292="","",INDEX('ALL ITEMS'!$E:$E,$N292))</f>
        <v/>
      </c>
      <c r="F292" s="53" t="str">
        <f aca="false">IF($N292="","",INDEX('ALL ITEMS'!$F:$F,$N292))</f>
        <v/>
      </c>
      <c r="G292" s="53" t="str">
        <f aca="false">IF($N292="","",INDEX('ALL ITEMS'!$G:$G,$N292))</f>
        <v/>
      </c>
      <c r="H292" s="52" t="str">
        <f aca="false">IF($N292="","",INDEX('ALL ITEMS'!$H:$H,$N292))</f>
        <v/>
      </c>
      <c r="I292" s="54" t="str">
        <f aca="false">IF($N292="","",INDEX('ALL ITEMS'!$I:$I,$N292))</f>
        <v/>
      </c>
      <c r="J292" s="54" t="str">
        <f aca="false">IF($N292="","",INDEX('ALL ITEMS'!$J:$J,$N292))</f>
        <v/>
      </c>
      <c r="K292" s="54" t="str">
        <f aca="false">IF($N292="","",INDEX('ALL ITEMS'!$K:$K,$N292))</f>
        <v/>
      </c>
      <c r="L292" s="52" t="str">
        <f aca="false">IF($N292="","",INDEX('ALL ITEMS'!$L:$L,$N292))</f>
        <v/>
      </c>
      <c r="N292" s="0" t="str">
        <f aca="false">IF(ROWS($N$10:N292)&gt;$C$7,"",SMALL('ALL ITEMS'!$M$3:$M$764,ROWS($N$10:N292)))</f>
        <v/>
      </c>
    </row>
    <row r="293" customFormat="false" ht="15" hidden="false" customHeight="false" outlineLevel="0" collapsed="false">
      <c r="A293" s="52" t="str">
        <f aca="false">IF($N293="","",ROWS($N$10:N293))</f>
        <v/>
      </c>
      <c r="B293" s="52" t="str">
        <f aca="false">IF($N293="","",INDEX('ALL ITEMS'!$B:$B,$N293))</f>
        <v/>
      </c>
      <c r="C293" s="53" t="str">
        <f aca="false">IF($N293="","",INDEX('ALL ITEMS'!$A:$A,$N293))</f>
        <v/>
      </c>
      <c r="D293" s="53" t="str">
        <f aca="false">IF($N293="","",INDEX('ALL ITEMS'!$D:$D,$N293))</f>
        <v/>
      </c>
      <c r="E293" s="53" t="str">
        <f aca="false">IF($N293="","",INDEX('ALL ITEMS'!$E:$E,$N293))</f>
        <v/>
      </c>
      <c r="F293" s="53" t="str">
        <f aca="false">IF($N293="","",INDEX('ALL ITEMS'!$F:$F,$N293))</f>
        <v/>
      </c>
      <c r="G293" s="53" t="str">
        <f aca="false">IF($N293="","",INDEX('ALL ITEMS'!$G:$G,$N293))</f>
        <v/>
      </c>
      <c r="H293" s="52" t="str">
        <f aca="false">IF($N293="","",INDEX('ALL ITEMS'!$H:$H,$N293))</f>
        <v/>
      </c>
      <c r="I293" s="54" t="str">
        <f aca="false">IF($N293="","",INDEX('ALL ITEMS'!$I:$I,$N293))</f>
        <v/>
      </c>
      <c r="J293" s="54" t="str">
        <f aca="false">IF($N293="","",INDEX('ALL ITEMS'!$J:$J,$N293))</f>
        <v/>
      </c>
      <c r="K293" s="54" t="str">
        <f aca="false">IF($N293="","",INDEX('ALL ITEMS'!$K:$K,$N293))</f>
        <v/>
      </c>
      <c r="L293" s="52" t="str">
        <f aca="false">IF($N293="","",INDEX('ALL ITEMS'!$L:$L,$N293))</f>
        <v/>
      </c>
      <c r="N293" s="0" t="str">
        <f aca="false">IF(ROWS($N$10:N293)&gt;$C$7,"",SMALL('ALL ITEMS'!$M$3:$M$764,ROWS($N$10:N293)))</f>
        <v/>
      </c>
    </row>
    <row r="294" customFormat="false" ht="15" hidden="false" customHeight="false" outlineLevel="0" collapsed="false">
      <c r="A294" s="52" t="str">
        <f aca="false">IF($N294="","",ROWS($N$10:N294))</f>
        <v/>
      </c>
      <c r="B294" s="52" t="str">
        <f aca="false">IF($N294="","",INDEX('ALL ITEMS'!$B:$B,$N294))</f>
        <v/>
      </c>
      <c r="C294" s="53" t="str">
        <f aca="false">IF($N294="","",INDEX('ALL ITEMS'!$A:$A,$N294))</f>
        <v/>
      </c>
      <c r="D294" s="53" t="str">
        <f aca="false">IF($N294="","",INDEX('ALL ITEMS'!$D:$D,$N294))</f>
        <v/>
      </c>
      <c r="E294" s="53" t="str">
        <f aca="false">IF($N294="","",INDEX('ALL ITEMS'!$E:$E,$N294))</f>
        <v/>
      </c>
      <c r="F294" s="53" t="str">
        <f aca="false">IF($N294="","",INDEX('ALL ITEMS'!$F:$F,$N294))</f>
        <v/>
      </c>
      <c r="G294" s="53" t="str">
        <f aca="false">IF($N294="","",INDEX('ALL ITEMS'!$G:$G,$N294))</f>
        <v/>
      </c>
      <c r="H294" s="52" t="str">
        <f aca="false">IF($N294="","",INDEX('ALL ITEMS'!$H:$H,$N294))</f>
        <v/>
      </c>
      <c r="I294" s="54" t="str">
        <f aca="false">IF($N294="","",INDEX('ALL ITEMS'!$I:$I,$N294))</f>
        <v/>
      </c>
      <c r="J294" s="54" t="str">
        <f aca="false">IF($N294="","",INDEX('ALL ITEMS'!$J:$J,$N294))</f>
        <v/>
      </c>
      <c r="K294" s="54" t="str">
        <f aca="false">IF($N294="","",INDEX('ALL ITEMS'!$K:$K,$N294))</f>
        <v/>
      </c>
      <c r="L294" s="52" t="str">
        <f aca="false">IF($N294="","",INDEX('ALL ITEMS'!$L:$L,$N294))</f>
        <v/>
      </c>
      <c r="N294" s="0" t="str">
        <f aca="false">IF(ROWS($N$10:N294)&gt;$C$7,"",SMALL('ALL ITEMS'!$M$3:$M$764,ROWS($N$10:N294)))</f>
        <v/>
      </c>
    </row>
    <row r="295" customFormat="false" ht="15" hidden="false" customHeight="false" outlineLevel="0" collapsed="false">
      <c r="A295" s="52" t="str">
        <f aca="false">IF($N295="","",ROWS($N$10:N295))</f>
        <v/>
      </c>
      <c r="B295" s="52" t="str">
        <f aca="false">IF($N295="","",INDEX('ALL ITEMS'!$B:$B,$N295))</f>
        <v/>
      </c>
      <c r="C295" s="53" t="str">
        <f aca="false">IF($N295="","",INDEX('ALL ITEMS'!$A:$A,$N295))</f>
        <v/>
      </c>
      <c r="D295" s="53" t="str">
        <f aca="false">IF($N295="","",INDEX('ALL ITEMS'!$D:$D,$N295))</f>
        <v/>
      </c>
      <c r="E295" s="53" t="str">
        <f aca="false">IF($N295="","",INDEX('ALL ITEMS'!$E:$E,$N295))</f>
        <v/>
      </c>
      <c r="F295" s="53" t="str">
        <f aca="false">IF($N295="","",INDEX('ALL ITEMS'!$F:$F,$N295))</f>
        <v/>
      </c>
      <c r="G295" s="53" t="str">
        <f aca="false">IF($N295="","",INDEX('ALL ITEMS'!$G:$G,$N295))</f>
        <v/>
      </c>
      <c r="H295" s="52" t="str">
        <f aca="false">IF($N295="","",INDEX('ALL ITEMS'!$H:$H,$N295))</f>
        <v/>
      </c>
      <c r="I295" s="54" t="str">
        <f aca="false">IF($N295="","",INDEX('ALL ITEMS'!$I:$I,$N295))</f>
        <v/>
      </c>
      <c r="J295" s="54" t="str">
        <f aca="false">IF($N295="","",INDEX('ALL ITEMS'!$J:$J,$N295))</f>
        <v/>
      </c>
      <c r="K295" s="54" t="str">
        <f aca="false">IF($N295="","",INDEX('ALL ITEMS'!$K:$K,$N295))</f>
        <v/>
      </c>
      <c r="L295" s="52" t="str">
        <f aca="false">IF($N295="","",INDEX('ALL ITEMS'!$L:$L,$N295))</f>
        <v/>
      </c>
      <c r="N295" s="0" t="str">
        <f aca="false">IF(ROWS($N$10:N295)&gt;$C$7,"",SMALL('ALL ITEMS'!$M$3:$M$764,ROWS($N$10:N295)))</f>
        <v/>
      </c>
    </row>
    <row r="296" customFormat="false" ht="15" hidden="false" customHeight="false" outlineLevel="0" collapsed="false">
      <c r="A296" s="52" t="str">
        <f aca="false">IF($N296="","",ROWS($N$10:N296))</f>
        <v/>
      </c>
      <c r="B296" s="52" t="str">
        <f aca="false">IF($N296="","",INDEX('ALL ITEMS'!$B:$B,$N296))</f>
        <v/>
      </c>
      <c r="C296" s="53" t="str">
        <f aca="false">IF($N296="","",INDEX('ALL ITEMS'!$A:$A,$N296))</f>
        <v/>
      </c>
      <c r="D296" s="53" t="str">
        <f aca="false">IF($N296="","",INDEX('ALL ITEMS'!$D:$D,$N296))</f>
        <v/>
      </c>
      <c r="E296" s="53" t="str">
        <f aca="false">IF($N296="","",INDEX('ALL ITEMS'!$E:$E,$N296))</f>
        <v/>
      </c>
      <c r="F296" s="53" t="str">
        <f aca="false">IF($N296="","",INDEX('ALL ITEMS'!$F:$F,$N296))</f>
        <v/>
      </c>
      <c r="G296" s="53" t="str">
        <f aca="false">IF($N296="","",INDEX('ALL ITEMS'!$G:$G,$N296))</f>
        <v/>
      </c>
      <c r="H296" s="52" t="str">
        <f aca="false">IF($N296="","",INDEX('ALL ITEMS'!$H:$H,$N296))</f>
        <v/>
      </c>
      <c r="I296" s="54" t="str">
        <f aca="false">IF($N296="","",INDEX('ALL ITEMS'!$I:$I,$N296))</f>
        <v/>
      </c>
      <c r="J296" s="54" t="str">
        <f aca="false">IF($N296="","",INDEX('ALL ITEMS'!$J:$J,$N296))</f>
        <v/>
      </c>
      <c r="K296" s="54" t="str">
        <f aca="false">IF($N296="","",INDEX('ALL ITEMS'!$K:$K,$N296))</f>
        <v/>
      </c>
      <c r="L296" s="52" t="str">
        <f aca="false">IF($N296="","",INDEX('ALL ITEMS'!$L:$L,$N296))</f>
        <v/>
      </c>
      <c r="N296" s="0" t="str">
        <f aca="false">IF(ROWS($N$10:N296)&gt;$C$7,"",SMALL('ALL ITEMS'!$M$3:$M$764,ROWS($N$10:N296)))</f>
        <v/>
      </c>
    </row>
    <row r="297" customFormat="false" ht="15" hidden="false" customHeight="false" outlineLevel="0" collapsed="false">
      <c r="A297" s="52" t="str">
        <f aca="false">IF($N297="","",ROWS($N$10:N297))</f>
        <v/>
      </c>
      <c r="B297" s="52" t="str">
        <f aca="false">IF($N297="","",INDEX('ALL ITEMS'!$B:$B,$N297))</f>
        <v/>
      </c>
      <c r="C297" s="53" t="str">
        <f aca="false">IF($N297="","",INDEX('ALL ITEMS'!$A:$A,$N297))</f>
        <v/>
      </c>
      <c r="D297" s="53" t="str">
        <f aca="false">IF($N297="","",INDEX('ALL ITEMS'!$D:$D,$N297))</f>
        <v/>
      </c>
      <c r="E297" s="53" t="str">
        <f aca="false">IF($N297="","",INDEX('ALL ITEMS'!$E:$E,$N297))</f>
        <v/>
      </c>
      <c r="F297" s="53" t="str">
        <f aca="false">IF($N297="","",INDEX('ALL ITEMS'!$F:$F,$N297))</f>
        <v/>
      </c>
      <c r="G297" s="53" t="str">
        <f aca="false">IF($N297="","",INDEX('ALL ITEMS'!$G:$G,$N297))</f>
        <v/>
      </c>
      <c r="H297" s="52" t="str">
        <f aca="false">IF($N297="","",INDEX('ALL ITEMS'!$H:$H,$N297))</f>
        <v/>
      </c>
      <c r="I297" s="54" t="str">
        <f aca="false">IF($N297="","",INDEX('ALL ITEMS'!$I:$I,$N297))</f>
        <v/>
      </c>
      <c r="J297" s="54" t="str">
        <f aca="false">IF($N297="","",INDEX('ALL ITEMS'!$J:$J,$N297))</f>
        <v/>
      </c>
      <c r="K297" s="54" t="str">
        <f aca="false">IF($N297="","",INDEX('ALL ITEMS'!$K:$K,$N297))</f>
        <v/>
      </c>
      <c r="L297" s="52" t="str">
        <f aca="false">IF($N297="","",INDEX('ALL ITEMS'!$L:$L,$N297))</f>
        <v/>
      </c>
      <c r="N297" s="0" t="str">
        <f aca="false">IF(ROWS($N$10:N297)&gt;$C$7,"",SMALL('ALL ITEMS'!$M$3:$M$764,ROWS($N$10:N297)))</f>
        <v/>
      </c>
    </row>
    <row r="298" customFormat="false" ht="15" hidden="false" customHeight="false" outlineLevel="0" collapsed="false">
      <c r="A298" s="52" t="str">
        <f aca="false">IF($N298="","",ROWS($N$10:N298))</f>
        <v/>
      </c>
      <c r="B298" s="52" t="str">
        <f aca="false">IF($N298="","",INDEX('ALL ITEMS'!$B:$B,$N298))</f>
        <v/>
      </c>
      <c r="C298" s="53" t="str">
        <f aca="false">IF($N298="","",INDEX('ALL ITEMS'!$A:$A,$N298))</f>
        <v/>
      </c>
      <c r="D298" s="53" t="str">
        <f aca="false">IF($N298="","",INDEX('ALL ITEMS'!$D:$D,$N298))</f>
        <v/>
      </c>
      <c r="E298" s="53" t="str">
        <f aca="false">IF($N298="","",INDEX('ALL ITEMS'!$E:$E,$N298))</f>
        <v/>
      </c>
      <c r="F298" s="53" t="str">
        <f aca="false">IF($N298="","",INDEX('ALL ITEMS'!$F:$F,$N298))</f>
        <v/>
      </c>
      <c r="G298" s="53" t="str">
        <f aca="false">IF($N298="","",INDEX('ALL ITEMS'!$G:$G,$N298))</f>
        <v/>
      </c>
      <c r="H298" s="52" t="str">
        <f aca="false">IF($N298="","",INDEX('ALL ITEMS'!$H:$H,$N298))</f>
        <v/>
      </c>
      <c r="I298" s="54" t="str">
        <f aca="false">IF($N298="","",INDEX('ALL ITEMS'!$I:$I,$N298))</f>
        <v/>
      </c>
      <c r="J298" s="54" t="str">
        <f aca="false">IF($N298="","",INDEX('ALL ITEMS'!$J:$J,$N298))</f>
        <v/>
      </c>
      <c r="K298" s="54" t="str">
        <f aca="false">IF($N298="","",INDEX('ALL ITEMS'!$K:$K,$N298))</f>
        <v/>
      </c>
      <c r="L298" s="52" t="str">
        <f aca="false">IF($N298="","",INDEX('ALL ITEMS'!$L:$L,$N298))</f>
        <v/>
      </c>
      <c r="N298" s="0" t="str">
        <f aca="false">IF(ROWS($N$10:N298)&gt;$C$7,"",SMALL('ALL ITEMS'!$M$3:$M$764,ROWS($N$10:N298)))</f>
        <v/>
      </c>
    </row>
    <row r="299" customFormat="false" ht="15" hidden="false" customHeight="false" outlineLevel="0" collapsed="false">
      <c r="A299" s="52" t="str">
        <f aca="false">IF($N299="","",ROWS($N$10:N299))</f>
        <v/>
      </c>
      <c r="B299" s="52" t="str">
        <f aca="false">IF($N299="","",INDEX('ALL ITEMS'!$B:$B,$N299))</f>
        <v/>
      </c>
      <c r="C299" s="53" t="str">
        <f aca="false">IF($N299="","",INDEX('ALL ITEMS'!$A:$A,$N299))</f>
        <v/>
      </c>
      <c r="D299" s="53" t="str">
        <f aca="false">IF($N299="","",INDEX('ALL ITEMS'!$D:$D,$N299))</f>
        <v/>
      </c>
      <c r="E299" s="53" t="str">
        <f aca="false">IF($N299="","",INDEX('ALL ITEMS'!$E:$E,$N299))</f>
        <v/>
      </c>
      <c r="F299" s="53" t="str">
        <f aca="false">IF($N299="","",INDEX('ALL ITEMS'!$F:$F,$N299))</f>
        <v/>
      </c>
      <c r="G299" s="53" t="str">
        <f aca="false">IF($N299="","",INDEX('ALL ITEMS'!$G:$G,$N299))</f>
        <v/>
      </c>
      <c r="H299" s="52" t="str">
        <f aca="false">IF($N299="","",INDEX('ALL ITEMS'!$H:$H,$N299))</f>
        <v/>
      </c>
      <c r="I299" s="54" t="str">
        <f aca="false">IF($N299="","",INDEX('ALL ITEMS'!$I:$I,$N299))</f>
        <v/>
      </c>
      <c r="J299" s="54" t="str">
        <f aca="false">IF($N299="","",INDEX('ALL ITEMS'!$J:$J,$N299))</f>
        <v/>
      </c>
      <c r="K299" s="54" t="str">
        <f aca="false">IF($N299="","",INDEX('ALL ITEMS'!$K:$K,$N299))</f>
        <v/>
      </c>
      <c r="L299" s="52" t="str">
        <f aca="false">IF($N299="","",INDEX('ALL ITEMS'!$L:$L,$N299))</f>
        <v/>
      </c>
      <c r="N299" s="0" t="str">
        <f aca="false">IF(ROWS($N$10:N299)&gt;$C$7,"",SMALL('ALL ITEMS'!$M$3:$M$764,ROWS($N$10:N299)))</f>
        <v/>
      </c>
    </row>
    <row r="300" customFormat="false" ht="15" hidden="false" customHeight="false" outlineLevel="0" collapsed="false">
      <c r="A300" s="52" t="str">
        <f aca="false">IF($N300="","",ROWS($N$10:N300))</f>
        <v/>
      </c>
      <c r="B300" s="52" t="str">
        <f aca="false">IF($N300="","",INDEX('ALL ITEMS'!$B:$B,$N300))</f>
        <v/>
      </c>
      <c r="C300" s="53" t="str">
        <f aca="false">IF($N300="","",INDEX('ALL ITEMS'!$A:$A,$N300))</f>
        <v/>
      </c>
      <c r="D300" s="53" t="str">
        <f aca="false">IF($N300="","",INDEX('ALL ITEMS'!$D:$D,$N300))</f>
        <v/>
      </c>
      <c r="E300" s="53" t="str">
        <f aca="false">IF($N300="","",INDEX('ALL ITEMS'!$E:$E,$N300))</f>
        <v/>
      </c>
      <c r="F300" s="53" t="str">
        <f aca="false">IF($N300="","",INDEX('ALL ITEMS'!$F:$F,$N300))</f>
        <v/>
      </c>
      <c r="G300" s="53" t="str">
        <f aca="false">IF($N300="","",INDEX('ALL ITEMS'!$G:$G,$N300))</f>
        <v/>
      </c>
      <c r="H300" s="52" t="str">
        <f aca="false">IF($N300="","",INDEX('ALL ITEMS'!$H:$H,$N300))</f>
        <v/>
      </c>
      <c r="I300" s="54" t="str">
        <f aca="false">IF($N300="","",INDEX('ALL ITEMS'!$I:$I,$N300))</f>
        <v/>
      </c>
      <c r="J300" s="54" t="str">
        <f aca="false">IF($N300="","",INDEX('ALL ITEMS'!$J:$J,$N300))</f>
        <v/>
      </c>
      <c r="K300" s="54" t="str">
        <f aca="false">IF($N300="","",INDEX('ALL ITEMS'!$K:$K,$N300))</f>
        <v/>
      </c>
      <c r="L300" s="52" t="str">
        <f aca="false">IF($N300="","",INDEX('ALL ITEMS'!$L:$L,$N300))</f>
        <v/>
      </c>
      <c r="N300" s="0" t="str">
        <f aca="false">IF(ROWS($N$10:N300)&gt;$C$7,"",SMALL('ALL ITEMS'!$M$3:$M$764,ROWS($N$10:N300)))</f>
        <v/>
      </c>
    </row>
    <row r="301" customFormat="false" ht="15" hidden="false" customHeight="false" outlineLevel="0" collapsed="false">
      <c r="A301" s="52" t="str">
        <f aca="false">IF($N301="","",ROWS($N$10:N301))</f>
        <v/>
      </c>
      <c r="B301" s="52" t="str">
        <f aca="false">IF($N301="","",INDEX('ALL ITEMS'!$B:$B,$N301))</f>
        <v/>
      </c>
      <c r="C301" s="53" t="str">
        <f aca="false">IF($N301="","",INDEX('ALL ITEMS'!$A:$A,$N301))</f>
        <v/>
      </c>
      <c r="D301" s="53" t="str">
        <f aca="false">IF($N301="","",INDEX('ALL ITEMS'!$D:$D,$N301))</f>
        <v/>
      </c>
      <c r="E301" s="53" t="str">
        <f aca="false">IF($N301="","",INDEX('ALL ITEMS'!$E:$E,$N301))</f>
        <v/>
      </c>
      <c r="F301" s="53" t="str">
        <f aca="false">IF($N301="","",INDEX('ALL ITEMS'!$F:$F,$N301))</f>
        <v/>
      </c>
      <c r="G301" s="53" t="str">
        <f aca="false">IF($N301="","",INDEX('ALL ITEMS'!$G:$G,$N301))</f>
        <v/>
      </c>
      <c r="H301" s="52" t="str">
        <f aca="false">IF($N301="","",INDEX('ALL ITEMS'!$H:$H,$N301))</f>
        <v/>
      </c>
      <c r="I301" s="54" t="str">
        <f aca="false">IF($N301="","",INDEX('ALL ITEMS'!$I:$I,$N301))</f>
        <v/>
      </c>
      <c r="J301" s="54" t="str">
        <f aca="false">IF($N301="","",INDEX('ALL ITEMS'!$J:$J,$N301))</f>
        <v/>
      </c>
      <c r="K301" s="54" t="str">
        <f aca="false">IF($N301="","",INDEX('ALL ITEMS'!$K:$K,$N301))</f>
        <v/>
      </c>
      <c r="L301" s="52" t="str">
        <f aca="false">IF($N301="","",INDEX('ALL ITEMS'!$L:$L,$N301))</f>
        <v/>
      </c>
      <c r="N301" s="0" t="str">
        <f aca="false">IF(ROWS($N$10:N301)&gt;$C$7,"",SMALL('ALL ITEMS'!$M$3:$M$764,ROWS($N$10:N301)))</f>
        <v/>
      </c>
    </row>
    <row r="302" customFormat="false" ht="15" hidden="false" customHeight="false" outlineLevel="0" collapsed="false">
      <c r="A302" s="52" t="str">
        <f aca="false">IF($N302="","",ROWS($N$10:N302))</f>
        <v/>
      </c>
      <c r="B302" s="52" t="str">
        <f aca="false">IF($N302="","",INDEX('ALL ITEMS'!$B:$B,$N302))</f>
        <v/>
      </c>
      <c r="C302" s="53" t="str">
        <f aca="false">IF($N302="","",INDEX('ALL ITEMS'!$A:$A,$N302))</f>
        <v/>
      </c>
      <c r="D302" s="53" t="str">
        <f aca="false">IF($N302="","",INDEX('ALL ITEMS'!$D:$D,$N302))</f>
        <v/>
      </c>
      <c r="E302" s="53" t="str">
        <f aca="false">IF($N302="","",INDEX('ALL ITEMS'!$E:$E,$N302))</f>
        <v/>
      </c>
      <c r="F302" s="53" t="str">
        <f aca="false">IF($N302="","",INDEX('ALL ITEMS'!$F:$F,$N302))</f>
        <v/>
      </c>
      <c r="G302" s="53" t="str">
        <f aca="false">IF($N302="","",INDEX('ALL ITEMS'!$G:$G,$N302))</f>
        <v/>
      </c>
      <c r="H302" s="52" t="str">
        <f aca="false">IF($N302="","",INDEX('ALL ITEMS'!$H:$H,$N302))</f>
        <v/>
      </c>
      <c r="I302" s="54" t="str">
        <f aca="false">IF($N302="","",INDEX('ALL ITEMS'!$I:$I,$N302))</f>
        <v/>
      </c>
      <c r="J302" s="54" t="str">
        <f aca="false">IF($N302="","",INDEX('ALL ITEMS'!$J:$J,$N302))</f>
        <v/>
      </c>
      <c r="K302" s="54" t="str">
        <f aca="false">IF($N302="","",INDEX('ALL ITEMS'!$K:$K,$N302))</f>
        <v/>
      </c>
      <c r="L302" s="52" t="str">
        <f aca="false">IF($N302="","",INDEX('ALL ITEMS'!$L:$L,$N302))</f>
        <v/>
      </c>
      <c r="N302" s="0" t="str">
        <f aca="false">IF(ROWS($N$10:N302)&gt;$C$7,"",SMALL('ALL ITEMS'!$M$3:$M$764,ROWS($N$10:N302)))</f>
        <v/>
      </c>
    </row>
    <row r="303" customFormat="false" ht="15" hidden="false" customHeight="false" outlineLevel="0" collapsed="false">
      <c r="A303" s="52" t="str">
        <f aca="false">IF($N303="","",ROWS($N$10:N303))</f>
        <v/>
      </c>
      <c r="B303" s="52" t="str">
        <f aca="false">IF($N303="","",INDEX('ALL ITEMS'!$B:$B,$N303))</f>
        <v/>
      </c>
      <c r="C303" s="53" t="str">
        <f aca="false">IF($N303="","",INDEX('ALL ITEMS'!$A:$A,$N303))</f>
        <v/>
      </c>
      <c r="D303" s="53" t="str">
        <f aca="false">IF($N303="","",INDEX('ALL ITEMS'!$D:$D,$N303))</f>
        <v/>
      </c>
      <c r="E303" s="53" t="str">
        <f aca="false">IF($N303="","",INDEX('ALL ITEMS'!$E:$E,$N303))</f>
        <v/>
      </c>
      <c r="F303" s="53" t="str">
        <f aca="false">IF($N303="","",INDEX('ALL ITEMS'!$F:$F,$N303))</f>
        <v/>
      </c>
      <c r="G303" s="53" t="str">
        <f aca="false">IF($N303="","",INDEX('ALL ITEMS'!$G:$G,$N303))</f>
        <v/>
      </c>
      <c r="H303" s="52" t="str">
        <f aca="false">IF($N303="","",INDEX('ALL ITEMS'!$H:$H,$N303))</f>
        <v/>
      </c>
      <c r="I303" s="54" t="str">
        <f aca="false">IF($N303="","",INDEX('ALL ITEMS'!$I:$I,$N303))</f>
        <v/>
      </c>
      <c r="J303" s="54" t="str">
        <f aca="false">IF($N303="","",INDEX('ALL ITEMS'!$J:$J,$N303))</f>
        <v/>
      </c>
      <c r="K303" s="54" t="str">
        <f aca="false">IF($N303="","",INDEX('ALL ITEMS'!$K:$K,$N303))</f>
        <v/>
      </c>
      <c r="L303" s="52" t="str">
        <f aca="false">IF($N303="","",INDEX('ALL ITEMS'!$L:$L,$N303))</f>
        <v/>
      </c>
      <c r="N303" s="0" t="str">
        <f aca="false">IF(ROWS($N$10:N303)&gt;$C$7,"",SMALL('ALL ITEMS'!$M$3:$M$764,ROWS($N$10:N303)))</f>
        <v/>
      </c>
    </row>
    <row r="304" customFormat="false" ht="15" hidden="false" customHeight="false" outlineLevel="0" collapsed="false">
      <c r="A304" s="52" t="str">
        <f aca="false">IF($N304="","",ROWS($N$10:N304))</f>
        <v/>
      </c>
      <c r="B304" s="52" t="str">
        <f aca="false">IF($N304="","",INDEX('ALL ITEMS'!$B:$B,$N304))</f>
        <v/>
      </c>
      <c r="C304" s="53" t="str">
        <f aca="false">IF($N304="","",INDEX('ALL ITEMS'!$A:$A,$N304))</f>
        <v/>
      </c>
      <c r="D304" s="53" t="str">
        <f aca="false">IF($N304="","",INDEX('ALL ITEMS'!$D:$D,$N304))</f>
        <v/>
      </c>
      <c r="E304" s="53" t="str">
        <f aca="false">IF($N304="","",INDEX('ALL ITEMS'!$E:$E,$N304))</f>
        <v/>
      </c>
      <c r="F304" s="53" t="str">
        <f aca="false">IF($N304="","",INDEX('ALL ITEMS'!$F:$F,$N304))</f>
        <v/>
      </c>
      <c r="G304" s="53" t="str">
        <f aca="false">IF($N304="","",INDEX('ALL ITEMS'!$G:$G,$N304))</f>
        <v/>
      </c>
      <c r="H304" s="52" t="str">
        <f aca="false">IF($N304="","",INDEX('ALL ITEMS'!$H:$H,$N304))</f>
        <v/>
      </c>
      <c r="I304" s="54" t="str">
        <f aca="false">IF($N304="","",INDEX('ALL ITEMS'!$I:$I,$N304))</f>
        <v/>
      </c>
      <c r="J304" s="54" t="str">
        <f aca="false">IF($N304="","",INDEX('ALL ITEMS'!$J:$J,$N304))</f>
        <v/>
      </c>
      <c r="K304" s="54" t="str">
        <f aca="false">IF($N304="","",INDEX('ALL ITEMS'!$K:$K,$N304))</f>
        <v/>
      </c>
      <c r="L304" s="52" t="str">
        <f aca="false">IF($N304="","",INDEX('ALL ITEMS'!$L:$L,$N304))</f>
        <v/>
      </c>
      <c r="N304" s="0" t="str">
        <f aca="false">IF(ROWS($N$10:N304)&gt;$C$7,"",SMALL('ALL ITEMS'!$M$3:$M$764,ROWS($N$10:N304)))</f>
        <v/>
      </c>
    </row>
    <row r="305" customFormat="false" ht="15" hidden="false" customHeight="false" outlineLevel="0" collapsed="false">
      <c r="A305" s="52" t="str">
        <f aca="false">IF($N305="","",ROWS($N$10:N305))</f>
        <v/>
      </c>
      <c r="B305" s="52" t="str">
        <f aca="false">IF($N305="","",INDEX('ALL ITEMS'!$B:$B,$N305))</f>
        <v/>
      </c>
      <c r="C305" s="53" t="str">
        <f aca="false">IF($N305="","",INDEX('ALL ITEMS'!$A:$A,$N305))</f>
        <v/>
      </c>
      <c r="D305" s="53" t="str">
        <f aca="false">IF($N305="","",INDEX('ALL ITEMS'!$D:$D,$N305))</f>
        <v/>
      </c>
      <c r="E305" s="53" t="str">
        <f aca="false">IF($N305="","",INDEX('ALL ITEMS'!$E:$E,$N305))</f>
        <v/>
      </c>
      <c r="F305" s="53" t="str">
        <f aca="false">IF($N305="","",INDEX('ALL ITEMS'!$F:$F,$N305))</f>
        <v/>
      </c>
      <c r="G305" s="53" t="str">
        <f aca="false">IF($N305="","",INDEX('ALL ITEMS'!$G:$G,$N305))</f>
        <v/>
      </c>
      <c r="H305" s="52" t="str">
        <f aca="false">IF($N305="","",INDEX('ALL ITEMS'!$H:$H,$N305))</f>
        <v/>
      </c>
      <c r="I305" s="54" t="str">
        <f aca="false">IF($N305="","",INDEX('ALL ITEMS'!$I:$I,$N305))</f>
        <v/>
      </c>
      <c r="J305" s="54" t="str">
        <f aca="false">IF($N305="","",INDEX('ALL ITEMS'!$J:$J,$N305))</f>
        <v/>
      </c>
      <c r="K305" s="54" t="str">
        <f aca="false">IF($N305="","",INDEX('ALL ITEMS'!$K:$K,$N305))</f>
        <v/>
      </c>
      <c r="L305" s="52" t="str">
        <f aca="false">IF($N305="","",INDEX('ALL ITEMS'!$L:$L,$N305))</f>
        <v/>
      </c>
      <c r="N305" s="0" t="str">
        <f aca="false">IF(ROWS($N$10:N305)&gt;$C$7,"",SMALL('ALL ITEMS'!$M$3:$M$764,ROWS($N$10:N305)))</f>
        <v/>
      </c>
    </row>
    <row r="306" customFormat="false" ht="15" hidden="false" customHeight="false" outlineLevel="0" collapsed="false">
      <c r="A306" s="52" t="str">
        <f aca="false">IF($N306="","",ROWS($N$10:N306))</f>
        <v/>
      </c>
      <c r="B306" s="52" t="str">
        <f aca="false">IF($N306="","",INDEX('ALL ITEMS'!$B:$B,$N306))</f>
        <v/>
      </c>
      <c r="C306" s="53" t="str">
        <f aca="false">IF($N306="","",INDEX('ALL ITEMS'!$A:$A,$N306))</f>
        <v/>
      </c>
      <c r="D306" s="53" t="str">
        <f aca="false">IF($N306="","",INDEX('ALL ITEMS'!$D:$D,$N306))</f>
        <v/>
      </c>
      <c r="E306" s="53" t="str">
        <f aca="false">IF($N306="","",INDEX('ALL ITEMS'!$E:$E,$N306))</f>
        <v/>
      </c>
      <c r="F306" s="53" t="str">
        <f aca="false">IF($N306="","",INDEX('ALL ITEMS'!$F:$F,$N306))</f>
        <v/>
      </c>
      <c r="G306" s="53" t="str">
        <f aca="false">IF($N306="","",INDEX('ALL ITEMS'!$G:$G,$N306))</f>
        <v/>
      </c>
      <c r="H306" s="52" t="str">
        <f aca="false">IF($N306="","",INDEX('ALL ITEMS'!$H:$H,$N306))</f>
        <v/>
      </c>
      <c r="I306" s="54" t="str">
        <f aca="false">IF($N306="","",INDEX('ALL ITEMS'!$I:$I,$N306))</f>
        <v/>
      </c>
      <c r="J306" s="54" t="str">
        <f aca="false">IF($N306="","",INDEX('ALL ITEMS'!$J:$J,$N306))</f>
        <v/>
      </c>
      <c r="K306" s="54" t="str">
        <f aca="false">IF($N306="","",INDEX('ALL ITEMS'!$K:$K,$N306))</f>
        <v/>
      </c>
      <c r="L306" s="52" t="str">
        <f aca="false">IF($N306="","",INDEX('ALL ITEMS'!$L:$L,$N306))</f>
        <v/>
      </c>
      <c r="N306" s="0" t="str">
        <f aca="false">IF(ROWS($N$10:N306)&gt;$C$7,"",SMALL('ALL ITEMS'!$M$3:$M$764,ROWS($N$10:N306)))</f>
        <v/>
      </c>
    </row>
    <row r="307" customFormat="false" ht="15" hidden="false" customHeight="false" outlineLevel="0" collapsed="false">
      <c r="A307" s="52" t="str">
        <f aca="false">IF($N307="","",ROWS($N$10:N307))</f>
        <v/>
      </c>
      <c r="B307" s="52" t="str">
        <f aca="false">IF($N307="","",INDEX('ALL ITEMS'!$B:$B,$N307))</f>
        <v/>
      </c>
      <c r="C307" s="53" t="str">
        <f aca="false">IF($N307="","",INDEX('ALL ITEMS'!$A:$A,$N307))</f>
        <v/>
      </c>
      <c r="D307" s="53" t="str">
        <f aca="false">IF($N307="","",INDEX('ALL ITEMS'!$D:$D,$N307))</f>
        <v/>
      </c>
      <c r="E307" s="53" t="str">
        <f aca="false">IF($N307="","",INDEX('ALL ITEMS'!$E:$E,$N307))</f>
        <v/>
      </c>
      <c r="F307" s="53" t="str">
        <f aca="false">IF($N307="","",INDEX('ALL ITEMS'!$F:$F,$N307))</f>
        <v/>
      </c>
      <c r="G307" s="53" t="str">
        <f aca="false">IF($N307="","",INDEX('ALL ITEMS'!$G:$G,$N307))</f>
        <v/>
      </c>
      <c r="H307" s="52" t="str">
        <f aca="false">IF($N307="","",INDEX('ALL ITEMS'!$H:$H,$N307))</f>
        <v/>
      </c>
      <c r="I307" s="54" t="str">
        <f aca="false">IF($N307="","",INDEX('ALL ITEMS'!$I:$I,$N307))</f>
        <v/>
      </c>
      <c r="J307" s="54" t="str">
        <f aca="false">IF($N307="","",INDEX('ALL ITEMS'!$J:$J,$N307))</f>
        <v/>
      </c>
      <c r="K307" s="54" t="str">
        <f aca="false">IF($N307="","",INDEX('ALL ITEMS'!$K:$K,$N307))</f>
        <v/>
      </c>
      <c r="L307" s="52" t="str">
        <f aca="false">IF($N307="","",INDEX('ALL ITEMS'!$L:$L,$N307))</f>
        <v/>
      </c>
      <c r="N307" s="0" t="str">
        <f aca="false">IF(ROWS($N$10:N307)&gt;$C$7,"",SMALL('ALL ITEMS'!$M$3:$M$764,ROWS($N$10:N307)))</f>
        <v/>
      </c>
    </row>
    <row r="308" customFormat="false" ht="15" hidden="false" customHeight="false" outlineLevel="0" collapsed="false">
      <c r="A308" s="52" t="str">
        <f aca="false">IF($N308="","",ROWS($N$10:N308))</f>
        <v/>
      </c>
      <c r="B308" s="52" t="str">
        <f aca="false">IF($N308="","",INDEX('ALL ITEMS'!$B:$B,$N308))</f>
        <v/>
      </c>
      <c r="C308" s="53" t="str">
        <f aca="false">IF($N308="","",INDEX('ALL ITEMS'!$A:$A,$N308))</f>
        <v/>
      </c>
      <c r="D308" s="53" t="str">
        <f aca="false">IF($N308="","",INDEX('ALL ITEMS'!$D:$D,$N308))</f>
        <v/>
      </c>
      <c r="E308" s="53" t="str">
        <f aca="false">IF($N308="","",INDEX('ALL ITEMS'!$E:$E,$N308))</f>
        <v/>
      </c>
      <c r="F308" s="53" t="str">
        <f aca="false">IF($N308="","",INDEX('ALL ITEMS'!$F:$F,$N308))</f>
        <v/>
      </c>
      <c r="G308" s="53" t="str">
        <f aca="false">IF($N308="","",INDEX('ALL ITEMS'!$G:$G,$N308))</f>
        <v/>
      </c>
      <c r="H308" s="52" t="str">
        <f aca="false">IF($N308="","",INDEX('ALL ITEMS'!$H:$H,$N308))</f>
        <v/>
      </c>
      <c r="I308" s="54" t="str">
        <f aca="false">IF($N308="","",INDEX('ALL ITEMS'!$I:$I,$N308))</f>
        <v/>
      </c>
      <c r="J308" s="54" t="str">
        <f aca="false">IF($N308="","",INDEX('ALL ITEMS'!$J:$J,$N308))</f>
        <v/>
      </c>
      <c r="K308" s="54" t="str">
        <f aca="false">IF($N308="","",INDEX('ALL ITEMS'!$K:$K,$N308))</f>
        <v/>
      </c>
      <c r="L308" s="52" t="str">
        <f aca="false">IF($N308="","",INDEX('ALL ITEMS'!$L:$L,$N308))</f>
        <v/>
      </c>
      <c r="N308" s="0" t="str">
        <f aca="false">IF(ROWS($N$10:N308)&gt;$C$7,"",SMALL('ALL ITEMS'!$M$3:$M$764,ROWS($N$10:N308)))</f>
        <v/>
      </c>
    </row>
    <row r="309" customFormat="false" ht="15" hidden="false" customHeight="false" outlineLevel="0" collapsed="false">
      <c r="A309" s="52" t="str">
        <f aca="false">IF($N309="","",ROWS($N$10:N309))</f>
        <v/>
      </c>
      <c r="B309" s="52" t="str">
        <f aca="false">IF($N309="","",INDEX('ALL ITEMS'!$B:$B,$N309))</f>
        <v/>
      </c>
      <c r="C309" s="53" t="str">
        <f aca="false">IF($N309="","",INDEX('ALL ITEMS'!$A:$A,$N309))</f>
        <v/>
      </c>
      <c r="D309" s="53" t="str">
        <f aca="false">IF($N309="","",INDEX('ALL ITEMS'!$D:$D,$N309))</f>
        <v/>
      </c>
      <c r="E309" s="53" t="str">
        <f aca="false">IF($N309="","",INDEX('ALL ITEMS'!$E:$E,$N309))</f>
        <v/>
      </c>
      <c r="F309" s="53" t="str">
        <f aca="false">IF($N309="","",INDEX('ALL ITEMS'!$F:$F,$N309))</f>
        <v/>
      </c>
      <c r="G309" s="53" t="str">
        <f aca="false">IF($N309="","",INDEX('ALL ITEMS'!$G:$G,$N309))</f>
        <v/>
      </c>
      <c r="H309" s="52" t="str">
        <f aca="false">IF($N309="","",INDEX('ALL ITEMS'!$H:$H,$N309))</f>
        <v/>
      </c>
      <c r="I309" s="54" t="str">
        <f aca="false">IF($N309="","",INDEX('ALL ITEMS'!$I:$I,$N309))</f>
        <v/>
      </c>
      <c r="J309" s="54" t="str">
        <f aca="false">IF($N309="","",INDEX('ALL ITEMS'!$J:$J,$N309))</f>
        <v/>
      </c>
      <c r="K309" s="54" t="str">
        <f aca="false">IF($N309="","",INDEX('ALL ITEMS'!$K:$K,$N309))</f>
        <v/>
      </c>
      <c r="L309" s="52" t="str">
        <f aca="false">IF($N309="","",INDEX('ALL ITEMS'!$L:$L,$N309))</f>
        <v/>
      </c>
      <c r="N309" s="0" t="str">
        <f aca="false">IF(ROWS($N$10:N309)&gt;$C$7,"",SMALL('ALL ITEMS'!$M$3:$M$764,ROWS($N$10:N309)))</f>
        <v/>
      </c>
    </row>
  </sheetData>
  <mergeCells count="8">
    <mergeCell ref="B2:L2"/>
    <mergeCell ref="B3:L3"/>
    <mergeCell ref="A5:B5"/>
    <mergeCell ref="C5:E5"/>
    <mergeCell ref="A6:B6"/>
    <mergeCell ref="C6:E6"/>
    <mergeCell ref="A7:B7"/>
    <mergeCell ref="A8:B8"/>
  </mergeCells>
  <conditionalFormatting sqref="A10:L309">
    <cfRule type="expression" priority="2" aboveAverage="0" equalAverage="0" bottom="0" percent="0" rank="0" text="" dxfId="0">
      <formula>$N10&lt;&gt;""</formula>
    </cfRule>
    <cfRule type="expression" priority="3" aboveAverage="0" equalAverage="0" bottom="0" percent="0" rank="0" text="" dxfId="1">
      <formula>AND($N10&lt;&gt;"",MOD(ROW(),2)=0)</formula>
    </cfRule>
  </conditionalFormatting>
  <conditionalFormatting sqref="I10:K309">
    <cfRule type="expression" priority="4" aboveAverage="0" equalAverage="0" bottom="0" percent="0" rank="0" text="" dxfId="2">
      <formula>$N10&lt;&gt;""</formula>
    </cfRule>
  </conditionalFormatting>
  <dataValidations count="1">
    <dataValidation allowBlank="false" errorStyle="stop" operator="between" showDropDown="false" showErrorMessage="false" showInputMessage="false" sqref="C6" type="list">
      <formula1>Index!$K$10:$K$25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N7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40"/>
    <col collapsed="false" customWidth="true" hidden="false" outlineLevel="0" max="5" min="5" style="0" width="30"/>
    <col collapsed="false" customWidth="true" hidden="false" outlineLevel="0" max="6" min="6" style="0" width="18"/>
    <col collapsed="false" customWidth="true" hidden="false" outlineLevel="0" max="7" min="7" style="0" width="24"/>
    <col collapsed="false" customWidth="true" hidden="false" outlineLevel="0" max="8" min="8" style="0" width="7"/>
    <col collapsed="false" customWidth="true" hidden="false" outlineLevel="0" max="10" min="9" style="0" width="12"/>
    <col collapsed="false" customWidth="true" hidden="false" outlineLevel="0" max="11" min="11" style="0" width="13"/>
    <col collapsed="false" customWidth="true" hidden="false" outlineLevel="0" max="12" min="12" style="0" width="11"/>
    <col collapsed="false" customWidth="true" hidden="true" outlineLevel="0" max="13" min="13" style="0" width="9"/>
    <col collapsed="false" customWidth="true" hidden="true" outlineLevel="0" max="14" min="14" style="0" width="13"/>
  </cols>
  <sheetData>
    <row r="1" customFormat="false" ht="27.75" hidden="false" customHeight="true" outlineLevel="0" collapsed="false">
      <c r="A1" s="55" t="s">
        <v>120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</row>
    <row r="2" customFormat="false" ht="23.85" hidden="false" customHeight="false" outlineLevel="0" collapsed="false">
      <c r="A2" s="8" t="s">
        <v>7</v>
      </c>
      <c r="B2" s="8" t="s">
        <v>110</v>
      </c>
      <c r="C2" s="8" t="s">
        <v>121</v>
      </c>
      <c r="D2" s="8" t="s">
        <v>111</v>
      </c>
      <c r="E2" s="8" t="s">
        <v>112</v>
      </c>
      <c r="F2" s="8" t="s">
        <v>113</v>
      </c>
      <c r="G2" s="8" t="s">
        <v>114</v>
      </c>
      <c r="H2" s="8" t="s">
        <v>115</v>
      </c>
      <c r="I2" s="8" t="s">
        <v>116</v>
      </c>
      <c r="J2" s="8" t="s">
        <v>117</v>
      </c>
      <c r="K2" s="8" t="s">
        <v>118</v>
      </c>
      <c r="L2" s="8" t="s">
        <v>119</v>
      </c>
      <c r="M2" s="8" t="s">
        <v>122</v>
      </c>
    </row>
    <row r="3" customFormat="false" ht="15" hidden="false" customHeight="false" outlineLevel="0" collapsed="false">
      <c r="A3" s="56" t="str">
        <f aca="false">IF('01 Aluminium'!$C$5="","","Aluminium Profiles &amp; Systems")</f>
        <v>Aluminium Profiles &amp; Systems</v>
      </c>
      <c r="B3" s="57" t="str">
        <f aca="false">IF('01 Aluminium'!$C$5="","",'01 Aluminium'!A5)</f>
        <v>AL-001</v>
      </c>
      <c r="C3" s="56" t="str">
        <f aca="false">IF('01 Aluminium'!$C$5="","",'01 Aluminium'!B5)</f>
        <v>Extrusions (per kg)</v>
      </c>
      <c r="D3" s="56" t="str">
        <f aca="false">IF('01 Aluminium'!$C$5="","",'01 Aluminium'!C5)</f>
        <v>Aluminium extrusion</v>
      </c>
      <c r="E3" s="56" t="str">
        <f aca="false">IF('01 Aluminium'!$C$5="","",'01 Aluminium'!D5)</f>
        <v>Alloy 6063-T5/T6</v>
      </c>
      <c r="F3" s="56" t="str">
        <f aca="false">IF('01 Aluminium'!$C$5="","",'01 Aluminium'!E5)</f>
        <v>Mill finish</v>
      </c>
      <c r="G3" s="56" t="str">
        <f aca="false">IF('01 Aluminium'!$C$5="","",'01 Aluminium'!F5)</f>
        <v>Gulf Extrusions / Equiv.</v>
      </c>
      <c r="H3" s="57" t="str">
        <f aca="false">IF('01 Aluminium'!$C$5="","",'01 Aluminium'!G5)</f>
        <v>kg</v>
      </c>
      <c r="I3" s="58" t="n">
        <f aca="false">IF('01 Aluminium'!$C$5="","",'01 Aluminium'!J5)</f>
        <v>16.28</v>
      </c>
      <c r="J3" s="58" t="n">
        <f aca="false">IF('01 Aluminium'!$C$5="","",'01 Aluminium'!K5)</f>
        <v>19.54</v>
      </c>
      <c r="K3" s="58" t="n">
        <f aca="false">IF('01 Aluminium'!$C$5="","",'01 Aluminium'!L5)</f>
        <v>20.52</v>
      </c>
      <c r="L3" s="57" t="str">
        <f aca="false">IF('01 Aluminium'!$C$5="","",'01 Aluminium'!M5)</f>
        <v>Indicative</v>
      </c>
      <c r="M3" s="59" t="str">
        <f aca="false">IF(D3="","",IF(AND(OR(Search!$C$6="All Categories",A3=Search!$C$6),OR(Search!$P$5="",ISNUMBER(SEARCH(" "&amp;Search!$P$5,N3))),OR(Search!$P$6="",ISNUMBER(SEARCH(" "&amp;Search!$P$6,N3))),OR(Search!$P$7="",ISNUMBER(SEARCH(" "&amp;Search!$P$7,N3))),OR(Search!$P$8="",ISNUMBER(SEARCH(" "&amp;Search!$P$8,N3))),OR(Search!$P$9="",ISNUMBER(SEARCH(" "&amp;Search!$P$9,N3))),OR(Search!$P$10="",ISNUMBER(SEARCH(" "&amp;Search!$P$10,N3)))),ROW(),""))</f>
        <v/>
      </c>
      <c r="N3" s="0" t="str">
        <f aca="false">IF(D3="",""," "&amp;SUBSTITUTE(SUBSTITUTE(SUBSTITUTE(SUBSTITUTE(SUBSTITUTE(SUBSTITUTE(SUBSTITUTE(B3&amp;" "&amp;C3&amp;" "&amp;D3&amp;" "&amp;E3&amp;" "&amp;F3&amp;" "&amp;G3&amp;" "&amp;H3&amp;" "&amp;'01 Aluminium'!R5,"("," "),")"," "),"/"," "),"-"," "),","," "),";"," "),":"," ")&amp;" ")</f>
        <v> AL 001 Extrusions  per kg  Aluminium extrusion Alloy 6063 T5 T6 Mill finish Gulf Extrusions   Equiv. kg aluminum alu </v>
      </c>
    </row>
    <row r="4" customFormat="false" ht="15" hidden="false" customHeight="false" outlineLevel="0" collapsed="false">
      <c r="A4" s="56" t="str">
        <f aca="false">IF('01 Aluminium'!$C$6="","","Aluminium Profiles &amp; Systems")</f>
        <v>Aluminium Profiles &amp; Systems</v>
      </c>
      <c r="B4" s="57" t="str">
        <f aca="false">IF('01 Aluminium'!$C$6="","",'01 Aluminium'!A6)</f>
        <v>AL-002</v>
      </c>
      <c r="C4" s="56" t="str">
        <f aca="false">IF('01 Aluminium'!$C$6="","",'01 Aluminium'!B6)</f>
        <v>Extrusions (per kg)</v>
      </c>
      <c r="D4" s="56" t="str">
        <f aca="false">IF('01 Aluminium'!$C$6="","",'01 Aluminium'!C6)</f>
        <v>Aluminium extrusion</v>
      </c>
      <c r="E4" s="56" t="str">
        <f aca="false">IF('01 Aluminium'!$C$6="","",'01 Aluminium'!D6)</f>
        <v>Alloy 6063-T5/T6</v>
      </c>
      <c r="F4" s="56" t="str">
        <f aca="false">IF('01 Aluminium'!$C$6="","",'01 Aluminium'!E6)</f>
        <v>Powder coated (RAL)</v>
      </c>
      <c r="G4" s="56" t="str">
        <f aca="false">IF('01 Aluminium'!$C$6="","",'01 Aluminium'!F6)</f>
        <v>Gulf Extrusions / Equiv.</v>
      </c>
      <c r="H4" s="57" t="str">
        <f aca="false">IF('01 Aluminium'!$C$6="","",'01 Aluminium'!G6)</f>
        <v>kg</v>
      </c>
      <c r="I4" s="58" t="n">
        <f aca="false">IF('01 Aluminium'!$C$6="","",'01 Aluminium'!J6)</f>
        <v>19.43</v>
      </c>
      <c r="J4" s="58" t="n">
        <f aca="false">IF('01 Aluminium'!$C$6="","",'01 Aluminium'!K6)</f>
        <v>23.32</v>
      </c>
      <c r="K4" s="58" t="n">
        <f aca="false">IF('01 Aluminium'!$C$6="","",'01 Aluminium'!L6)</f>
        <v>24.49</v>
      </c>
      <c r="L4" s="57" t="str">
        <f aca="false">IF('01 Aluminium'!$C$6="","",'01 Aluminium'!M6)</f>
        <v>Indicative</v>
      </c>
      <c r="M4" s="59" t="str">
        <f aca="false">IF(D4="","",IF(AND(OR(Search!$C$6="All Categories",A4=Search!$C$6),OR(Search!$P$5="",ISNUMBER(SEARCH(" "&amp;Search!$P$5,N4))),OR(Search!$P$6="",ISNUMBER(SEARCH(" "&amp;Search!$P$6,N4))),OR(Search!$P$7="",ISNUMBER(SEARCH(" "&amp;Search!$P$7,N4))),OR(Search!$P$8="",ISNUMBER(SEARCH(" "&amp;Search!$P$8,N4))),OR(Search!$P$9="",ISNUMBER(SEARCH(" "&amp;Search!$P$9,N4))),OR(Search!$P$10="",ISNUMBER(SEARCH(" "&amp;Search!$P$10,N4)))),ROW(),""))</f>
        <v/>
      </c>
      <c r="N4" s="0" t="str">
        <f aca="false">IF(D4="",""," "&amp;SUBSTITUTE(SUBSTITUTE(SUBSTITUTE(SUBSTITUTE(SUBSTITUTE(SUBSTITUTE(SUBSTITUTE(B4&amp;" "&amp;C4&amp;" "&amp;D4&amp;" "&amp;E4&amp;" "&amp;F4&amp;" "&amp;G4&amp;" "&amp;H4&amp;" "&amp;'01 Aluminium'!R6,"("," "),")"," "),"/"," "),"-"," "),","," "),";"," "),":"," ")&amp;" ")</f>
        <v> AL 002 Extrusions  per kg  Aluminium extrusion Alloy 6063 T5 T6 Powder coated  RAL  Gulf Extrusions   Equiv. kg aluminum alu pc </v>
      </c>
    </row>
    <row r="5" customFormat="false" ht="15" hidden="false" customHeight="false" outlineLevel="0" collapsed="false">
      <c r="A5" s="56" t="str">
        <f aca="false">IF('01 Aluminium'!$C$7="","","Aluminium Profiles &amp; Systems")</f>
        <v>Aluminium Profiles &amp; Systems</v>
      </c>
      <c r="B5" s="57" t="str">
        <f aca="false">IF('01 Aluminium'!$C$7="","",'01 Aluminium'!A7)</f>
        <v>AL-003</v>
      </c>
      <c r="C5" s="56" t="str">
        <f aca="false">IF('01 Aluminium'!$C$7="","",'01 Aluminium'!B7)</f>
        <v>Extrusions (per kg)</v>
      </c>
      <c r="D5" s="56" t="str">
        <f aca="false">IF('01 Aluminium'!$C$7="","",'01 Aluminium'!C7)</f>
        <v>Aluminium extrusion</v>
      </c>
      <c r="E5" s="56" t="str">
        <f aca="false">IF('01 Aluminium'!$C$7="","",'01 Aluminium'!D7)</f>
        <v>Alloy 6063-T5/T6</v>
      </c>
      <c r="F5" s="56" t="str">
        <f aca="false">IF('01 Aluminium'!$C$7="","",'01 Aluminium'!E7)</f>
        <v>Anodized 15-20 micron</v>
      </c>
      <c r="G5" s="56" t="str">
        <f aca="false">IF('01 Aluminium'!$C$7="","",'01 Aluminium'!F7)</f>
        <v>Gulf Extrusions / Equiv.</v>
      </c>
      <c r="H5" s="57" t="str">
        <f aca="false">IF('01 Aluminium'!$C$7="","",'01 Aluminium'!G7)</f>
        <v>kg</v>
      </c>
      <c r="I5" s="58" t="n">
        <f aca="false">IF('01 Aluminium'!$C$7="","",'01 Aluminium'!J7)</f>
        <v>21.53</v>
      </c>
      <c r="J5" s="58" t="n">
        <f aca="false">IF('01 Aluminium'!$C$7="","",'01 Aluminium'!K7)</f>
        <v>25.84</v>
      </c>
      <c r="K5" s="58" t="n">
        <f aca="false">IF('01 Aluminium'!$C$7="","",'01 Aluminium'!L7)</f>
        <v>27.13</v>
      </c>
      <c r="L5" s="57" t="str">
        <f aca="false">IF('01 Aluminium'!$C$7="","",'01 Aluminium'!M7)</f>
        <v>Indicative</v>
      </c>
      <c r="M5" s="59" t="str">
        <f aca="false">IF(D5="","",IF(AND(OR(Search!$C$6="All Categories",A5=Search!$C$6),OR(Search!$P$5="",ISNUMBER(SEARCH(" "&amp;Search!$P$5,N5))),OR(Search!$P$6="",ISNUMBER(SEARCH(" "&amp;Search!$P$6,N5))),OR(Search!$P$7="",ISNUMBER(SEARCH(" "&amp;Search!$P$7,N5))),OR(Search!$P$8="",ISNUMBER(SEARCH(" "&amp;Search!$P$8,N5))),OR(Search!$P$9="",ISNUMBER(SEARCH(" "&amp;Search!$P$9,N5))),OR(Search!$P$10="",ISNUMBER(SEARCH(" "&amp;Search!$P$10,N5)))),ROW(),""))</f>
        <v/>
      </c>
      <c r="N5" s="0" t="str">
        <f aca="false">IF(D5="",""," "&amp;SUBSTITUTE(SUBSTITUTE(SUBSTITUTE(SUBSTITUTE(SUBSTITUTE(SUBSTITUTE(SUBSTITUTE(B5&amp;" "&amp;C5&amp;" "&amp;D5&amp;" "&amp;E5&amp;" "&amp;F5&amp;" "&amp;G5&amp;" "&amp;H5&amp;" "&amp;'01 Aluminium'!R7,"("," "),")"," "),"/"," "),"-"," "),","," "),";"," "),":"," ")&amp;" ")</f>
        <v> AL 003 Extrusions  per kg  Aluminium extrusion Alloy 6063 T5 T6 Anodized 15 20 micron Gulf Extrusions   Equiv. kg aluminum alu </v>
      </c>
    </row>
    <row r="6" customFormat="false" ht="15" hidden="false" customHeight="false" outlineLevel="0" collapsed="false">
      <c r="A6" s="56" t="str">
        <f aca="false">IF('01 Aluminium'!$C$8="","","Aluminium Profiles &amp; Systems")</f>
        <v>Aluminium Profiles &amp; Systems</v>
      </c>
      <c r="B6" s="57" t="str">
        <f aca="false">IF('01 Aluminium'!$C$8="","",'01 Aluminium'!A8)</f>
        <v>AL-004</v>
      </c>
      <c r="C6" s="56" t="str">
        <f aca="false">IF('01 Aluminium'!$C$8="","",'01 Aluminium'!B8)</f>
        <v>Extrusions (per kg)</v>
      </c>
      <c r="D6" s="56" t="str">
        <f aca="false">IF('01 Aluminium'!$C$8="","",'01 Aluminium'!C8)</f>
        <v>Aluminium extrusion</v>
      </c>
      <c r="E6" s="56" t="str">
        <f aca="false">IF('01 Aluminium'!$C$8="","",'01 Aluminium'!D8)</f>
        <v>Alloy 6063-T5/T6</v>
      </c>
      <c r="F6" s="56" t="str">
        <f aca="false">IF('01 Aluminium'!$C$8="","",'01 Aluminium'!E8)</f>
        <v>PVDF 2/3-coat</v>
      </c>
      <c r="G6" s="56" t="str">
        <f aca="false">IF('01 Aluminium'!$C$8="","",'01 Aluminium'!F8)</f>
        <v>Gulf Extrusions / Equiv.</v>
      </c>
      <c r="H6" s="57" t="str">
        <f aca="false">IF('01 Aluminium'!$C$8="","",'01 Aluminium'!G8)</f>
        <v>kg</v>
      </c>
      <c r="I6" s="58" t="n">
        <f aca="false">IF('01 Aluminium'!$C$8="","",'01 Aluminium'!J8)</f>
        <v>25.2</v>
      </c>
      <c r="J6" s="58" t="n">
        <f aca="false">IF('01 Aluminium'!$C$8="","",'01 Aluminium'!K8)</f>
        <v>30.24</v>
      </c>
      <c r="K6" s="58" t="n">
        <f aca="false">IF('01 Aluminium'!$C$8="","",'01 Aluminium'!L8)</f>
        <v>31.75</v>
      </c>
      <c r="L6" s="57" t="str">
        <f aca="false">IF('01 Aluminium'!$C$8="","",'01 Aluminium'!M8)</f>
        <v>Indicative</v>
      </c>
      <c r="M6" s="59" t="str">
        <f aca="false">IF(D6="","",IF(AND(OR(Search!$C$6="All Categories",A6=Search!$C$6),OR(Search!$P$5="",ISNUMBER(SEARCH(" "&amp;Search!$P$5,N6))),OR(Search!$P$6="",ISNUMBER(SEARCH(" "&amp;Search!$P$6,N6))),OR(Search!$P$7="",ISNUMBER(SEARCH(" "&amp;Search!$P$7,N6))),OR(Search!$P$8="",ISNUMBER(SEARCH(" "&amp;Search!$P$8,N6))),OR(Search!$P$9="",ISNUMBER(SEARCH(" "&amp;Search!$P$9,N6))),OR(Search!$P$10="",ISNUMBER(SEARCH(" "&amp;Search!$P$10,N6)))),ROW(),""))</f>
        <v/>
      </c>
      <c r="N6" s="0" t="str">
        <f aca="false">IF(D6="",""," "&amp;SUBSTITUTE(SUBSTITUTE(SUBSTITUTE(SUBSTITUTE(SUBSTITUTE(SUBSTITUTE(SUBSTITUTE(B6&amp;" "&amp;C6&amp;" "&amp;D6&amp;" "&amp;E6&amp;" "&amp;F6&amp;" "&amp;G6&amp;" "&amp;H6&amp;" "&amp;'01 Aluminium'!R8,"("," "),")"," "),"/"," "),"-"," "),","," "),";"," "),":"," ")&amp;" ")</f>
        <v> AL 004 Extrusions  per kg  Aluminium extrusion Alloy 6063 T5 T6 PVDF 2 3 coat Gulf Extrusions   Equiv. kg aluminum alu </v>
      </c>
    </row>
    <row r="7" customFormat="false" ht="15" hidden="false" customHeight="false" outlineLevel="0" collapsed="false">
      <c r="A7" s="56" t="str">
        <f aca="false">IF('01 Aluminium'!$C$9="","","Aluminium Profiles &amp; Systems")</f>
        <v>Aluminium Profiles &amp; Systems</v>
      </c>
      <c r="B7" s="57" t="str">
        <f aca="false">IF('01 Aluminium'!$C$9="","",'01 Aluminium'!A9)</f>
        <v>AL-005</v>
      </c>
      <c r="C7" s="56" t="str">
        <f aca="false">IF('01 Aluminium'!$C$9="","",'01 Aluminium'!B9)</f>
        <v>Extrusions (per kg)</v>
      </c>
      <c r="D7" s="56" t="str">
        <f aca="false">IF('01 Aluminium'!$C$9="","",'01 Aluminium'!C9)</f>
        <v>Aluminium extrusion</v>
      </c>
      <c r="E7" s="56" t="str">
        <f aca="false">IF('01 Aluminium'!$C$9="","",'01 Aluminium'!D9)</f>
        <v>Alloy 6063-T5/T6</v>
      </c>
      <c r="F7" s="56" t="str">
        <f aca="false">IF('01 Aluminium'!$C$9="","",'01 Aluminium'!E9)</f>
        <v>Wood-grain finish</v>
      </c>
      <c r="G7" s="56" t="str">
        <f aca="false">IF('01 Aluminium'!$C$9="","",'01 Aluminium'!F9)</f>
        <v>Gulf Extrusions / Equiv.</v>
      </c>
      <c r="H7" s="57" t="str">
        <f aca="false">IF('01 Aluminium'!$C$9="","",'01 Aluminium'!G9)</f>
        <v>kg</v>
      </c>
      <c r="I7" s="58" t="n">
        <f aca="false">IF('01 Aluminium'!$C$9="","",'01 Aluminium'!J9)</f>
        <v>26.25</v>
      </c>
      <c r="J7" s="58" t="n">
        <f aca="false">IF('01 Aluminium'!$C$9="","",'01 Aluminium'!K9)</f>
        <v>31.5</v>
      </c>
      <c r="K7" s="58" t="n">
        <f aca="false">IF('01 Aluminium'!$C$9="","",'01 Aluminium'!L9)</f>
        <v>33.08</v>
      </c>
      <c r="L7" s="57" t="str">
        <f aca="false">IF('01 Aluminium'!$C$9="","",'01 Aluminium'!M9)</f>
        <v>Indicative</v>
      </c>
      <c r="M7" s="59" t="str">
        <f aca="false">IF(D7="","",IF(AND(OR(Search!$C$6="All Categories",A7=Search!$C$6),OR(Search!$P$5="",ISNUMBER(SEARCH(" "&amp;Search!$P$5,N7))),OR(Search!$P$6="",ISNUMBER(SEARCH(" "&amp;Search!$P$6,N7))),OR(Search!$P$7="",ISNUMBER(SEARCH(" "&amp;Search!$P$7,N7))),OR(Search!$P$8="",ISNUMBER(SEARCH(" "&amp;Search!$P$8,N7))),OR(Search!$P$9="",ISNUMBER(SEARCH(" "&amp;Search!$P$9,N7))),OR(Search!$P$10="",ISNUMBER(SEARCH(" "&amp;Search!$P$10,N7)))),ROW(),""))</f>
        <v/>
      </c>
      <c r="N7" s="0" t="str">
        <f aca="false">IF(D7="",""," "&amp;SUBSTITUTE(SUBSTITUTE(SUBSTITUTE(SUBSTITUTE(SUBSTITUTE(SUBSTITUTE(SUBSTITUTE(B7&amp;" "&amp;C7&amp;" "&amp;D7&amp;" "&amp;E7&amp;" "&amp;F7&amp;" "&amp;G7&amp;" "&amp;H7&amp;" "&amp;'01 Aluminium'!R9,"("," "),")"," "),"/"," "),"-"," "),","," "),";"," "),":"," ")&amp;" ")</f>
        <v> AL 005 Extrusions  per kg  Aluminium extrusion Alloy 6063 T5 T6 Wood grain finish Gulf Extrusions   Equiv. kg aluminum alu </v>
      </c>
    </row>
    <row r="8" customFormat="false" ht="15" hidden="false" customHeight="false" outlineLevel="0" collapsed="false">
      <c r="A8" s="56" t="str">
        <f aca="false">IF('01 Aluminium'!$C$10="","","Aluminium Profiles &amp; Systems")</f>
        <v>Aluminium Profiles &amp; Systems</v>
      </c>
      <c r="B8" s="57" t="str">
        <f aca="false">IF('01 Aluminium'!$C$10="","",'01 Aluminium'!A10)</f>
        <v>AL-006</v>
      </c>
      <c r="C8" s="56" t="str">
        <f aca="false">IF('01 Aluminium'!$C$10="","",'01 Aluminium'!B10)</f>
        <v>Extrusions (per kg)</v>
      </c>
      <c r="D8" s="56" t="str">
        <f aca="false">IF('01 Aluminium'!$C$10="","",'01 Aluminium'!C10)</f>
        <v>Thermal-break aluminium extrusion</v>
      </c>
      <c r="E8" s="56" t="str">
        <f aca="false">IF('01 Aluminium'!$C$10="","",'01 Aluminium'!D10)</f>
        <v>With polyamide strips</v>
      </c>
      <c r="F8" s="56" t="str">
        <f aca="false">IF('01 Aluminium'!$C$10="","",'01 Aluminium'!E10)</f>
        <v>Powder coated</v>
      </c>
      <c r="G8" s="56" t="str">
        <f aca="false">IF('01 Aluminium'!$C$10="","",'01 Aluminium'!F10)</f>
        <v>Gulf Extrusions / Equiv.</v>
      </c>
      <c r="H8" s="57" t="str">
        <f aca="false">IF('01 Aluminium'!$C$10="","",'01 Aluminium'!G10)</f>
        <v>kg</v>
      </c>
      <c r="I8" s="58" t="n">
        <f aca="false">IF('01 Aluminium'!$C$10="","",'01 Aluminium'!J10)</f>
        <v>25.73</v>
      </c>
      <c r="J8" s="58" t="n">
        <f aca="false">IF('01 Aluminium'!$C$10="","",'01 Aluminium'!K10)</f>
        <v>30.88</v>
      </c>
      <c r="K8" s="58" t="n">
        <f aca="false">IF('01 Aluminium'!$C$10="","",'01 Aluminium'!L10)</f>
        <v>32.42</v>
      </c>
      <c r="L8" s="57" t="str">
        <f aca="false">IF('01 Aluminium'!$C$10="","",'01 Aluminium'!M10)</f>
        <v>Indicative</v>
      </c>
      <c r="M8" s="59" t="str">
        <f aca="false">IF(D8="","",IF(AND(OR(Search!$C$6="All Categories",A8=Search!$C$6),OR(Search!$P$5="",ISNUMBER(SEARCH(" "&amp;Search!$P$5,N8))),OR(Search!$P$6="",ISNUMBER(SEARCH(" "&amp;Search!$P$6,N8))),OR(Search!$P$7="",ISNUMBER(SEARCH(" "&amp;Search!$P$7,N8))),OR(Search!$P$8="",ISNUMBER(SEARCH(" "&amp;Search!$P$8,N8))),OR(Search!$P$9="",ISNUMBER(SEARCH(" "&amp;Search!$P$9,N8))),OR(Search!$P$10="",ISNUMBER(SEARCH(" "&amp;Search!$P$10,N8)))),ROW(),""))</f>
        <v/>
      </c>
      <c r="N8" s="0" t="str">
        <f aca="false">IF(D8="",""," "&amp;SUBSTITUTE(SUBSTITUTE(SUBSTITUTE(SUBSTITUTE(SUBSTITUTE(SUBSTITUTE(SUBSTITUTE(B8&amp;" "&amp;C8&amp;" "&amp;D8&amp;" "&amp;E8&amp;" "&amp;F8&amp;" "&amp;G8&amp;" "&amp;H8&amp;" "&amp;'01 Aluminium'!R10,"("," "),")"," "),"/"," "),"-"," "),","," "),";"," "),":"," ")&amp;" ")</f>
        <v> AL 006 Extrusions  per kg  Thermal break aluminium extrusion With polyamide strips Powder coated Gulf Extrusions   Equiv. kg aluminum alu pc </v>
      </c>
    </row>
    <row r="9" customFormat="false" ht="15" hidden="false" customHeight="false" outlineLevel="0" collapsed="false">
      <c r="A9" s="56" t="str">
        <f aca="false">IF('01 Aluminium'!$C$11="","","Aluminium Profiles &amp; Systems")</f>
        <v>Aluminium Profiles &amp; Systems</v>
      </c>
      <c r="B9" s="57" t="str">
        <f aca="false">IF('01 Aluminium'!$C$11="","",'01 Aluminium'!A11)</f>
        <v>AL-007</v>
      </c>
      <c r="C9" s="56" t="str">
        <f aca="false">IF('01 Aluminium'!$C$11="","",'01 Aluminium'!B11)</f>
        <v>Standard Sections</v>
      </c>
      <c r="D9" s="56" t="str">
        <f aca="false">IF('01 Aluminium'!$C$11="","",'01 Aluminium'!C11)</f>
        <v>Aluminium square tube</v>
      </c>
      <c r="E9" s="56" t="str">
        <f aca="false">IF('01 Aluminium'!$C$11="","",'01 Aluminium'!D11)</f>
        <v>25 x 25 x 1.5 mm (0.38 kg/m)</v>
      </c>
      <c r="F9" s="56" t="str">
        <f aca="false">IF('01 Aluminium'!$C$11="","",'01 Aluminium'!E11)</f>
        <v>Powder coated</v>
      </c>
      <c r="G9" s="56" t="str">
        <f aca="false">IF('01 Aluminium'!$C$11="","",'01 Aluminium'!F11)</f>
        <v>Local</v>
      </c>
      <c r="H9" s="57" t="str">
        <f aca="false">IF('01 Aluminium'!$C$11="","",'01 Aluminium'!G11)</f>
        <v>lm</v>
      </c>
      <c r="I9" s="58" t="n">
        <f aca="false">IF('01 Aluminium'!$C$11="","",'01 Aluminium'!J11)</f>
        <v>7.38</v>
      </c>
      <c r="J9" s="58" t="n">
        <f aca="false">IF('01 Aluminium'!$C$11="","",'01 Aluminium'!K11)</f>
        <v>8.86</v>
      </c>
      <c r="K9" s="58" t="n">
        <f aca="false">IF('01 Aluminium'!$C$11="","",'01 Aluminium'!L11)</f>
        <v>9.3</v>
      </c>
      <c r="L9" s="57" t="str">
        <f aca="false">IF('01 Aluminium'!$C$11="","",'01 Aluminium'!M11)</f>
        <v>Indicative</v>
      </c>
      <c r="M9" s="59" t="str">
        <f aca="false">IF(D9="","",IF(AND(OR(Search!$C$6="All Categories",A9=Search!$C$6),OR(Search!$P$5="",ISNUMBER(SEARCH(" "&amp;Search!$P$5,N9))),OR(Search!$P$6="",ISNUMBER(SEARCH(" "&amp;Search!$P$6,N9))),OR(Search!$P$7="",ISNUMBER(SEARCH(" "&amp;Search!$P$7,N9))),OR(Search!$P$8="",ISNUMBER(SEARCH(" "&amp;Search!$P$8,N9))),OR(Search!$P$9="",ISNUMBER(SEARCH(" "&amp;Search!$P$9,N9))),OR(Search!$P$10="",ISNUMBER(SEARCH(" "&amp;Search!$P$10,N9)))),ROW(),""))</f>
        <v/>
      </c>
      <c r="N9" s="0" t="str">
        <f aca="false">IF(D9="",""," "&amp;SUBSTITUTE(SUBSTITUTE(SUBSTITUTE(SUBSTITUTE(SUBSTITUTE(SUBSTITUTE(SUBSTITUTE(B9&amp;" "&amp;C9&amp;" "&amp;D9&amp;" "&amp;E9&amp;" "&amp;F9&amp;" "&amp;G9&amp;" "&amp;H9&amp;" "&amp;'01 Aluminium'!R11,"("," "),")"," "),"/"," "),"-"," "),","," "),";"," "),":"," ")&amp;" ")</f>
        <v> AL 007 Standard Sections Aluminium square tube 25 x 25 x 1.5 mm  0.38 kg m  Powder coated Local lm 25x25 25x25x1.5 1.5mm pipe box aluminum alu pc </v>
      </c>
    </row>
    <row r="10" customFormat="false" ht="15" hidden="false" customHeight="false" outlineLevel="0" collapsed="false">
      <c r="A10" s="56" t="str">
        <f aca="false">IF('01 Aluminium'!$C$12="","","Aluminium Profiles &amp; Systems")</f>
        <v>Aluminium Profiles &amp; Systems</v>
      </c>
      <c r="B10" s="57" t="str">
        <f aca="false">IF('01 Aluminium'!$C$12="","",'01 Aluminium'!A12)</f>
        <v>AL-008</v>
      </c>
      <c r="C10" s="56" t="str">
        <f aca="false">IF('01 Aluminium'!$C$12="","",'01 Aluminium'!B12)</f>
        <v>Standard Sections</v>
      </c>
      <c r="D10" s="56" t="str">
        <f aca="false">IF('01 Aluminium'!$C$12="","",'01 Aluminium'!C12)</f>
        <v>Aluminium square tube</v>
      </c>
      <c r="E10" s="56" t="str">
        <f aca="false">IF('01 Aluminium'!$C$12="","",'01 Aluminium'!D12)</f>
        <v>40 x 40 x 2.0 mm (0.82 kg/m)</v>
      </c>
      <c r="F10" s="56" t="str">
        <f aca="false">IF('01 Aluminium'!$C$12="","",'01 Aluminium'!E12)</f>
        <v>Powder coated</v>
      </c>
      <c r="G10" s="56" t="str">
        <f aca="false">IF('01 Aluminium'!$C$12="","",'01 Aluminium'!F12)</f>
        <v>Local</v>
      </c>
      <c r="H10" s="57" t="str">
        <f aca="false">IF('01 Aluminium'!$C$12="","",'01 Aluminium'!G12)</f>
        <v>lm</v>
      </c>
      <c r="I10" s="58" t="n">
        <f aca="false">IF('01 Aluminium'!$C$12="","",'01 Aluminium'!J12)</f>
        <v>15.93</v>
      </c>
      <c r="J10" s="58" t="n">
        <f aca="false">IF('01 Aluminium'!$C$12="","",'01 Aluminium'!K12)</f>
        <v>19.12</v>
      </c>
      <c r="K10" s="58" t="n">
        <f aca="false">IF('01 Aluminium'!$C$12="","",'01 Aluminium'!L12)</f>
        <v>20.08</v>
      </c>
      <c r="L10" s="57" t="str">
        <f aca="false">IF('01 Aluminium'!$C$12="","",'01 Aluminium'!M12)</f>
        <v>Indicative</v>
      </c>
      <c r="M10" s="59" t="str">
        <f aca="false">IF(D10="","",IF(AND(OR(Search!$C$6="All Categories",A10=Search!$C$6),OR(Search!$P$5="",ISNUMBER(SEARCH(" "&amp;Search!$P$5,N10))),OR(Search!$P$6="",ISNUMBER(SEARCH(" "&amp;Search!$P$6,N10))),OR(Search!$P$7="",ISNUMBER(SEARCH(" "&amp;Search!$P$7,N10))),OR(Search!$P$8="",ISNUMBER(SEARCH(" "&amp;Search!$P$8,N10))),OR(Search!$P$9="",ISNUMBER(SEARCH(" "&amp;Search!$P$9,N10))),OR(Search!$P$10="",ISNUMBER(SEARCH(" "&amp;Search!$P$10,N10)))),ROW(),""))</f>
        <v/>
      </c>
      <c r="N10" s="0" t="str">
        <f aca="false">IF(D10="",""," "&amp;SUBSTITUTE(SUBSTITUTE(SUBSTITUTE(SUBSTITUTE(SUBSTITUTE(SUBSTITUTE(SUBSTITUTE(B10&amp;" "&amp;C10&amp;" "&amp;D10&amp;" "&amp;E10&amp;" "&amp;F10&amp;" "&amp;G10&amp;" "&amp;H10&amp;" "&amp;'01 Aluminium'!R12,"("," "),")"," "),"/"," "),"-"," "),","," "),";"," "),":"," ")&amp;" ")</f>
        <v> AL 008 Standard Sections Aluminium square tube 40 x 40 x 2.0 mm  0.82 kg m  Powder coated Local lm 40x40 40x40x2.0 40x40x2 2.0mm pipe box aluminum alu pc </v>
      </c>
    </row>
    <row r="11" customFormat="false" ht="15" hidden="false" customHeight="false" outlineLevel="0" collapsed="false">
      <c r="A11" s="56" t="str">
        <f aca="false">IF('01 Aluminium'!$C$13="","","Aluminium Profiles &amp; Systems")</f>
        <v>Aluminium Profiles &amp; Systems</v>
      </c>
      <c r="B11" s="57" t="str">
        <f aca="false">IF('01 Aluminium'!$C$13="","",'01 Aluminium'!A13)</f>
        <v>AL-009</v>
      </c>
      <c r="C11" s="56" t="str">
        <f aca="false">IF('01 Aluminium'!$C$13="","",'01 Aluminium'!B13)</f>
        <v>Standard Sections</v>
      </c>
      <c r="D11" s="56" t="str">
        <f aca="false">IF('01 Aluminium'!$C$13="","",'01 Aluminium'!C13)</f>
        <v>Aluminium square tube</v>
      </c>
      <c r="E11" s="56" t="str">
        <f aca="false">IF('01 Aluminium'!$C$13="","",'01 Aluminium'!D13)</f>
        <v>50 x 50 x 2.0 mm (1.04 kg/m)</v>
      </c>
      <c r="F11" s="56" t="str">
        <f aca="false">IF('01 Aluminium'!$C$13="","",'01 Aluminium'!E13)</f>
        <v>Powder coated</v>
      </c>
      <c r="G11" s="56" t="str">
        <f aca="false">IF('01 Aluminium'!$C$13="","",'01 Aluminium'!F13)</f>
        <v>Local</v>
      </c>
      <c r="H11" s="57" t="str">
        <f aca="false">IF('01 Aluminium'!$C$13="","",'01 Aluminium'!G13)</f>
        <v>lm</v>
      </c>
      <c r="I11" s="58" t="n">
        <f aca="false">IF('01 Aluminium'!$C$13="","",'01 Aluminium'!J13)</f>
        <v>20.2</v>
      </c>
      <c r="J11" s="58" t="n">
        <f aca="false">IF('01 Aluminium'!$C$13="","",'01 Aluminium'!K13)</f>
        <v>24.24</v>
      </c>
      <c r="K11" s="58" t="n">
        <f aca="false">IF('01 Aluminium'!$C$13="","",'01 Aluminium'!L13)</f>
        <v>25.45</v>
      </c>
      <c r="L11" s="57" t="str">
        <f aca="false">IF('01 Aluminium'!$C$13="","",'01 Aluminium'!M13)</f>
        <v>Indicative</v>
      </c>
      <c r="M11" s="59" t="str">
        <f aca="false">IF(D11="","",IF(AND(OR(Search!$C$6="All Categories",A11=Search!$C$6),OR(Search!$P$5="",ISNUMBER(SEARCH(" "&amp;Search!$P$5,N11))),OR(Search!$P$6="",ISNUMBER(SEARCH(" "&amp;Search!$P$6,N11))),OR(Search!$P$7="",ISNUMBER(SEARCH(" "&amp;Search!$P$7,N11))),OR(Search!$P$8="",ISNUMBER(SEARCH(" "&amp;Search!$P$8,N11))),OR(Search!$P$9="",ISNUMBER(SEARCH(" "&amp;Search!$P$9,N11))),OR(Search!$P$10="",ISNUMBER(SEARCH(" "&amp;Search!$P$10,N11)))),ROW(),""))</f>
        <v/>
      </c>
      <c r="N11" s="0" t="str">
        <f aca="false">IF(D11="",""," "&amp;SUBSTITUTE(SUBSTITUTE(SUBSTITUTE(SUBSTITUTE(SUBSTITUTE(SUBSTITUTE(SUBSTITUTE(B11&amp;" "&amp;C11&amp;" "&amp;D11&amp;" "&amp;E11&amp;" "&amp;F11&amp;" "&amp;G11&amp;" "&amp;H11&amp;" "&amp;'01 Aluminium'!R13,"("," "),")"," "),"/"," "),"-"," "),","," "),";"," "),":"," ")&amp;" ")</f>
        <v> AL 009 Standard Sections Aluminium square tube 50 x 50 x 2.0 mm  1.04 kg m  Powder coated Local lm 50x50 50x50x2.0 50x50x2 2.0mm pipe box aluminum alu pc </v>
      </c>
    </row>
    <row r="12" customFormat="false" ht="15" hidden="false" customHeight="false" outlineLevel="0" collapsed="false">
      <c r="A12" s="56" t="str">
        <f aca="false">IF('01 Aluminium'!$C$14="","","Aluminium Profiles &amp; Systems")</f>
        <v>Aluminium Profiles &amp; Systems</v>
      </c>
      <c r="B12" s="57" t="str">
        <f aca="false">IF('01 Aluminium'!$C$14="","",'01 Aluminium'!A14)</f>
        <v>AL-010</v>
      </c>
      <c r="C12" s="56" t="str">
        <f aca="false">IF('01 Aluminium'!$C$14="","",'01 Aluminium'!B14)</f>
        <v>Standard Sections</v>
      </c>
      <c r="D12" s="56" t="str">
        <f aca="false">IF('01 Aluminium'!$C$14="","",'01 Aluminium'!C14)</f>
        <v>Aluminium rectangular tube</v>
      </c>
      <c r="E12" s="56" t="str">
        <f aca="false">IF('01 Aluminium'!$C$14="","",'01 Aluminium'!D14)</f>
        <v>100 x 50 x 2.5 mm (1.96 kg/m)</v>
      </c>
      <c r="F12" s="56" t="str">
        <f aca="false">IF('01 Aluminium'!$C$14="","",'01 Aluminium'!E14)</f>
        <v>Powder coated</v>
      </c>
      <c r="G12" s="56" t="str">
        <f aca="false">IF('01 Aluminium'!$C$14="","",'01 Aluminium'!F14)</f>
        <v>Local</v>
      </c>
      <c r="H12" s="57" t="str">
        <f aca="false">IF('01 Aluminium'!$C$14="","",'01 Aluminium'!G14)</f>
        <v>lm</v>
      </c>
      <c r="I12" s="58" t="n">
        <f aca="false">IF('01 Aluminium'!$C$14="","",'01 Aluminium'!J14)</f>
        <v>38.07</v>
      </c>
      <c r="J12" s="58" t="n">
        <f aca="false">IF('01 Aluminium'!$C$14="","",'01 Aluminium'!K14)</f>
        <v>45.68</v>
      </c>
      <c r="K12" s="58" t="n">
        <f aca="false">IF('01 Aluminium'!$C$14="","",'01 Aluminium'!L14)</f>
        <v>47.96</v>
      </c>
      <c r="L12" s="57" t="str">
        <f aca="false">IF('01 Aluminium'!$C$14="","",'01 Aluminium'!M14)</f>
        <v>Indicative</v>
      </c>
      <c r="M12" s="59" t="str">
        <f aca="false">IF(D12="","",IF(AND(OR(Search!$C$6="All Categories",A12=Search!$C$6),OR(Search!$P$5="",ISNUMBER(SEARCH(" "&amp;Search!$P$5,N12))),OR(Search!$P$6="",ISNUMBER(SEARCH(" "&amp;Search!$P$6,N12))),OR(Search!$P$7="",ISNUMBER(SEARCH(" "&amp;Search!$P$7,N12))),OR(Search!$P$8="",ISNUMBER(SEARCH(" "&amp;Search!$P$8,N12))),OR(Search!$P$9="",ISNUMBER(SEARCH(" "&amp;Search!$P$9,N12))),OR(Search!$P$10="",ISNUMBER(SEARCH(" "&amp;Search!$P$10,N12)))),ROW(),""))</f>
        <v/>
      </c>
      <c r="N12" s="0" t="str">
        <f aca="false">IF(D12="",""," "&amp;SUBSTITUTE(SUBSTITUTE(SUBSTITUTE(SUBSTITUTE(SUBSTITUTE(SUBSTITUTE(SUBSTITUTE(B12&amp;" "&amp;C12&amp;" "&amp;D12&amp;" "&amp;E12&amp;" "&amp;F12&amp;" "&amp;G12&amp;" "&amp;H12&amp;" "&amp;'01 Aluminium'!R14,"("," "),")"," "),"/"," "),"-"," "),","," "),";"," "),":"," ")&amp;" ")</f>
        <v> AL 010 Standard Sections Aluminium rectangular tube 100 x 50 x 2.5 mm  1.96 kg m  Powder coated Local lm 100x50 100x50x2.5 2.5mm pipe box aluminum alu pc </v>
      </c>
    </row>
    <row r="13" customFormat="false" ht="15" hidden="false" customHeight="false" outlineLevel="0" collapsed="false">
      <c r="A13" s="56" t="str">
        <f aca="false">IF('01 Aluminium'!$C$15="","","Aluminium Profiles &amp; Systems")</f>
        <v>Aluminium Profiles &amp; Systems</v>
      </c>
      <c r="B13" s="57" t="str">
        <f aca="false">IF('01 Aluminium'!$C$15="","",'01 Aluminium'!A15)</f>
        <v>AL-011</v>
      </c>
      <c r="C13" s="56" t="str">
        <f aca="false">IF('01 Aluminium'!$C$15="","",'01 Aluminium'!B15)</f>
        <v>Standard Sections</v>
      </c>
      <c r="D13" s="56" t="str">
        <f aca="false">IF('01 Aluminium'!$C$15="","",'01 Aluminium'!C15)</f>
        <v>Aluminium rectangular tube</v>
      </c>
      <c r="E13" s="56" t="str">
        <f aca="false">IF('01 Aluminium'!$C$15="","",'01 Aluminium'!D15)</f>
        <v>100 x 50 x 3.0 mm (2.33 kg/m)</v>
      </c>
      <c r="F13" s="56" t="str">
        <f aca="false">IF('01 Aluminium'!$C$15="","",'01 Aluminium'!E15)</f>
        <v>Powder coated</v>
      </c>
      <c r="G13" s="56" t="str">
        <f aca="false">IF('01 Aluminium'!$C$15="","",'01 Aluminium'!F15)</f>
        <v>Local</v>
      </c>
      <c r="H13" s="57" t="str">
        <f aca="false">IF('01 Aluminium'!$C$15="","",'01 Aluminium'!G15)</f>
        <v>lm</v>
      </c>
      <c r="I13" s="58" t="n">
        <f aca="false">IF('01 Aluminium'!$C$15="","",'01 Aluminium'!J15)</f>
        <v>45.27</v>
      </c>
      <c r="J13" s="58" t="n">
        <f aca="false">IF('01 Aluminium'!$C$15="","",'01 Aluminium'!K15)</f>
        <v>54.32</v>
      </c>
      <c r="K13" s="58" t="n">
        <f aca="false">IF('01 Aluminium'!$C$15="","",'01 Aluminium'!L15)</f>
        <v>57.04</v>
      </c>
      <c r="L13" s="57" t="str">
        <f aca="false">IF('01 Aluminium'!$C$15="","",'01 Aluminium'!M15)</f>
        <v>Indicative</v>
      </c>
      <c r="M13" s="59" t="str">
        <f aca="false">IF(D13="","",IF(AND(OR(Search!$C$6="All Categories",A13=Search!$C$6),OR(Search!$P$5="",ISNUMBER(SEARCH(" "&amp;Search!$P$5,N13))),OR(Search!$P$6="",ISNUMBER(SEARCH(" "&amp;Search!$P$6,N13))),OR(Search!$P$7="",ISNUMBER(SEARCH(" "&amp;Search!$P$7,N13))),OR(Search!$P$8="",ISNUMBER(SEARCH(" "&amp;Search!$P$8,N13))),OR(Search!$P$9="",ISNUMBER(SEARCH(" "&amp;Search!$P$9,N13))),OR(Search!$P$10="",ISNUMBER(SEARCH(" "&amp;Search!$P$10,N13)))),ROW(),""))</f>
        <v/>
      </c>
      <c r="N13" s="0" t="str">
        <f aca="false">IF(D13="",""," "&amp;SUBSTITUTE(SUBSTITUTE(SUBSTITUTE(SUBSTITUTE(SUBSTITUTE(SUBSTITUTE(SUBSTITUTE(B13&amp;" "&amp;C13&amp;" "&amp;D13&amp;" "&amp;E13&amp;" "&amp;F13&amp;" "&amp;G13&amp;" "&amp;H13&amp;" "&amp;'01 Aluminium'!R15,"("," "),")"," "),"/"," "),"-"," "),","," "),";"," "),":"," ")&amp;" ")</f>
        <v> AL 011 Standard Sections Aluminium rectangular tube 100 x 50 x 3.0 mm  2.33 kg m  Powder coated Local lm 100x50 100x50x3.0 100x50x3 3.0mm pipe box aluminum alu pc </v>
      </c>
    </row>
    <row r="14" customFormat="false" ht="15" hidden="false" customHeight="false" outlineLevel="0" collapsed="false">
      <c r="A14" s="56" t="str">
        <f aca="false">IF('01 Aluminium'!$C$16="","","Aluminium Profiles &amp; Systems")</f>
        <v>Aluminium Profiles &amp; Systems</v>
      </c>
      <c r="B14" s="57" t="str">
        <f aca="false">IF('01 Aluminium'!$C$16="","",'01 Aluminium'!A16)</f>
        <v>AL-012</v>
      </c>
      <c r="C14" s="56" t="str">
        <f aca="false">IF('01 Aluminium'!$C$16="","",'01 Aluminium'!B16)</f>
        <v>Standard Sections</v>
      </c>
      <c r="D14" s="56" t="str">
        <f aca="false">IF('01 Aluminium'!$C$16="","",'01 Aluminium'!C16)</f>
        <v>Aluminium rectangular tube</v>
      </c>
      <c r="E14" s="56" t="str">
        <f aca="false">IF('01 Aluminium'!$C$16="","",'01 Aluminium'!D16)</f>
        <v>150 x 50 x 3.0 mm (3.14 kg/m)</v>
      </c>
      <c r="F14" s="56" t="str">
        <f aca="false">IF('01 Aluminium'!$C$16="","",'01 Aluminium'!E16)</f>
        <v>Powder coated</v>
      </c>
      <c r="G14" s="56" t="str">
        <f aca="false">IF('01 Aluminium'!$C$16="","",'01 Aluminium'!F16)</f>
        <v>Local</v>
      </c>
      <c r="H14" s="57" t="str">
        <f aca="false">IF('01 Aluminium'!$C$16="","",'01 Aluminium'!G16)</f>
        <v>lm</v>
      </c>
      <c r="I14" s="58" t="n">
        <f aca="false">IF('01 Aluminium'!$C$16="","",'01 Aluminium'!J16)</f>
        <v>60.99</v>
      </c>
      <c r="J14" s="58" t="n">
        <f aca="false">IF('01 Aluminium'!$C$16="","",'01 Aluminium'!K16)</f>
        <v>73.19</v>
      </c>
      <c r="K14" s="58" t="n">
        <f aca="false">IF('01 Aluminium'!$C$16="","",'01 Aluminium'!L16)</f>
        <v>76.85</v>
      </c>
      <c r="L14" s="57" t="str">
        <f aca="false">IF('01 Aluminium'!$C$16="","",'01 Aluminium'!M16)</f>
        <v>Indicative</v>
      </c>
      <c r="M14" s="59" t="str">
        <f aca="false">IF(D14="","",IF(AND(OR(Search!$C$6="All Categories",A14=Search!$C$6),OR(Search!$P$5="",ISNUMBER(SEARCH(" "&amp;Search!$P$5,N14))),OR(Search!$P$6="",ISNUMBER(SEARCH(" "&amp;Search!$P$6,N14))),OR(Search!$P$7="",ISNUMBER(SEARCH(" "&amp;Search!$P$7,N14))),OR(Search!$P$8="",ISNUMBER(SEARCH(" "&amp;Search!$P$8,N14))),OR(Search!$P$9="",ISNUMBER(SEARCH(" "&amp;Search!$P$9,N14))),OR(Search!$P$10="",ISNUMBER(SEARCH(" "&amp;Search!$P$10,N14)))),ROW(),""))</f>
        <v/>
      </c>
      <c r="N14" s="0" t="str">
        <f aca="false">IF(D14="",""," "&amp;SUBSTITUTE(SUBSTITUTE(SUBSTITUTE(SUBSTITUTE(SUBSTITUTE(SUBSTITUTE(SUBSTITUTE(B14&amp;" "&amp;C14&amp;" "&amp;D14&amp;" "&amp;E14&amp;" "&amp;F14&amp;" "&amp;G14&amp;" "&amp;H14&amp;" "&amp;'01 Aluminium'!R16,"("," "),")"," "),"/"," "),"-"," "),","," "),";"," "),":"," ")&amp;" ")</f>
        <v> AL 012 Standard Sections Aluminium rectangular tube 150 x 50 x 3.0 mm  3.14 kg m  Powder coated Local lm 150x50 150x50x3.0 150x50x3 3.0mm pipe box aluminum alu pc </v>
      </c>
    </row>
    <row r="15" customFormat="false" ht="15" hidden="false" customHeight="false" outlineLevel="0" collapsed="false">
      <c r="A15" s="56" t="str">
        <f aca="false">IF('01 Aluminium'!$C$17="","","Aluminium Profiles &amp; Systems")</f>
        <v>Aluminium Profiles &amp; Systems</v>
      </c>
      <c r="B15" s="57" t="str">
        <f aca="false">IF('01 Aluminium'!$C$17="","",'01 Aluminium'!A17)</f>
        <v>AL-013</v>
      </c>
      <c r="C15" s="56" t="str">
        <f aca="false">IF('01 Aluminium'!$C$17="","",'01 Aluminium'!B17)</f>
        <v>Standard Sections</v>
      </c>
      <c r="D15" s="56" t="str">
        <f aca="false">IF('01 Aluminium'!$C$17="","",'01 Aluminium'!C17)</f>
        <v>Aluminium rectangular tube</v>
      </c>
      <c r="E15" s="56" t="str">
        <f aca="false">IF('01 Aluminium'!$C$17="","",'01 Aluminium'!D17)</f>
        <v>200 x 50 x 3.0 mm (3.95 kg/m)</v>
      </c>
      <c r="F15" s="56" t="str">
        <f aca="false">IF('01 Aluminium'!$C$17="","",'01 Aluminium'!E17)</f>
        <v>Powder coated</v>
      </c>
      <c r="G15" s="56" t="str">
        <f aca="false">IF('01 Aluminium'!$C$17="","",'01 Aluminium'!F17)</f>
        <v>Local</v>
      </c>
      <c r="H15" s="57" t="str">
        <f aca="false">IF('01 Aluminium'!$C$17="","",'01 Aluminium'!G17)</f>
        <v>lm</v>
      </c>
      <c r="I15" s="58" t="n">
        <f aca="false">IF('01 Aluminium'!$C$17="","",'01 Aluminium'!J17)</f>
        <v>76.73</v>
      </c>
      <c r="J15" s="58" t="n">
        <f aca="false">IF('01 Aluminium'!$C$17="","",'01 Aluminium'!K17)</f>
        <v>92.08</v>
      </c>
      <c r="K15" s="58" t="n">
        <f aca="false">IF('01 Aluminium'!$C$17="","",'01 Aluminium'!L17)</f>
        <v>96.68</v>
      </c>
      <c r="L15" s="57" t="str">
        <f aca="false">IF('01 Aluminium'!$C$17="","",'01 Aluminium'!M17)</f>
        <v>Indicative</v>
      </c>
      <c r="M15" s="59" t="str">
        <f aca="false">IF(D15="","",IF(AND(OR(Search!$C$6="All Categories",A15=Search!$C$6),OR(Search!$P$5="",ISNUMBER(SEARCH(" "&amp;Search!$P$5,N15))),OR(Search!$P$6="",ISNUMBER(SEARCH(" "&amp;Search!$P$6,N15))),OR(Search!$P$7="",ISNUMBER(SEARCH(" "&amp;Search!$P$7,N15))),OR(Search!$P$8="",ISNUMBER(SEARCH(" "&amp;Search!$P$8,N15))),OR(Search!$P$9="",ISNUMBER(SEARCH(" "&amp;Search!$P$9,N15))),OR(Search!$P$10="",ISNUMBER(SEARCH(" "&amp;Search!$P$10,N15)))),ROW(),""))</f>
        <v/>
      </c>
      <c r="N15" s="0" t="str">
        <f aca="false">IF(D15="",""," "&amp;SUBSTITUTE(SUBSTITUTE(SUBSTITUTE(SUBSTITUTE(SUBSTITUTE(SUBSTITUTE(SUBSTITUTE(B15&amp;" "&amp;C15&amp;" "&amp;D15&amp;" "&amp;E15&amp;" "&amp;F15&amp;" "&amp;G15&amp;" "&amp;H15&amp;" "&amp;'01 Aluminium'!R17,"("," "),")"," "),"/"," "),"-"," "),","," "),";"," "),":"," ")&amp;" ")</f>
        <v> AL 013 Standard Sections Aluminium rectangular tube 200 x 50 x 3.0 mm  3.95 kg m  Powder coated Local lm 200x50 200x50x3.0 200x50x3 3.0mm pipe box aluminum alu pc </v>
      </c>
    </row>
    <row r="16" customFormat="false" ht="15" hidden="false" customHeight="false" outlineLevel="0" collapsed="false">
      <c r="A16" s="56" t="str">
        <f aca="false">IF('01 Aluminium'!$C$18="","","Aluminium Profiles &amp; Systems")</f>
        <v>Aluminium Profiles &amp; Systems</v>
      </c>
      <c r="B16" s="57" t="str">
        <f aca="false">IF('01 Aluminium'!$C$18="","",'01 Aluminium'!A18)</f>
        <v>AL-014</v>
      </c>
      <c r="C16" s="56" t="str">
        <f aca="false">IF('01 Aluminium'!$C$18="","",'01 Aluminium'!B18)</f>
        <v>Standard Sections</v>
      </c>
      <c r="D16" s="56" t="str">
        <f aca="false">IF('01 Aluminium'!$C$18="","",'01 Aluminium'!C18)</f>
        <v>Aluminium equal angle</v>
      </c>
      <c r="E16" s="56" t="str">
        <f aca="false">IF('01 Aluminium'!$C$18="","",'01 Aluminium'!D18)</f>
        <v>25 x 25 x 2.0 mm (0.26 kg/m)</v>
      </c>
      <c r="F16" s="56" t="str">
        <f aca="false">IF('01 Aluminium'!$C$18="","",'01 Aluminium'!E18)</f>
        <v>Powder coated</v>
      </c>
      <c r="G16" s="56" t="str">
        <f aca="false">IF('01 Aluminium'!$C$18="","",'01 Aluminium'!F18)</f>
        <v>Local</v>
      </c>
      <c r="H16" s="57" t="str">
        <f aca="false">IF('01 Aluminium'!$C$18="","",'01 Aluminium'!G18)</f>
        <v>lm</v>
      </c>
      <c r="I16" s="58" t="n">
        <f aca="false">IF('01 Aluminium'!$C$18="","",'01 Aluminium'!J18)</f>
        <v>5.05</v>
      </c>
      <c r="J16" s="58" t="n">
        <f aca="false">IF('01 Aluminium'!$C$18="","",'01 Aluminium'!K18)</f>
        <v>6.06</v>
      </c>
      <c r="K16" s="58" t="n">
        <f aca="false">IF('01 Aluminium'!$C$18="","",'01 Aluminium'!L18)</f>
        <v>6.36</v>
      </c>
      <c r="L16" s="57" t="str">
        <f aca="false">IF('01 Aluminium'!$C$18="","",'01 Aluminium'!M18)</f>
        <v>Indicative</v>
      </c>
      <c r="M16" s="59" t="str">
        <f aca="false">IF(D16="","",IF(AND(OR(Search!$C$6="All Categories",A16=Search!$C$6),OR(Search!$P$5="",ISNUMBER(SEARCH(" "&amp;Search!$P$5,N16))),OR(Search!$P$6="",ISNUMBER(SEARCH(" "&amp;Search!$P$6,N16))),OR(Search!$P$7="",ISNUMBER(SEARCH(" "&amp;Search!$P$7,N16))),OR(Search!$P$8="",ISNUMBER(SEARCH(" "&amp;Search!$P$8,N16))),OR(Search!$P$9="",ISNUMBER(SEARCH(" "&amp;Search!$P$9,N16))),OR(Search!$P$10="",ISNUMBER(SEARCH(" "&amp;Search!$P$10,N16)))),ROW(),""))</f>
        <v/>
      </c>
      <c r="N16" s="0" t="str">
        <f aca="false">IF(D16="",""," "&amp;SUBSTITUTE(SUBSTITUTE(SUBSTITUTE(SUBSTITUTE(SUBSTITUTE(SUBSTITUTE(SUBSTITUTE(B16&amp;" "&amp;C16&amp;" "&amp;D16&amp;" "&amp;E16&amp;" "&amp;F16&amp;" "&amp;G16&amp;" "&amp;H16&amp;" "&amp;'01 Aluminium'!R18,"("," "),")"," "),"/"," "),"-"," "),","," "),";"," "),":"," ")&amp;" ")</f>
        <v> AL 014 Standard Sections Aluminium equal angle 25 x 25 x 2.0 mm  0.26 kg m  Powder coated Local lm 25x25 25x25x2.0 25x25x2 2.0mm aluminum alu pc angle l </v>
      </c>
    </row>
    <row r="17" customFormat="false" ht="15" hidden="false" customHeight="false" outlineLevel="0" collapsed="false">
      <c r="A17" s="56" t="str">
        <f aca="false">IF('01 Aluminium'!$C$19="","","Aluminium Profiles &amp; Systems")</f>
        <v>Aluminium Profiles &amp; Systems</v>
      </c>
      <c r="B17" s="57" t="str">
        <f aca="false">IF('01 Aluminium'!$C$19="","",'01 Aluminium'!A19)</f>
        <v>AL-015</v>
      </c>
      <c r="C17" s="56" t="str">
        <f aca="false">IF('01 Aluminium'!$C$19="","",'01 Aluminium'!B19)</f>
        <v>Standard Sections</v>
      </c>
      <c r="D17" s="56" t="str">
        <f aca="false">IF('01 Aluminium'!$C$19="","",'01 Aluminium'!C19)</f>
        <v>Aluminium equal angle</v>
      </c>
      <c r="E17" s="56" t="str">
        <f aca="false">IF('01 Aluminium'!$C$19="","",'01 Aluminium'!D19)</f>
        <v>50 x 50 x 3.0 mm (0.79 kg/m)</v>
      </c>
      <c r="F17" s="56" t="str">
        <f aca="false">IF('01 Aluminium'!$C$19="","",'01 Aluminium'!E19)</f>
        <v>Powder coated</v>
      </c>
      <c r="G17" s="56" t="str">
        <f aca="false">IF('01 Aluminium'!$C$19="","",'01 Aluminium'!F19)</f>
        <v>Local</v>
      </c>
      <c r="H17" s="57" t="str">
        <f aca="false">IF('01 Aluminium'!$C$19="","",'01 Aluminium'!G19)</f>
        <v>lm</v>
      </c>
      <c r="I17" s="58" t="n">
        <f aca="false">IF('01 Aluminium'!$C$19="","",'01 Aluminium'!J19)</f>
        <v>15.35</v>
      </c>
      <c r="J17" s="58" t="n">
        <f aca="false">IF('01 Aluminium'!$C$19="","",'01 Aluminium'!K19)</f>
        <v>18.42</v>
      </c>
      <c r="K17" s="58" t="n">
        <f aca="false">IF('01 Aluminium'!$C$19="","",'01 Aluminium'!L19)</f>
        <v>19.34</v>
      </c>
      <c r="L17" s="57" t="str">
        <f aca="false">IF('01 Aluminium'!$C$19="","",'01 Aluminium'!M19)</f>
        <v>Indicative</v>
      </c>
      <c r="M17" s="59" t="str">
        <f aca="false">IF(D17="","",IF(AND(OR(Search!$C$6="All Categories",A17=Search!$C$6),OR(Search!$P$5="",ISNUMBER(SEARCH(" "&amp;Search!$P$5,N17))),OR(Search!$P$6="",ISNUMBER(SEARCH(" "&amp;Search!$P$6,N17))),OR(Search!$P$7="",ISNUMBER(SEARCH(" "&amp;Search!$P$7,N17))),OR(Search!$P$8="",ISNUMBER(SEARCH(" "&amp;Search!$P$8,N17))),OR(Search!$P$9="",ISNUMBER(SEARCH(" "&amp;Search!$P$9,N17))),OR(Search!$P$10="",ISNUMBER(SEARCH(" "&amp;Search!$P$10,N17)))),ROW(),""))</f>
        <v/>
      </c>
      <c r="N17" s="0" t="str">
        <f aca="false">IF(D17="",""," "&amp;SUBSTITUTE(SUBSTITUTE(SUBSTITUTE(SUBSTITUTE(SUBSTITUTE(SUBSTITUTE(SUBSTITUTE(B17&amp;" "&amp;C17&amp;" "&amp;D17&amp;" "&amp;E17&amp;" "&amp;F17&amp;" "&amp;G17&amp;" "&amp;H17&amp;" "&amp;'01 Aluminium'!R19,"("," "),")"," "),"/"," "),"-"," "),","," "),";"," "),":"," ")&amp;" ")</f>
        <v> AL 015 Standard Sections Aluminium equal angle 50 x 50 x 3.0 mm  0.79 kg m  Powder coated Local lm 50x50 50x50x3.0 50x50x3 3.0mm aluminum alu pc angle l </v>
      </c>
    </row>
    <row r="18" customFormat="false" ht="15" hidden="false" customHeight="false" outlineLevel="0" collapsed="false">
      <c r="A18" s="56" t="str">
        <f aca="false">IF('01 Aluminium'!$C$20="","","Aluminium Profiles &amp; Systems")</f>
        <v>Aluminium Profiles &amp; Systems</v>
      </c>
      <c r="B18" s="57" t="str">
        <f aca="false">IF('01 Aluminium'!$C$20="","",'01 Aluminium'!A20)</f>
        <v>AL-016</v>
      </c>
      <c r="C18" s="56" t="str">
        <f aca="false">IF('01 Aluminium'!$C$20="","",'01 Aluminium'!B20)</f>
        <v>Standard Sections</v>
      </c>
      <c r="D18" s="56" t="str">
        <f aca="false">IF('01 Aluminium'!$C$20="","",'01 Aluminium'!C20)</f>
        <v>Aluminium flat bar</v>
      </c>
      <c r="E18" s="56" t="str">
        <f aca="false">IF('01 Aluminium'!$C$20="","",'01 Aluminium'!D20)</f>
        <v>50 x 5 mm (0.68 kg/m)</v>
      </c>
      <c r="F18" s="56" t="str">
        <f aca="false">IF('01 Aluminium'!$C$20="","",'01 Aluminium'!E20)</f>
        <v>Powder coated</v>
      </c>
      <c r="G18" s="56" t="str">
        <f aca="false">IF('01 Aluminium'!$C$20="","",'01 Aluminium'!F20)</f>
        <v>Local</v>
      </c>
      <c r="H18" s="57" t="str">
        <f aca="false">IF('01 Aluminium'!$C$20="","",'01 Aluminium'!G20)</f>
        <v>lm</v>
      </c>
      <c r="I18" s="58" t="n">
        <f aca="false">IF('01 Aluminium'!$C$20="","",'01 Aluminium'!J20)</f>
        <v>13.21</v>
      </c>
      <c r="J18" s="58" t="n">
        <f aca="false">IF('01 Aluminium'!$C$20="","",'01 Aluminium'!K20)</f>
        <v>15.85</v>
      </c>
      <c r="K18" s="58" t="n">
        <f aca="false">IF('01 Aluminium'!$C$20="","",'01 Aluminium'!L20)</f>
        <v>16.64</v>
      </c>
      <c r="L18" s="57" t="str">
        <f aca="false">IF('01 Aluminium'!$C$20="","",'01 Aluminium'!M20)</f>
        <v>Indicative</v>
      </c>
      <c r="M18" s="59" t="str">
        <f aca="false">IF(D18="","",IF(AND(OR(Search!$C$6="All Categories",A18=Search!$C$6),OR(Search!$P$5="",ISNUMBER(SEARCH(" "&amp;Search!$P$5,N18))),OR(Search!$P$6="",ISNUMBER(SEARCH(" "&amp;Search!$P$6,N18))),OR(Search!$P$7="",ISNUMBER(SEARCH(" "&amp;Search!$P$7,N18))),OR(Search!$P$8="",ISNUMBER(SEARCH(" "&amp;Search!$P$8,N18))),OR(Search!$P$9="",ISNUMBER(SEARCH(" "&amp;Search!$P$9,N18))),OR(Search!$P$10="",ISNUMBER(SEARCH(" "&amp;Search!$P$10,N18)))),ROW(),""))</f>
        <v/>
      </c>
      <c r="N18" s="0" t="str">
        <f aca="false">IF(D18="",""," "&amp;SUBSTITUTE(SUBSTITUTE(SUBSTITUTE(SUBSTITUTE(SUBSTITUTE(SUBSTITUTE(SUBSTITUTE(B18&amp;" "&amp;C18&amp;" "&amp;D18&amp;" "&amp;E18&amp;" "&amp;F18&amp;" "&amp;G18&amp;" "&amp;H18&amp;" "&amp;'01 Aluminium'!R20,"("," "),")"," "),"/"," "),"-"," "),","," "),";"," "),":"," ")&amp;" ")</f>
        <v> AL 016 Standard Sections Aluminium flat bar 50 x 5 mm  0.68 kg m  Powder coated Local lm 50x5 5mm aluminum alu pc patti strip </v>
      </c>
    </row>
    <row r="19" customFormat="false" ht="15" hidden="false" customHeight="false" outlineLevel="0" collapsed="false">
      <c r="A19" s="56" t="str">
        <f aca="false">IF('01 Aluminium'!$C$21="","","Aluminium Profiles &amp; Systems")</f>
        <v>Aluminium Profiles &amp; Systems</v>
      </c>
      <c r="B19" s="57" t="str">
        <f aca="false">IF('01 Aluminium'!$C$21="","",'01 Aluminium'!A21)</f>
        <v>AL-017</v>
      </c>
      <c r="C19" s="56" t="str">
        <f aca="false">IF('01 Aluminium'!$C$21="","",'01 Aluminium'!B21)</f>
        <v>Standard Sections</v>
      </c>
      <c r="D19" s="56" t="str">
        <f aca="false">IF('01 Aluminium'!$C$21="","",'01 Aluminium'!C21)</f>
        <v>Aluminium flat bar</v>
      </c>
      <c r="E19" s="56" t="str">
        <f aca="false">IF('01 Aluminium'!$C$21="","",'01 Aluminium'!D21)</f>
        <v>100 x 6 mm (1.62 kg/m)</v>
      </c>
      <c r="F19" s="56" t="str">
        <f aca="false">IF('01 Aluminium'!$C$21="","",'01 Aluminium'!E21)</f>
        <v>Powder coated</v>
      </c>
      <c r="G19" s="56" t="str">
        <f aca="false">IF('01 Aluminium'!$C$21="","",'01 Aluminium'!F21)</f>
        <v>Local</v>
      </c>
      <c r="H19" s="57" t="str">
        <f aca="false">IF('01 Aluminium'!$C$21="","",'01 Aluminium'!G21)</f>
        <v>lm</v>
      </c>
      <c r="I19" s="58" t="n">
        <f aca="false">IF('01 Aluminium'!$C$21="","",'01 Aluminium'!J21)</f>
        <v>31.47</v>
      </c>
      <c r="J19" s="58" t="n">
        <f aca="false">IF('01 Aluminium'!$C$21="","",'01 Aluminium'!K21)</f>
        <v>37.76</v>
      </c>
      <c r="K19" s="58" t="n">
        <f aca="false">IF('01 Aluminium'!$C$21="","",'01 Aluminium'!L21)</f>
        <v>39.65</v>
      </c>
      <c r="L19" s="57" t="str">
        <f aca="false">IF('01 Aluminium'!$C$21="","",'01 Aluminium'!M21)</f>
        <v>Indicative</v>
      </c>
      <c r="M19" s="59" t="str">
        <f aca="false">IF(D19="","",IF(AND(OR(Search!$C$6="All Categories",A19=Search!$C$6),OR(Search!$P$5="",ISNUMBER(SEARCH(" "&amp;Search!$P$5,N19))),OR(Search!$P$6="",ISNUMBER(SEARCH(" "&amp;Search!$P$6,N19))),OR(Search!$P$7="",ISNUMBER(SEARCH(" "&amp;Search!$P$7,N19))),OR(Search!$P$8="",ISNUMBER(SEARCH(" "&amp;Search!$P$8,N19))),OR(Search!$P$9="",ISNUMBER(SEARCH(" "&amp;Search!$P$9,N19))),OR(Search!$P$10="",ISNUMBER(SEARCH(" "&amp;Search!$P$10,N19)))),ROW(),""))</f>
        <v/>
      </c>
      <c r="N19" s="0" t="str">
        <f aca="false">IF(D19="",""," "&amp;SUBSTITUTE(SUBSTITUTE(SUBSTITUTE(SUBSTITUTE(SUBSTITUTE(SUBSTITUTE(SUBSTITUTE(B19&amp;" "&amp;C19&amp;" "&amp;D19&amp;" "&amp;E19&amp;" "&amp;F19&amp;" "&amp;G19&amp;" "&amp;H19&amp;" "&amp;'01 Aluminium'!R21,"("," "),")"," "),"/"," "),"-"," "),","," "),";"," "),":"," ")&amp;" ")</f>
        <v> AL 017 Standard Sections Aluminium flat bar 100 x 6 mm  1.62 kg m  Powder coated Local lm 100x6 6mm aluminum alu pc patti strip </v>
      </c>
    </row>
    <row r="20" customFormat="false" ht="22.35" hidden="false" customHeight="false" outlineLevel="0" collapsed="false">
      <c r="A20" s="56" t="str">
        <f aca="false">IF('01 Aluminium'!$C$22="","","Aluminium Profiles &amp; Systems")</f>
        <v>Aluminium Profiles &amp; Systems</v>
      </c>
      <c r="B20" s="57" t="str">
        <f aca="false">IF('01 Aluminium'!$C$22="","",'01 Aluminium'!A22)</f>
        <v>AL-018</v>
      </c>
      <c r="C20" s="56" t="str">
        <f aca="false">IF('01 Aluminium'!$C$22="","",'01 Aluminium'!B22)</f>
        <v>Standard Sections</v>
      </c>
      <c r="D20" s="56" t="str">
        <f aca="false">IF('01 Aluminium'!$C$22="","",'01 Aluminium'!C22)</f>
        <v>Aluminium U-channel for glass</v>
      </c>
      <c r="E20" s="56" t="str">
        <f aca="false">IF('01 Aluminium'!$C$22="","",'01 Aluminium'!D22)</f>
        <v>For 10-12 mm glass (0.45 kg/m)</v>
      </c>
      <c r="F20" s="56" t="str">
        <f aca="false">IF('01 Aluminium'!$C$22="","",'01 Aluminium'!E22)</f>
        <v>Powder coated / anodized</v>
      </c>
      <c r="G20" s="56" t="str">
        <f aca="false">IF('01 Aluminium'!$C$22="","",'01 Aluminium'!F22)</f>
        <v>Local</v>
      </c>
      <c r="H20" s="57" t="str">
        <f aca="false">IF('01 Aluminium'!$C$22="","",'01 Aluminium'!G22)</f>
        <v>lm</v>
      </c>
      <c r="I20" s="58" t="n">
        <f aca="false">IF('01 Aluminium'!$C$22="","",'01 Aluminium'!J22)</f>
        <v>8.75</v>
      </c>
      <c r="J20" s="58" t="n">
        <f aca="false">IF('01 Aluminium'!$C$22="","",'01 Aluminium'!K22)</f>
        <v>10.5</v>
      </c>
      <c r="K20" s="58" t="n">
        <f aca="false">IF('01 Aluminium'!$C$22="","",'01 Aluminium'!L22)</f>
        <v>11.03</v>
      </c>
      <c r="L20" s="57" t="str">
        <f aca="false">IF('01 Aluminium'!$C$22="","",'01 Aluminium'!M22)</f>
        <v>Indicative</v>
      </c>
      <c r="M20" s="59" t="str">
        <f aca="false">IF(D20="","",IF(AND(OR(Search!$C$6="All Categories",A20=Search!$C$6),OR(Search!$P$5="",ISNUMBER(SEARCH(" "&amp;Search!$P$5,N20))),OR(Search!$P$6="",ISNUMBER(SEARCH(" "&amp;Search!$P$6,N20))),OR(Search!$P$7="",ISNUMBER(SEARCH(" "&amp;Search!$P$7,N20))),OR(Search!$P$8="",ISNUMBER(SEARCH(" "&amp;Search!$P$8,N20))),OR(Search!$P$9="",ISNUMBER(SEARCH(" "&amp;Search!$P$9,N20))),OR(Search!$P$10="",ISNUMBER(SEARCH(" "&amp;Search!$P$10,N20)))),ROW(),""))</f>
        <v/>
      </c>
      <c r="N20" s="0" t="str">
        <f aca="false">IF(D20="",""," "&amp;SUBSTITUTE(SUBSTITUTE(SUBSTITUTE(SUBSTITUTE(SUBSTITUTE(SUBSTITUTE(SUBSTITUTE(B20&amp;" "&amp;C20&amp;" "&amp;D20&amp;" "&amp;E20&amp;" "&amp;F20&amp;" "&amp;G20&amp;" "&amp;H20&amp;" "&amp;'01 Aluminium'!R22,"("," "),")"," "),"/"," "),"-"," "),","," "),";"," "),":"," ")&amp;" ")</f>
        <v> AL 018 Standard Sections Aluminium U channel for glass For 10 12 mm glass  0.45 kg m  Powder coated   anodized Local lm 12mm aluminum alu pc stainless steel </v>
      </c>
    </row>
    <row r="21" customFormat="false" ht="15" hidden="false" customHeight="false" outlineLevel="0" collapsed="false">
      <c r="A21" s="56" t="str">
        <f aca="false">IF('01 Aluminium'!$C$23="","","Aluminium Profiles &amp; Systems")</f>
        <v>Aluminium Profiles &amp; Systems</v>
      </c>
      <c r="B21" s="57" t="str">
        <f aca="false">IF('01 Aluminium'!$C$23="","",'01 Aluminium'!A23)</f>
        <v>AL-019</v>
      </c>
      <c r="C21" s="56" t="str">
        <f aca="false">IF('01 Aluminium'!$C$23="","",'01 Aluminium'!B23)</f>
        <v>Standard Sections</v>
      </c>
      <c r="D21" s="56" t="str">
        <f aca="false">IF('01 Aluminium'!$C$23="","",'01 Aluminium'!C23)</f>
        <v>Aluminium heavy U-channel (frameless partition)</v>
      </c>
      <c r="E21" s="56" t="str">
        <f aca="false">IF('01 Aluminium'!$C$23="","",'01 Aluminium'!D23)</f>
        <v>40 x 40 mm (0.90 kg/m)</v>
      </c>
      <c r="F21" s="56" t="str">
        <f aca="false">IF('01 Aluminium'!$C$23="","",'01 Aluminium'!E23)</f>
        <v>Anodized / PC</v>
      </c>
      <c r="G21" s="56" t="str">
        <f aca="false">IF('01 Aluminium'!$C$23="","",'01 Aluminium'!F23)</f>
        <v>Local</v>
      </c>
      <c r="H21" s="57" t="str">
        <f aca="false">IF('01 Aluminium'!$C$23="","",'01 Aluminium'!G23)</f>
        <v>lm</v>
      </c>
      <c r="I21" s="58" t="n">
        <f aca="false">IF('01 Aluminium'!$C$23="","",'01 Aluminium'!J23)</f>
        <v>17.48</v>
      </c>
      <c r="J21" s="58" t="n">
        <f aca="false">IF('01 Aluminium'!$C$23="","",'01 Aluminium'!K23)</f>
        <v>20.98</v>
      </c>
      <c r="K21" s="58" t="n">
        <f aca="false">IF('01 Aluminium'!$C$23="","",'01 Aluminium'!L23)</f>
        <v>22.03</v>
      </c>
      <c r="L21" s="57" t="str">
        <f aca="false">IF('01 Aluminium'!$C$23="","",'01 Aluminium'!M23)</f>
        <v>Indicative</v>
      </c>
      <c r="M21" s="59" t="str">
        <f aca="false">IF(D21="","",IF(AND(OR(Search!$C$6="All Categories",A21=Search!$C$6),OR(Search!$P$5="",ISNUMBER(SEARCH(" "&amp;Search!$P$5,N21))),OR(Search!$P$6="",ISNUMBER(SEARCH(" "&amp;Search!$P$6,N21))),OR(Search!$P$7="",ISNUMBER(SEARCH(" "&amp;Search!$P$7,N21))),OR(Search!$P$8="",ISNUMBER(SEARCH(" "&amp;Search!$P$8,N21))),OR(Search!$P$9="",ISNUMBER(SEARCH(" "&amp;Search!$P$9,N21))),OR(Search!$P$10="",ISNUMBER(SEARCH(" "&amp;Search!$P$10,N21)))),ROW(),""))</f>
        <v/>
      </c>
      <c r="N21" s="0" t="str">
        <f aca="false">IF(D21="",""," "&amp;SUBSTITUTE(SUBSTITUTE(SUBSTITUTE(SUBSTITUTE(SUBSTITUTE(SUBSTITUTE(SUBSTITUTE(B21&amp;" "&amp;C21&amp;" "&amp;D21&amp;" "&amp;E21&amp;" "&amp;F21&amp;" "&amp;G21&amp;" "&amp;H21&amp;" "&amp;'01 Aluminium'!R23,"("," "),")"," "),"/"," "),"-"," "),","," "),";"," "),":"," ")&amp;" ")</f>
        <v> AL 019 Standard Sections Aluminium heavy U channel  frameless partition  40 x 40 mm  0.90 kg m  Anodized   PC Local lm 40x40 40mm aluminum alu stainless steel </v>
      </c>
    </row>
    <row r="22" customFormat="false" ht="15" hidden="false" customHeight="false" outlineLevel="0" collapsed="false">
      <c r="A22" s="56" t="str">
        <f aca="false">IF('01 Aluminium'!$C$24="","","Aluminium Profiles &amp; Systems")</f>
        <v>Aluminium Profiles &amp; Systems</v>
      </c>
      <c r="B22" s="57" t="str">
        <f aca="false">IF('01 Aluminium'!$C$24="","",'01 Aluminium'!A24)</f>
        <v>AL-020</v>
      </c>
      <c r="C22" s="56" t="str">
        <f aca="false">IF('01 Aluminium'!$C$24="","",'01 Aluminium'!B24)</f>
        <v>Sliding Window System</v>
      </c>
      <c r="D22" s="56" t="str">
        <f aca="false">IF('01 Aluminium'!$C$24="","",'01 Aluminium'!C24)</f>
        <v>Sliding window outer frame - 2 track</v>
      </c>
      <c r="E22" s="56" t="str">
        <f aca="false">IF('01 Aluminium'!$C$24="","",'01 Aluminium'!D24)</f>
        <v>Non-thermal (approx. 1.25 kg/m)</v>
      </c>
      <c r="F22" s="56" t="str">
        <f aca="false">IF('01 Aluminium'!$C$24="","",'01 Aluminium'!E24)</f>
        <v>Powder coated</v>
      </c>
      <c r="G22" s="56" t="str">
        <f aca="false">IF('01 Aluminium'!$C$24="","",'01 Aluminium'!F24)</f>
        <v>Gulf Extrusions / Equiv.</v>
      </c>
      <c r="H22" s="57" t="str">
        <f aca="false">IF('01 Aluminium'!$C$24="","",'01 Aluminium'!G24)</f>
        <v>lm</v>
      </c>
      <c r="I22" s="58" t="n">
        <f aca="false">IF('01 Aluminium'!$C$24="","",'01 Aluminium'!J24)</f>
        <v>24.29</v>
      </c>
      <c r="J22" s="58" t="n">
        <f aca="false">IF('01 Aluminium'!$C$24="","",'01 Aluminium'!K24)</f>
        <v>29.15</v>
      </c>
      <c r="K22" s="58" t="n">
        <f aca="false">IF('01 Aluminium'!$C$24="","",'01 Aluminium'!L24)</f>
        <v>30.61</v>
      </c>
      <c r="L22" s="57" t="str">
        <f aca="false">IF('01 Aluminium'!$C$24="","",'01 Aluminium'!M24)</f>
        <v>Indicative</v>
      </c>
      <c r="M22" s="59" t="str">
        <f aca="false">IF(D22="","",IF(AND(OR(Search!$C$6="All Categories",A22=Search!$C$6),OR(Search!$P$5="",ISNUMBER(SEARCH(" "&amp;Search!$P$5,N22))),OR(Search!$P$6="",ISNUMBER(SEARCH(" "&amp;Search!$P$6,N22))),OR(Search!$P$7="",ISNUMBER(SEARCH(" "&amp;Search!$P$7,N22))),OR(Search!$P$8="",ISNUMBER(SEARCH(" "&amp;Search!$P$8,N22))),OR(Search!$P$9="",ISNUMBER(SEARCH(" "&amp;Search!$P$9,N22))),OR(Search!$P$10="",ISNUMBER(SEARCH(" "&amp;Search!$P$10,N22)))),ROW(),""))</f>
        <v/>
      </c>
      <c r="N22" s="0" t="str">
        <f aca="false">IF(D22="",""," "&amp;SUBSTITUTE(SUBSTITUTE(SUBSTITUTE(SUBSTITUTE(SUBSTITUTE(SUBSTITUTE(SUBSTITUTE(B22&amp;" "&amp;C22&amp;" "&amp;D22&amp;" "&amp;E22&amp;" "&amp;F22&amp;" "&amp;G22&amp;" "&amp;H22&amp;" "&amp;'01 Aluminium'!R24,"("," "),")"," "),"/"," "),"-"," "),","," "),";"," "),":"," ")&amp;" ")</f>
        <v> AL 020 Sliding Window System Sliding window outer frame   2 track Non thermal  approx. 1.25 kg m  Powder coated Gulf Extrusions   Equiv. lm pc </v>
      </c>
    </row>
    <row r="23" customFormat="false" ht="15" hidden="false" customHeight="false" outlineLevel="0" collapsed="false">
      <c r="A23" s="56" t="str">
        <f aca="false">IF('01 Aluminium'!$C$25="","","Aluminium Profiles &amp; Systems")</f>
        <v>Aluminium Profiles &amp; Systems</v>
      </c>
      <c r="B23" s="57" t="str">
        <f aca="false">IF('01 Aluminium'!$C$25="","",'01 Aluminium'!A25)</f>
        <v>AL-021</v>
      </c>
      <c r="C23" s="56" t="str">
        <f aca="false">IF('01 Aluminium'!$C$25="","",'01 Aluminium'!B25)</f>
        <v>Sliding Window System</v>
      </c>
      <c r="D23" s="56" t="str">
        <f aca="false">IF('01 Aluminium'!$C$25="","",'01 Aluminium'!C25)</f>
        <v>Sliding window outer frame - 3 track</v>
      </c>
      <c r="E23" s="56" t="str">
        <f aca="false">IF('01 Aluminium'!$C$25="","",'01 Aluminium'!D25)</f>
        <v>Non-thermal (approx. 1.75 kg/m)</v>
      </c>
      <c r="F23" s="56" t="str">
        <f aca="false">IF('01 Aluminium'!$C$25="","",'01 Aluminium'!E25)</f>
        <v>Powder coated</v>
      </c>
      <c r="G23" s="56" t="str">
        <f aca="false">IF('01 Aluminium'!$C$25="","",'01 Aluminium'!F25)</f>
        <v>Gulf Extrusions / Equiv.</v>
      </c>
      <c r="H23" s="57" t="str">
        <f aca="false">IF('01 Aluminium'!$C$25="","",'01 Aluminium'!G25)</f>
        <v>lm</v>
      </c>
      <c r="I23" s="58" t="n">
        <f aca="false">IF('01 Aluminium'!$C$25="","",'01 Aluminium'!J25)</f>
        <v>34</v>
      </c>
      <c r="J23" s="58" t="n">
        <f aca="false">IF('01 Aluminium'!$C$25="","",'01 Aluminium'!K25)</f>
        <v>40.8</v>
      </c>
      <c r="K23" s="58" t="n">
        <f aca="false">IF('01 Aluminium'!$C$25="","",'01 Aluminium'!L25)</f>
        <v>42.84</v>
      </c>
      <c r="L23" s="57" t="str">
        <f aca="false">IF('01 Aluminium'!$C$25="","",'01 Aluminium'!M25)</f>
        <v>Indicative</v>
      </c>
      <c r="M23" s="59" t="str">
        <f aca="false">IF(D23="","",IF(AND(OR(Search!$C$6="All Categories",A23=Search!$C$6),OR(Search!$P$5="",ISNUMBER(SEARCH(" "&amp;Search!$P$5,N23))),OR(Search!$P$6="",ISNUMBER(SEARCH(" "&amp;Search!$P$6,N23))),OR(Search!$P$7="",ISNUMBER(SEARCH(" "&amp;Search!$P$7,N23))),OR(Search!$P$8="",ISNUMBER(SEARCH(" "&amp;Search!$P$8,N23))),OR(Search!$P$9="",ISNUMBER(SEARCH(" "&amp;Search!$P$9,N23))),OR(Search!$P$10="",ISNUMBER(SEARCH(" "&amp;Search!$P$10,N23)))),ROW(),""))</f>
        <v/>
      </c>
      <c r="N23" s="0" t="str">
        <f aca="false">IF(D23="",""," "&amp;SUBSTITUTE(SUBSTITUTE(SUBSTITUTE(SUBSTITUTE(SUBSTITUTE(SUBSTITUTE(SUBSTITUTE(B23&amp;" "&amp;C23&amp;" "&amp;D23&amp;" "&amp;E23&amp;" "&amp;F23&amp;" "&amp;G23&amp;" "&amp;H23&amp;" "&amp;'01 Aluminium'!R25,"("," "),")"," "),"/"," "),"-"," "),","," "),";"," "),":"," ")&amp;" ")</f>
        <v> AL 021 Sliding Window System Sliding window outer frame   3 track Non thermal  approx. 1.75 kg m  Powder coated Gulf Extrusions   Equiv. lm pc </v>
      </c>
    </row>
    <row r="24" customFormat="false" ht="15" hidden="false" customHeight="false" outlineLevel="0" collapsed="false">
      <c r="A24" s="56" t="str">
        <f aca="false">IF('01 Aluminium'!$C$26="","","Aluminium Profiles &amp; Systems")</f>
        <v>Aluminium Profiles &amp; Systems</v>
      </c>
      <c r="B24" s="57" t="str">
        <f aca="false">IF('01 Aluminium'!$C$26="","",'01 Aluminium'!A26)</f>
        <v>AL-022</v>
      </c>
      <c r="C24" s="56" t="str">
        <f aca="false">IF('01 Aluminium'!$C$26="","",'01 Aluminium'!B26)</f>
        <v>Sliding Window System</v>
      </c>
      <c r="D24" s="56" t="str">
        <f aca="false">IF('01 Aluminium'!$C$26="","",'01 Aluminium'!C26)</f>
        <v>Sliding sash profile</v>
      </c>
      <c r="E24" s="56" t="str">
        <f aca="false">IF('01 Aluminium'!$C$26="","",'01 Aluminium'!D26)</f>
        <v>Approx. 0.95 kg/m</v>
      </c>
      <c r="F24" s="56" t="str">
        <f aca="false">IF('01 Aluminium'!$C$26="","",'01 Aluminium'!E26)</f>
        <v>Powder coated</v>
      </c>
      <c r="G24" s="56" t="str">
        <f aca="false">IF('01 Aluminium'!$C$26="","",'01 Aluminium'!F26)</f>
        <v>Gulf Extrusions / Equiv.</v>
      </c>
      <c r="H24" s="57" t="str">
        <f aca="false">IF('01 Aluminium'!$C$26="","",'01 Aluminium'!G26)</f>
        <v>lm</v>
      </c>
      <c r="I24" s="58" t="n">
        <f aca="false">IF('01 Aluminium'!$C$26="","",'01 Aluminium'!J26)</f>
        <v>18.46</v>
      </c>
      <c r="J24" s="58" t="n">
        <f aca="false">IF('01 Aluminium'!$C$26="","",'01 Aluminium'!K26)</f>
        <v>22.15</v>
      </c>
      <c r="K24" s="58" t="n">
        <f aca="false">IF('01 Aluminium'!$C$26="","",'01 Aluminium'!L26)</f>
        <v>23.26</v>
      </c>
      <c r="L24" s="57" t="str">
        <f aca="false">IF('01 Aluminium'!$C$26="","",'01 Aluminium'!M26)</f>
        <v>Indicative</v>
      </c>
      <c r="M24" s="59" t="str">
        <f aca="false">IF(D24="","",IF(AND(OR(Search!$C$6="All Categories",A24=Search!$C$6),OR(Search!$P$5="",ISNUMBER(SEARCH(" "&amp;Search!$P$5,N24))),OR(Search!$P$6="",ISNUMBER(SEARCH(" "&amp;Search!$P$6,N24))),OR(Search!$P$7="",ISNUMBER(SEARCH(" "&amp;Search!$P$7,N24))),OR(Search!$P$8="",ISNUMBER(SEARCH(" "&amp;Search!$P$8,N24))),OR(Search!$P$9="",ISNUMBER(SEARCH(" "&amp;Search!$P$9,N24))),OR(Search!$P$10="",ISNUMBER(SEARCH(" "&amp;Search!$P$10,N24)))),ROW(),""))</f>
        <v/>
      </c>
      <c r="N24" s="0" t="str">
        <f aca="false">IF(D24="",""," "&amp;SUBSTITUTE(SUBSTITUTE(SUBSTITUTE(SUBSTITUTE(SUBSTITUTE(SUBSTITUTE(SUBSTITUTE(B24&amp;" "&amp;C24&amp;" "&amp;D24&amp;" "&amp;E24&amp;" "&amp;F24&amp;" "&amp;G24&amp;" "&amp;H24&amp;" "&amp;'01 Aluminium'!R26,"("," "),")"," "),"/"," "),"-"," "),","," "),";"," "),":"," ")&amp;" ")</f>
        <v> AL 022 Sliding Window System Sliding sash profile Approx. 0.95 kg m Powder coated Gulf Extrusions   Equiv. lm pc </v>
      </c>
    </row>
    <row r="25" customFormat="false" ht="15" hidden="false" customHeight="false" outlineLevel="0" collapsed="false">
      <c r="A25" s="56" t="str">
        <f aca="false">IF('01 Aluminium'!$C$27="","","Aluminium Profiles &amp; Systems")</f>
        <v>Aluminium Profiles &amp; Systems</v>
      </c>
      <c r="B25" s="57" t="str">
        <f aca="false">IF('01 Aluminium'!$C$27="","",'01 Aluminium'!A27)</f>
        <v>AL-023</v>
      </c>
      <c r="C25" s="56" t="str">
        <f aca="false">IF('01 Aluminium'!$C$27="","",'01 Aluminium'!B27)</f>
        <v>Sliding Window System</v>
      </c>
      <c r="D25" s="56" t="str">
        <f aca="false">IF('01 Aluminium'!$C$27="","",'01 Aluminium'!C27)</f>
        <v>Sliding interlock profile</v>
      </c>
      <c r="E25" s="56" t="str">
        <f aca="false">IF('01 Aluminium'!$C$27="","",'01 Aluminium'!D27)</f>
        <v>Approx. 0.75 kg/m</v>
      </c>
      <c r="F25" s="56" t="str">
        <f aca="false">IF('01 Aluminium'!$C$27="","",'01 Aluminium'!E27)</f>
        <v>Powder coated</v>
      </c>
      <c r="G25" s="56" t="str">
        <f aca="false">IF('01 Aluminium'!$C$27="","",'01 Aluminium'!F27)</f>
        <v>Gulf Extrusions / Equiv.</v>
      </c>
      <c r="H25" s="57" t="str">
        <f aca="false">IF('01 Aluminium'!$C$27="","",'01 Aluminium'!G27)</f>
        <v>lm</v>
      </c>
      <c r="I25" s="58" t="n">
        <f aca="false">IF('01 Aluminium'!$C$27="","",'01 Aluminium'!J27)</f>
        <v>14.57</v>
      </c>
      <c r="J25" s="58" t="n">
        <f aca="false">IF('01 Aluminium'!$C$27="","",'01 Aluminium'!K27)</f>
        <v>17.48</v>
      </c>
      <c r="K25" s="58" t="n">
        <f aca="false">IF('01 Aluminium'!$C$27="","",'01 Aluminium'!L27)</f>
        <v>18.35</v>
      </c>
      <c r="L25" s="57" t="str">
        <f aca="false">IF('01 Aluminium'!$C$27="","",'01 Aluminium'!M27)</f>
        <v>Indicative</v>
      </c>
      <c r="M25" s="59" t="str">
        <f aca="false">IF(D25="","",IF(AND(OR(Search!$C$6="All Categories",A25=Search!$C$6),OR(Search!$P$5="",ISNUMBER(SEARCH(" "&amp;Search!$P$5,N25))),OR(Search!$P$6="",ISNUMBER(SEARCH(" "&amp;Search!$P$6,N25))),OR(Search!$P$7="",ISNUMBER(SEARCH(" "&amp;Search!$P$7,N25))),OR(Search!$P$8="",ISNUMBER(SEARCH(" "&amp;Search!$P$8,N25))),OR(Search!$P$9="",ISNUMBER(SEARCH(" "&amp;Search!$P$9,N25))),OR(Search!$P$10="",ISNUMBER(SEARCH(" "&amp;Search!$P$10,N25)))),ROW(),""))</f>
        <v/>
      </c>
      <c r="N25" s="0" t="str">
        <f aca="false">IF(D25="",""," "&amp;SUBSTITUTE(SUBSTITUTE(SUBSTITUTE(SUBSTITUTE(SUBSTITUTE(SUBSTITUTE(SUBSTITUTE(B25&amp;" "&amp;C25&amp;" "&amp;D25&amp;" "&amp;E25&amp;" "&amp;F25&amp;" "&amp;G25&amp;" "&amp;H25&amp;" "&amp;'01 Aluminium'!R27,"("," "),")"," "),"/"," "),"-"," "),","," "),";"," "),":"," ")&amp;" ")</f>
        <v> AL 023 Sliding Window System Sliding interlock profile Approx. 0.75 kg m Powder coated Gulf Extrusions   Equiv. lm pc </v>
      </c>
    </row>
    <row r="26" customFormat="false" ht="15" hidden="false" customHeight="false" outlineLevel="0" collapsed="false">
      <c r="A26" s="56" t="str">
        <f aca="false">IF('01 Aluminium'!$C$28="","","Aluminium Profiles &amp; Systems")</f>
        <v>Aluminium Profiles &amp; Systems</v>
      </c>
      <c r="B26" s="57" t="str">
        <f aca="false">IF('01 Aluminium'!$C$28="","",'01 Aluminium'!A28)</f>
        <v>AL-024</v>
      </c>
      <c r="C26" s="56" t="str">
        <f aca="false">IF('01 Aluminium'!$C$28="","",'01 Aluminium'!B28)</f>
        <v>Sliding Window System</v>
      </c>
      <c r="D26" s="56" t="str">
        <f aca="false">IF('01 Aluminium'!$C$28="","",'01 Aluminium'!C28)</f>
        <v>Thermal-break sliding frame</v>
      </c>
      <c r="E26" s="56" t="str">
        <f aca="false">IF('01 Aluminium'!$C$28="","",'01 Aluminium'!D28)</f>
        <v>Approx. 2.40 kg/m</v>
      </c>
      <c r="F26" s="56" t="str">
        <f aca="false">IF('01 Aluminium'!$C$28="","",'01 Aluminium'!E28)</f>
        <v>Powder coated</v>
      </c>
      <c r="G26" s="56" t="str">
        <f aca="false">IF('01 Aluminium'!$C$28="","",'01 Aluminium'!F28)</f>
        <v>Gulf Extrusions / Equiv.</v>
      </c>
      <c r="H26" s="57" t="str">
        <f aca="false">IF('01 Aluminium'!$C$28="","",'01 Aluminium'!G28)</f>
        <v>lm</v>
      </c>
      <c r="I26" s="58" t="n">
        <f aca="false">IF('01 Aluminium'!$C$28="","",'01 Aluminium'!J28)</f>
        <v>61.74</v>
      </c>
      <c r="J26" s="58" t="n">
        <f aca="false">IF('01 Aluminium'!$C$28="","",'01 Aluminium'!K28)</f>
        <v>74.09</v>
      </c>
      <c r="K26" s="58" t="n">
        <f aca="false">IF('01 Aluminium'!$C$28="","",'01 Aluminium'!L28)</f>
        <v>77.79</v>
      </c>
      <c r="L26" s="57" t="str">
        <f aca="false">IF('01 Aluminium'!$C$28="","",'01 Aluminium'!M28)</f>
        <v>Indicative</v>
      </c>
      <c r="M26" s="59" t="str">
        <f aca="false">IF(D26="","",IF(AND(OR(Search!$C$6="All Categories",A26=Search!$C$6),OR(Search!$P$5="",ISNUMBER(SEARCH(" "&amp;Search!$P$5,N26))),OR(Search!$P$6="",ISNUMBER(SEARCH(" "&amp;Search!$P$6,N26))),OR(Search!$P$7="",ISNUMBER(SEARCH(" "&amp;Search!$P$7,N26))),OR(Search!$P$8="",ISNUMBER(SEARCH(" "&amp;Search!$P$8,N26))),OR(Search!$P$9="",ISNUMBER(SEARCH(" "&amp;Search!$P$9,N26))),OR(Search!$P$10="",ISNUMBER(SEARCH(" "&amp;Search!$P$10,N26)))),ROW(),""))</f>
        <v/>
      </c>
      <c r="N26" s="0" t="str">
        <f aca="false">IF(D26="",""," "&amp;SUBSTITUTE(SUBSTITUTE(SUBSTITUTE(SUBSTITUTE(SUBSTITUTE(SUBSTITUTE(SUBSTITUTE(B26&amp;" "&amp;C26&amp;" "&amp;D26&amp;" "&amp;E26&amp;" "&amp;F26&amp;" "&amp;G26&amp;" "&amp;H26&amp;" "&amp;'01 Aluminium'!R28,"("," "),")"," "),"/"," "),"-"," "),","," "),";"," "),":"," ")&amp;" ")</f>
        <v> AL 024 Sliding Window System Thermal break sliding frame Approx. 2.40 kg m Powder coated Gulf Extrusions   Equiv. lm pc </v>
      </c>
    </row>
    <row r="27" customFormat="false" ht="15" hidden="false" customHeight="false" outlineLevel="0" collapsed="false">
      <c r="A27" s="56" t="str">
        <f aca="false">IF('01 Aluminium'!$C$29="","","Aluminium Profiles &amp; Systems")</f>
        <v>Aluminium Profiles &amp; Systems</v>
      </c>
      <c r="B27" s="57" t="str">
        <f aca="false">IF('01 Aluminium'!$C$29="","",'01 Aluminium'!A29)</f>
        <v>AL-025</v>
      </c>
      <c r="C27" s="56" t="str">
        <f aca="false">IF('01 Aluminium'!$C$29="","",'01 Aluminium'!B29)</f>
        <v>Sliding Window System</v>
      </c>
      <c r="D27" s="56" t="str">
        <f aca="false">IF('01 Aluminium'!$C$29="","",'01 Aluminium'!C29)</f>
        <v>Lift &amp; slide door frame (TB)</v>
      </c>
      <c r="E27" s="56" t="str">
        <f aca="false">IF('01 Aluminium'!$C$29="","",'01 Aluminium'!D29)</f>
        <v>Approx. 3.80 kg/m</v>
      </c>
      <c r="F27" s="56" t="str">
        <f aca="false">IF('01 Aluminium'!$C$29="","",'01 Aluminium'!E29)</f>
        <v>Powder coated</v>
      </c>
      <c r="G27" s="56" t="str">
        <f aca="false">IF('01 Aluminium'!$C$29="","",'01 Aluminium'!F29)</f>
        <v>Gulf Extrusions / Equiv.</v>
      </c>
      <c r="H27" s="57" t="str">
        <f aca="false">IF('01 Aluminium'!$C$29="","",'01 Aluminium'!G29)</f>
        <v>lm</v>
      </c>
      <c r="I27" s="58" t="n">
        <f aca="false">IF('01 Aluminium'!$C$29="","",'01 Aluminium'!J29)</f>
        <v>97.76</v>
      </c>
      <c r="J27" s="58" t="n">
        <f aca="false">IF('01 Aluminium'!$C$29="","",'01 Aluminium'!K29)</f>
        <v>117.31</v>
      </c>
      <c r="K27" s="58" t="n">
        <f aca="false">IF('01 Aluminium'!$C$29="","",'01 Aluminium'!L29)</f>
        <v>123.18</v>
      </c>
      <c r="L27" s="57" t="str">
        <f aca="false">IF('01 Aluminium'!$C$29="","",'01 Aluminium'!M29)</f>
        <v>Indicative</v>
      </c>
      <c r="M27" s="59" t="str">
        <f aca="false">IF(D27="","",IF(AND(OR(Search!$C$6="All Categories",A27=Search!$C$6),OR(Search!$P$5="",ISNUMBER(SEARCH(" "&amp;Search!$P$5,N27))),OR(Search!$P$6="",ISNUMBER(SEARCH(" "&amp;Search!$P$6,N27))),OR(Search!$P$7="",ISNUMBER(SEARCH(" "&amp;Search!$P$7,N27))),OR(Search!$P$8="",ISNUMBER(SEARCH(" "&amp;Search!$P$8,N27))),OR(Search!$P$9="",ISNUMBER(SEARCH(" "&amp;Search!$P$9,N27))),OR(Search!$P$10="",ISNUMBER(SEARCH(" "&amp;Search!$P$10,N27)))),ROW(),""))</f>
        <v/>
      </c>
      <c r="N27" s="0" t="str">
        <f aca="false">IF(D27="",""," "&amp;SUBSTITUTE(SUBSTITUTE(SUBSTITUTE(SUBSTITUTE(SUBSTITUTE(SUBSTITUTE(SUBSTITUTE(B27&amp;" "&amp;C27&amp;" "&amp;D27&amp;" "&amp;E27&amp;" "&amp;F27&amp;" "&amp;G27&amp;" "&amp;H27&amp;" "&amp;'01 Aluminium'!R29,"("," "),")"," "),"/"," "),"-"," "),","," "),";"," "),":"," ")&amp;" ")</f>
        <v> AL 025 Sliding Window System Lift &amp; slide door frame  TB  Approx. 3.80 kg m Powder coated Gulf Extrusions   Equiv. lm pc </v>
      </c>
    </row>
    <row r="28" customFormat="false" ht="15" hidden="false" customHeight="false" outlineLevel="0" collapsed="false">
      <c r="A28" s="56" t="str">
        <f aca="false">IF('01 Aluminium'!$C$30="","","Aluminium Profiles &amp; Systems")</f>
        <v>Aluminium Profiles &amp; Systems</v>
      </c>
      <c r="B28" s="57" t="str">
        <f aca="false">IF('01 Aluminium'!$C$30="","",'01 Aluminium'!A30)</f>
        <v>AL-026</v>
      </c>
      <c r="C28" s="56" t="str">
        <f aca="false">IF('01 Aluminium'!$C$30="","",'01 Aluminium'!B30)</f>
        <v>Casement / Hinged System</v>
      </c>
      <c r="D28" s="56" t="str">
        <f aca="false">IF('01 Aluminium'!$C$30="","",'01 Aluminium'!C30)</f>
        <v>Casement window frame</v>
      </c>
      <c r="E28" s="56" t="str">
        <f aca="false">IF('01 Aluminium'!$C$30="","",'01 Aluminium'!D30)</f>
        <v>Approx. 0.95 kg/m</v>
      </c>
      <c r="F28" s="56" t="str">
        <f aca="false">IF('01 Aluminium'!$C$30="","",'01 Aluminium'!E30)</f>
        <v>Powder coated</v>
      </c>
      <c r="G28" s="56" t="str">
        <f aca="false">IF('01 Aluminium'!$C$30="","",'01 Aluminium'!F30)</f>
        <v>Gulf Extrusions / Equiv.</v>
      </c>
      <c r="H28" s="57" t="str">
        <f aca="false">IF('01 Aluminium'!$C$30="","",'01 Aluminium'!G30)</f>
        <v>lm</v>
      </c>
      <c r="I28" s="58" t="n">
        <f aca="false">IF('01 Aluminium'!$C$30="","",'01 Aluminium'!J30)</f>
        <v>18.46</v>
      </c>
      <c r="J28" s="58" t="n">
        <f aca="false">IF('01 Aluminium'!$C$30="","",'01 Aluminium'!K30)</f>
        <v>22.15</v>
      </c>
      <c r="K28" s="58" t="n">
        <f aca="false">IF('01 Aluminium'!$C$30="","",'01 Aluminium'!L30)</f>
        <v>23.26</v>
      </c>
      <c r="L28" s="57" t="str">
        <f aca="false">IF('01 Aluminium'!$C$30="","",'01 Aluminium'!M30)</f>
        <v>Indicative</v>
      </c>
      <c r="M28" s="59" t="str">
        <f aca="false">IF(D28="","",IF(AND(OR(Search!$C$6="All Categories",A28=Search!$C$6),OR(Search!$P$5="",ISNUMBER(SEARCH(" "&amp;Search!$P$5,N28))),OR(Search!$P$6="",ISNUMBER(SEARCH(" "&amp;Search!$P$6,N28))),OR(Search!$P$7="",ISNUMBER(SEARCH(" "&amp;Search!$P$7,N28))),OR(Search!$P$8="",ISNUMBER(SEARCH(" "&amp;Search!$P$8,N28))),OR(Search!$P$9="",ISNUMBER(SEARCH(" "&amp;Search!$P$9,N28))),OR(Search!$P$10="",ISNUMBER(SEARCH(" "&amp;Search!$P$10,N28)))),ROW(),""))</f>
        <v/>
      </c>
      <c r="N28" s="0" t="str">
        <f aca="false">IF(D28="",""," "&amp;SUBSTITUTE(SUBSTITUTE(SUBSTITUTE(SUBSTITUTE(SUBSTITUTE(SUBSTITUTE(SUBSTITUTE(B28&amp;" "&amp;C28&amp;" "&amp;D28&amp;" "&amp;E28&amp;" "&amp;F28&amp;" "&amp;G28&amp;" "&amp;H28&amp;" "&amp;'01 Aluminium'!R30,"("," "),")"," "),"/"," "),"-"," "),","," "),";"," "),":"," ")&amp;" ")</f>
        <v> AL 026 Casement   Hinged System Casement window frame Approx. 0.95 kg m Powder coated Gulf Extrusions   Equiv. lm pc </v>
      </c>
    </row>
    <row r="29" customFormat="false" ht="15" hidden="false" customHeight="false" outlineLevel="0" collapsed="false">
      <c r="A29" s="56" t="str">
        <f aca="false">IF('01 Aluminium'!$C$31="","","Aluminium Profiles &amp; Systems")</f>
        <v>Aluminium Profiles &amp; Systems</v>
      </c>
      <c r="B29" s="57" t="str">
        <f aca="false">IF('01 Aluminium'!$C$31="","",'01 Aluminium'!A31)</f>
        <v>AL-027</v>
      </c>
      <c r="C29" s="56" t="str">
        <f aca="false">IF('01 Aluminium'!$C$31="","",'01 Aluminium'!B31)</f>
        <v>Casement / Hinged System</v>
      </c>
      <c r="D29" s="56" t="str">
        <f aca="false">IF('01 Aluminium'!$C$31="","",'01 Aluminium'!C31)</f>
        <v>Casement window sash</v>
      </c>
      <c r="E29" s="56" t="str">
        <f aca="false">IF('01 Aluminium'!$C$31="","",'01 Aluminium'!D31)</f>
        <v>Approx. 1.05 kg/m</v>
      </c>
      <c r="F29" s="56" t="str">
        <f aca="false">IF('01 Aluminium'!$C$31="","",'01 Aluminium'!E31)</f>
        <v>Powder coated</v>
      </c>
      <c r="G29" s="56" t="str">
        <f aca="false">IF('01 Aluminium'!$C$31="","",'01 Aluminium'!F31)</f>
        <v>Gulf Extrusions / Equiv.</v>
      </c>
      <c r="H29" s="57" t="str">
        <f aca="false">IF('01 Aluminium'!$C$31="","",'01 Aluminium'!G31)</f>
        <v>lm</v>
      </c>
      <c r="I29" s="58" t="n">
        <f aca="false">IF('01 Aluminium'!$C$31="","",'01 Aluminium'!J31)</f>
        <v>20.4</v>
      </c>
      <c r="J29" s="58" t="n">
        <f aca="false">IF('01 Aluminium'!$C$31="","",'01 Aluminium'!K31)</f>
        <v>24.48</v>
      </c>
      <c r="K29" s="58" t="n">
        <f aca="false">IF('01 Aluminium'!$C$31="","",'01 Aluminium'!L31)</f>
        <v>25.7</v>
      </c>
      <c r="L29" s="57" t="str">
        <f aca="false">IF('01 Aluminium'!$C$31="","",'01 Aluminium'!M31)</f>
        <v>Indicative</v>
      </c>
      <c r="M29" s="59" t="str">
        <f aca="false">IF(D29="","",IF(AND(OR(Search!$C$6="All Categories",A29=Search!$C$6),OR(Search!$P$5="",ISNUMBER(SEARCH(" "&amp;Search!$P$5,N29))),OR(Search!$P$6="",ISNUMBER(SEARCH(" "&amp;Search!$P$6,N29))),OR(Search!$P$7="",ISNUMBER(SEARCH(" "&amp;Search!$P$7,N29))),OR(Search!$P$8="",ISNUMBER(SEARCH(" "&amp;Search!$P$8,N29))),OR(Search!$P$9="",ISNUMBER(SEARCH(" "&amp;Search!$P$9,N29))),OR(Search!$P$10="",ISNUMBER(SEARCH(" "&amp;Search!$P$10,N29)))),ROW(),""))</f>
        <v/>
      </c>
      <c r="N29" s="0" t="str">
        <f aca="false">IF(D29="",""," "&amp;SUBSTITUTE(SUBSTITUTE(SUBSTITUTE(SUBSTITUTE(SUBSTITUTE(SUBSTITUTE(SUBSTITUTE(B29&amp;" "&amp;C29&amp;" "&amp;D29&amp;" "&amp;E29&amp;" "&amp;F29&amp;" "&amp;G29&amp;" "&amp;H29&amp;" "&amp;'01 Aluminium'!R31,"("," "),")"," "),"/"," "),"-"," "),","," "),";"," "),":"," ")&amp;" ")</f>
        <v> AL 027 Casement   Hinged System Casement window sash Approx. 1.05 kg m Powder coated Gulf Extrusions   Equiv. lm pc </v>
      </c>
    </row>
    <row r="30" customFormat="false" ht="15" hidden="false" customHeight="false" outlineLevel="0" collapsed="false">
      <c r="A30" s="56" t="str">
        <f aca="false">IF('01 Aluminium'!$C$32="","","Aluminium Profiles &amp; Systems")</f>
        <v>Aluminium Profiles &amp; Systems</v>
      </c>
      <c r="B30" s="57" t="str">
        <f aca="false">IF('01 Aluminium'!$C$32="","",'01 Aluminium'!A32)</f>
        <v>AL-028</v>
      </c>
      <c r="C30" s="56" t="str">
        <f aca="false">IF('01 Aluminium'!$C$32="","",'01 Aluminium'!B32)</f>
        <v>Casement / Hinged System</v>
      </c>
      <c r="D30" s="56" t="str">
        <f aca="false">IF('01 Aluminium'!$C$32="","",'01 Aluminium'!C32)</f>
        <v>Window mullion / transom</v>
      </c>
      <c r="E30" s="56" t="str">
        <f aca="false">IF('01 Aluminium'!$C$32="","",'01 Aluminium'!D32)</f>
        <v>Approx. 1.30 kg/m</v>
      </c>
      <c r="F30" s="56" t="str">
        <f aca="false">IF('01 Aluminium'!$C$32="","",'01 Aluminium'!E32)</f>
        <v>Powder coated</v>
      </c>
      <c r="G30" s="56" t="str">
        <f aca="false">IF('01 Aluminium'!$C$32="","",'01 Aluminium'!F32)</f>
        <v>Gulf Extrusions / Equiv.</v>
      </c>
      <c r="H30" s="57" t="str">
        <f aca="false">IF('01 Aluminium'!$C$32="","",'01 Aluminium'!G32)</f>
        <v>lm</v>
      </c>
      <c r="I30" s="58" t="n">
        <f aca="false">IF('01 Aluminium'!$C$32="","",'01 Aluminium'!J32)</f>
        <v>25.25</v>
      </c>
      <c r="J30" s="58" t="n">
        <f aca="false">IF('01 Aluminium'!$C$32="","",'01 Aluminium'!K32)</f>
        <v>30.3</v>
      </c>
      <c r="K30" s="58" t="n">
        <f aca="false">IF('01 Aluminium'!$C$32="","",'01 Aluminium'!L32)</f>
        <v>31.82</v>
      </c>
      <c r="L30" s="57" t="str">
        <f aca="false">IF('01 Aluminium'!$C$32="","",'01 Aluminium'!M32)</f>
        <v>Indicative</v>
      </c>
      <c r="M30" s="59" t="str">
        <f aca="false">IF(D30="","",IF(AND(OR(Search!$C$6="All Categories",A30=Search!$C$6),OR(Search!$P$5="",ISNUMBER(SEARCH(" "&amp;Search!$P$5,N30))),OR(Search!$P$6="",ISNUMBER(SEARCH(" "&amp;Search!$P$6,N30))),OR(Search!$P$7="",ISNUMBER(SEARCH(" "&amp;Search!$P$7,N30))),OR(Search!$P$8="",ISNUMBER(SEARCH(" "&amp;Search!$P$8,N30))),OR(Search!$P$9="",ISNUMBER(SEARCH(" "&amp;Search!$P$9,N30))),OR(Search!$P$10="",ISNUMBER(SEARCH(" "&amp;Search!$P$10,N30)))),ROW(),""))</f>
        <v/>
      </c>
      <c r="N30" s="0" t="str">
        <f aca="false">IF(D30="",""," "&amp;SUBSTITUTE(SUBSTITUTE(SUBSTITUTE(SUBSTITUTE(SUBSTITUTE(SUBSTITUTE(SUBSTITUTE(B30&amp;" "&amp;C30&amp;" "&amp;D30&amp;" "&amp;E30&amp;" "&amp;F30&amp;" "&amp;G30&amp;" "&amp;H30&amp;" "&amp;'01 Aluminium'!R32,"("," "),")"," "),"/"," "),"-"," "),","," "),";"," "),":"," ")&amp;" ")</f>
        <v> AL 028 Casement   Hinged System Window mullion   transom Approx. 1.30 kg m Powder coated Gulf Extrusions   Equiv. lm pc </v>
      </c>
    </row>
    <row r="31" customFormat="false" ht="15" hidden="false" customHeight="false" outlineLevel="0" collapsed="false">
      <c r="A31" s="56" t="str">
        <f aca="false">IF('01 Aluminium'!$C$33="","","Aluminium Profiles &amp; Systems")</f>
        <v>Aluminium Profiles &amp; Systems</v>
      </c>
      <c r="B31" s="57" t="str">
        <f aca="false">IF('01 Aluminium'!$C$33="","",'01 Aluminium'!A33)</f>
        <v>AL-029</v>
      </c>
      <c r="C31" s="56" t="str">
        <f aca="false">IF('01 Aluminium'!$C$33="","",'01 Aluminium'!B33)</f>
        <v>Casement / Hinged System</v>
      </c>
      <c r="D31" s="56" t="str">
        <f aca="false">IF('01 Aluminium'!$C$33="","",'01 Aluminium'!C33)</f>
        <v>Thermal-break casement frame</v>
      </c>
      <c r="E31" s="56" t="str">
        <f aca="false">IF('01 Aluminium'!$C$33="","",'01 Aluminium'!D33)</f>
        <v>Approx. 1.50 kg/m</v>
      </c>
      <c r="F31" s="56" t="str">
        <f aca="false">IF('01 Aluminium'!$C$33="","",'01 Aluminium'!E33)</f>
        <v>Powder coated</v>
      </c>
      <c r="G31" s="56" t="str">
        <f aca="false">IF('01 Aluminium'!$C$33="","",'01 Aluminium'!F33)</f>
        <v>Gulf Extrusions / Equiv.</v>
      </c>
      <c r="H31" s="57" t="str">
        <f aca="false">IF('01 Aluminium'!$C$33="","",'01 Aluminium'!G33)</f>
        <v>lm</v>
      </c>
      <c r="I31" s="58" t="n">
        <f aca="false">IF('01 Aluminium'!$C$33="","",'01 Aluminium'!J33)</f>
        <v>38.59</v>
      </c>
      <c r="J31" s="58" t="n">
        <f aca="false">IF('01 Aluminium'!$C$33="","",'01 Aluminium'!K33)</f>
        <v>46.31</v>
      </c>
      <c r="K31" s="58" t="n">
        <f aca="false">IF('01 Aluminium'!$C$33="","",'01 Aluminium'!L33)</f>
        <v>48.63</v>
      </c>
      <c r="L31" s="57" t="str">
        <f aca="false">IF('01 Aluminium'!$C$33="","",'01 Aluminium'!M33)</f>
        <v>Indicative</v>
      </c>
      <c r="M31" s="59" t="str">
        <f aca="false">IF(D31="","",IF(AND(OR(Search!$C$6="All Categories",A31=Search!$C$6),OR(Search!$P$5="",ISNUMBER(SEARCH(" "&amp;Search!$P$5,N31))),OR(Search!$P$6="",ISNUMBER(SEARCH(" "&amp;Search!$P$6,N31))),OR(Search!$P$7="",ISNUMBER(SEARCH(" "&amp;Search!$P$7,N31))),OR(Search!$P$8="",ISNUMBER(SEARCH(" "&amp;Search!$P$8,N31))),OR(Search!$P$9="",ISNUMBER(SEARCH(" "&amp;Search!$P$9,N31))),OR(Search!$P$10="",ISNUMBER(SEARCH(" "&amp;Search!$P$10,N31)))),ROW(),""))</f>
        <v/>
      </c>
      <c r="N31" s="0" t="str">
        <f aca="false">IF(D31="",""," "&amp;SUBSTITUTE(SUBSTITUTE(SUBSTITUTE(SUBSTITUTE(SUBSTITUTE(SUBSTITUTE(SUBSTITUTE(B31&amp;" "&amp;C31&amp;" "&amp;D31&amp;" "&amp;E31&amp;" "&amp;F31&amp;" "&amp;G31&amp;" "&amp;H31&amp;" "&amp;'01 Aluminium'!R33,"("," "),")"," "),"/"," "),"-"," "),","," "),";"," "),":"," ")&amp;" ")</f>
        <v> AL 029 Casement   Hinged System Thermal break casement frame Approx. 1.50 kg m Powder coated Gulf Extrusions   Equiv. lm pc </v>
      </c>
    </row>
    <row r="32" customFormat="false" ht="15" hidden="false" customHeight="false" outlineLevel="0" collapsed="false">
      <c r="A32" s="56" t="str">
        <f aca="false">IF('01 Aluminium'!$C$34="","","Aluminium Profiles &amp; Systems")</f>
        <v>Aluminium Profiles &amp; Systems</v>
      </c>
      <c r="B32" s="57" t="str">
        <f aca="false">IF('01 Aluminium'!$C$34="","",'01 Aluminium'!A34)</f>
        <v>AL-030</v>
      </c>
      <c r="C32" s="56" t="str">
        <f aca="false">IF('01 Aluminium'!$C$34="","",'01 Aluminium'!B34)</f>
        <v>Casement / Hinged System</v>
      </c>
      <c r="D32" s="56" t="str">
        <f aca="false">IF('01 Aluminium'!$C$34="","",'01 Aluminium'!C34)</f>
        <v>Hinged door frame</v>
      </c>
      <c r="E32" s="56" t="str">
        <f aca="false">IF('01 Aluminium'!$C$34="","",'01 Aluminium'!D34)</f>
        <v>Approx. 1.60 kg/m</v>
      </c>
      <c r="F32" s="56" t="str">
        <f aca="false">IF('01 Aluminium'!$C$34="","",'01 Aluminium'!E34)</f>
        <v>Powder coated</v>
      </c>
      <c r="G32" s="56" t="str">
        <f aca="false">IF('01 Aluminium'!$C$34="","",'01 Aluminium'!F34)</f>
        <v>Gulf Extrusions / Equiv.</v>
      </c>
      <c r="H32" s="57" t="str">
        <f aca="false">IF('01 Aluminium'!$C$34="","",'01 Aluminium'!G34)</f>
        <v>lm</v>
      </c>
      <c r="I32" s="58" t="n">
        <f aca="false">IF('01 Aluminium'!$C$34="","",'01 Aluminium'!J34)</f>
        <v>31.08</v>
      </c>
      <c r="J32" s="58" t="n">
        <f aca="false">IF('01 Aluminium'!$C$34="","",'01 Aluminium'!K34)</f>
        <v>37.3</v>
      </c>
      <c r="K32" s="58" t="n">
        <f aca="false">IF('01 Aluminium'!$C$34="","",'01 Aluminium'!L34)</f>
        <v>39.17</v>
      </c>
      <c r="L32" s="57" t="str">
        <f aca="false">IF('01 Aluminium'!$C$34="","",'01 Aluminium'!M34)</f>
        <v>Indicative</v>
      </c>
      <c r="M32" s="59" t="str">
        <f aca="false">IF(D32="","",IF(AND(OR(Search!$C$6="All Categories",A32=Search!$C$6),OR(Search!$P$5="",ISNUMBER(SEARCH(" "&amp;Search!$P$5,N32))),OR(Search!$P$6="",ISNUMBER(SEARCH(" "&amp;Search!$P$6,N32))),OR(Search!$P$7="",ISNUMBER(SEARCH(" "&amp;Search!$P$7,N32))),OR(Search!$P$8="",ISNUMBER(SEARCH(" "&amp;Search!$P$8,N32))),OR(Search!$P$9="",ISNUMBER(SEARCH(" "&amp;Search!$P$9,N32))),OR(Search!$P$10="",ISNUMBER(SEARCH(" "&amp;Search!$P$10,N32)))),ROW(),""))</f>
        <v/>
      </c>
      <c r="N32" s="0" t="str">
        <f aca="false">IF(D32="",""," "&amp;SUBSTITUTE(SUBSTITUTE(SUBSTITUTE(SUBSTITUTE(SUBSTITUTE(SUBSTITUTE(SUBSTITUTE(B32&amp;" "&amp;C32&amp;" "&amp;D32&amp;" "&amp;E32&amp;" "&amp;F32&amp;" "&amp;G32&amp;" "&amp;H32&amp;" "&amp;'01 Aluminium'!R34,"("," "),")"," "),"/"," "),"-"," "),","," "),";"," "),":"," ")&amp;" ")</f>
        <v> AL 030 Casement   Hinged System Hinged door frame Approx. 1.60 kg m Powder coated Gulf Extrusions   Equiv. lm pc </v>
      </c>
    </row>
    <row r="33" customFormat="false" ht="15" hidden="false" customHeight="false" outlineLevel="0" collapsed="false">
      <c r="A33" s="56" t="str">
        <f aca="false">IF('01 Aluminium'!$C$35="","","Aluminium Profiles &amp; Systems")</f>
        <v>Aluminium Profiles &amp; Systems</v>
      </c>
      <c r="B33" s="57" t="str">
        <f aca="false">IF('01 Aluminium'!$C$35="","",'01 Aluminium'!A35)</f>
        <v>AL-031</v>
      </c>
      <c r="C33" s="56" t="str">
        <f aca="false">IF('01 Aluminium'!$C$35="","",'01 Aluminium'!B35)</f>
        <v>Casement / Hinged System</v>
      </c>
      <c r="D33" s="56" t="str">
        <f aca="false">IF('01 Aluminium'!$C$35="","",'01 Aluminium'!C35)</f>
        <v>Hinged door leaf (stile)</v>
      </c>
      <c r="E33" s="56" t="str">
        <f aca="false">IF('01 Aluminium'!$C$35="","",'01 Aluminium'!D35)</f>
        <v>Approx. 2.10 kg/m</v>
      </c>
      <c r="F33" s="56" t="str">
        <f aca="false">IF('01 Aluminium'!$C$35="","",'01 Aluminium'!E35)</f>
        <v>Powder coated</v>
      </c>
      <c r="G33" s="56" t="str">
        <f aca="false">IF('01 Aluminium'!$C$35="","",'01 Aluminium'!F35)</f>
        <v>Gulf Extrusions / Equiv.</v>
      </c>
      <c r="H33" s="57" t="str">
        <f aca="false">IF('01 Aluminium'!$C$35="","",'01 Aluminium'!G35)</f>
        <v>lm</v>
      </c>
      <c r="I33" s="58" t="n">
        <f aca="false">IF('01 Aluminium'!$C$35="","",'01 Aluminium'!J35)</f>
        <v>40.79</v>
      </c>
      <c r="J33" s="58" t="n">
        <f aca="false">IF('01 Aluminium'!$C$35="","",'01 Aluminium'!K35)</f>
        <v>48.95</v>
      </c>
      <c r="K33" s="58" t="n">
        <f aca="false">IF('01 Aluminium'!$C$35="","",'01 Aluminium'!L35)</f>
        <v>51.4</v>
      </c>
      <c r="L33" s="57" t="str">
        <f aca="false">IF('01 Aluminium'!$C$35="","",'01 Aluminium'!M35)</f>
        <v>Indicative</v>
      </c>
      <c r="M33" s="59" t="str">
        <f aca="false">IF(D33="","",IF(AND(OR(Search!$C$6="All Categories",A33=Search!$C$6),OR(Search!$P$5="",ISNUMBER(SEARCH(" "&amp;Search!$P$5,N33))),OR(Search!$P$6="",ISNUMBER(SEARCH(" "&amp;Search!$P$6,N33))),OR(Search!$P$7="",ISNUMBER(SEARCH(" "&amp;Search!$P$7,N33))),OR(Search!$P$8="",ISNUMBER(SEARCH(" "&amp;Search!$P$8,N33))),OR(Search!$P$9="",ISNUMBER(SEARCH(" "&amp;Search!$P$9,N33))),OR(Search!$P$10="",ISNUMBER(SEARCH(" "&amp;Search!$P$10,N33)))),ROW(),""))</f>
        <v/>
      </c>
      <c r="N33" s="0" t="str">
        <f aca="false">IF(D33="",""," "&amp;SUBSTITUTE(SUBSTITUTE(SUBSTITUTE(SUBSTITUTE(SUBSTITUTE(SUBSTITUTE(SUBSTITUTE(B33&amp;" "&amp;C33&amp;" "&amp;D33&amp;" "&amp;E33&amp;" "&amp;F33&amp;" "&amp;G33&amp;" "&amp;H33&amp;" "&amp;'01 Aluminium'!R35,"("," "),")"," "),"/"," "),"-"," "),","," "),";"," "),":"," ")&amp;" ")</f>
        <v> AL 031 Casement   Hinged System Hinged door leaf  stile  Approx. 2.10 kg m Powder coated Gulf Extrusions   Equiv. lm pc </v>
      </c>
    </row>
    <row r="34" customFormat="false" ht="15" hidden="false" customHeight="false" outlineLevel="0" collapsed="false">
      <c r="A34" s="56" t="str">
        <f aca="false">IF('01 Aluminium'!$C$36="","","Aluminium Profiles &amp; Systems")</f>
        <v>Aluminium Profiles &amp; Systems</v>
      </c>
      <c r="B34" s="57" t="str">
        <f aca="false">IF('01 Aluminium'!$C$36="","",'01 Aluminium'!A36)</f>
        <v>AL-032</v>
      </c>
      <c r="C34" s="56" t="str">
        <f aca="false">IF('01 Aluminium'!$C$36="","",'01 Aluminium'!B36)</f>
        <v>Casement / Hinged System</v>
      </c>
      <c r="D34" s="56" t="str">
        <f aca="false">IF('01 Aluminium'!$C$36="","",'01 Aluminium'!C36)</f>
        <v>Door bottom rail (deep)</v>
      </c>
      <c r="E34" s="56" t="str">
        <f aca="false">IF('01 Aluminium'!$C$36="","",'01 Aluminium'!D36)</f>
        <v>Approx. 2.80 kg/m</v>
      </c>
      <c r="F34" s="56" t="str">
        <f aca="false">IF('01 Aluminium'!$C$36="","",'01 Aluminium'!E36)</f>
        <v>Powder coated</v>
      </c>
      <c r="G34" s="56" t="str">
        <f aca="false">IF('01 Aluminium'!$C$36="","",'01 Aluminium'!F36)</f>
        <v>Gulf Extrusions / Equiv.</v>
      </c>
      <c r="H34" s="57" t="str">
        <f aca="false">IF('01 Aluminium'!$C$36="","",'01 Aluminium'!G36)</f>
        <v>lm</v>
      </c>
      <c r="I34" s="58" t="n">
        <f aca="false">IF('01 Aluminium'!$C$36="","",'01 Aluminium'!J36)</f>
        <v>54.39</v>
      </c>
      <c r="J34" s="58" t="n">
        <f aca="false">IF('01 Aluminium'!$C$36="","",'01 Aluminium'!K36)</f>
        <v>65.27</v>
      </c>
      <c r="K34" s="58" t="n">
        <f aca="false">IF('01 Aluminium'!$C$36="","",'01 Aluminium'!L36)</f>
        <v>68.53</v>
      </c>
      <c r="L34" s="57" t="str">
        <f aca="false">IF('01 Aluminium'!$C$36="","",'01 Aluminium'!M36)</f>
        <v>Indicative</v>
      </c>
      <c r="M34" s="59" t="str">
        <f aca="false">IF(D34="","",IF(AND(OR(Search!$C$6="All Categories",A34=Search!$C$6),OR(Search!$P$5="",ISNUMBER(SEARCH(" "&amp;Search!$P$5,N34))),OR(Search!$P$6="",ISNUMBER(SEARCH(" "&amp;Search!$P$6,N34))),OR(Search!$P$7="",ISNUMBER(SEARCH(" "&amp;Search!$P$7,N34))),OR(Search!$P$8="",ISNUMBER(SEARCH(" "&amp;Search!$P$8,N34))),OR(Search!$P$9="",ISNUMBER(SEARCH(" "&amp;Search!$P$9,N34))),OR(Search!$P$10="",ISNUMBER(SEARCH(" "&amp;Search!$P$10,N34)))),ROW(),""))</f>
        <v/>
      </c>
      <c r="N34" s="0" t="str">
        <f aca="false">IF(D34="",""," "&amp;SUBSTITUTE(SUBSTITUTE(SUBSTITUTE(SUBSTITUTE(SUBSTITUTE(SUBSTITUTE(SUBSTITUTE(B34&amp;" "&amp;C34&amp;" "&amp;D34&amp;" "&amp;E34&amp;" "&amp;F34&amp;" "&amp;G34&amp;" "&amp;H34&amp;" "&amp;'01 Aluminium'!R36,"("," "),")"," "),"/"," "),"-"," "),","," "),";"," "),":"," ")&amp;" ")</f>
        <v> AL 032 Casement   Hinged System Door bottom rail  deep  Approx. 2.80 kg m Powder coated Gulf Extrusions   Equiv. lm pc </v>
      </c>
    </row>
    <row r="35" customFormat="false" ht="15" hidden="false" customHeight="false" outlineLevel="0" collapsed="false">
      <c r="A35" s="56" t="str">
        <f aca="false">IF('01 Aluminium'!$C$37="","","Aluminium Profiles &amp; Systems")</f>
        <v>Aluminium Profiles &amp; Systems</v>
      </c>
      <c r="B35" s="57" t="str">
        <f aca="false">IF('01 Aluminium'!$C$37="","",'01 Aluminium'!A37)</f>
        <v>AL-033</v>
      </c>
      <c r="C35" s="56" t="str">
        <f aca="false">IF('01 Aluminium'!$C$37="","",'01 Aluminium'!B37)</f>
        <v>Casement / Hinged System</v>
      </c>
      <c r="D35" s="56" t="str">
        <f aca="false">IF('01 Aluminium'!$C$37="","",'01 Aluminium'!C37)</f>
        <v>Glazing bead</v>
      </c>
      <c r="E35" s="56" t="str">
        <f aca="false">IF('01 Aluminium'!$C$37="","",'01 Aluminium'!D37)</f>
        <v>Approx. 0.25 kg/m</v>
      </c>
      <c r="F35" s="56" t="str">
        <f aca="false">IF('01 Aluminium'!$C$37="","",'01 Aluminium'!E37)</f>
        <v>Powder coated</v>
      </c>
      <c r="G35" s="56" t="str">
        <f aca="false">IF('01 Aluminium'!$C$37="","",'01 Aluminium'!F37)</f>
        <v>Gulf Extrusions / Equiv.</v>
      </c>
      <c r="H35" s="57" t="str">
        <f aca="false">IF('01 Aluminium'!$C$37="","",'01 Aluminium'!G37)</f>
        <v>lm</v>
      </c>
      <c r="I35" s="58" t="n">
        <f aca="false">IF('01 Aluminium'!$C$37="","",'01 Aluminium'!J37)</f>
        <v>4.86</v>
      </c>
      <c r="J35" s="58" t="n">
        <f aca="false">IF('01 Aluminium'!$C$37="","",'01 Aluminium'!K37)</f>
        <v>5.83</v>
      </c>
      <c r="K35" s="58" t="n">
        <f aca="false">IF('01 Aluminium'!$C$37="","",'01 Aluminium'!L37)</f>
        <v>6.12</v>
      </c>
      <c r="L35" s="57" t="str">
        <f aca="false">IF('01 Aluminium'!$C$37="","",'01 Aluminium'!M37)</f>
        <v>Indicative</v>
      </c>
      <c r="M35" s="59" t="str">
        <f aca="false">IF(D35="","",IF(AND(OR(Search!$C$6="All Categories",A35=Search!$C$6),OR(Search!$P$5="",ISNUMBER(SEARCH(" "&amp;Search!$P$5,N35))),OR(Search!$P$6="",ISNUMBER(SEARCH(" "&amp;Search!$P$6,N35))),OR(Search!$P$7="",ISNUMBER(SEARCH(" "&amp;Search!$P$7,N35))),OR(Search!$P$8="",ISNUMBER(SEARCH(" "&amp;Search!$P$8,N35))),OR(Search!$P$9="",ISNUMBER(SEARCH(" "&amp;Search!$P$9,N35))),OR(Search!$P$10="",ISNUMBER(SEARCH(" "&amp;Search!$P$10,N35)))),ROW(),""))</f>
        <v/>
      </c>
      <c r="N35" s="0" t="str">
        <f aca="false">IF(D35="",""," "&amp;SUBSTITUTE(SUBSTITUTE(SUBSTITUTE(SUBSTITUTE(SUBSTITUTE(SUBSTITUTE(SUBSTITUTE(B35&amp;" "&amp;C35&amp;" "&amp;D35&amp;" "&amp;E35&amp;" "&amp;F35&amp;" "&amp;G35&amp;" "&amp;H35&amp;" "&amp;'01 Aluminium'!R37,"("," "),")"," "),"/"," "),"-"," "),","," "),";"," "),":"," ")&amp;" ")</f>
        <v> AL 033 Casement   Hinged System Glazing bead Approx. 0.25 kg m Powder coated Gulf Extrusions   Equiv. lm pc </v>
      </c>
    </row>
    <row r="36" customFormat="false" ht="15" hidden="false" customHeight="false" outlineLevel="0" collapsed="false">
      <c r="A36" s="56" t="str">
        <f aca="false">IF('01 Aluminium'!$C$38="","","Aluminium Profiles &amp; Systems")</f>
        <v>Aluminium Profiles &amp; Systems</v>
      </c>
      <c r="B36" s="57" t="str">
        <f aca="false">IF('01 Aluminium'!$C$38="","",'01 Aluminium'!A38)</f>
        <v>AL-034</v>
      </c>
      <c r="C36" s="56" t="str">
        <f aca="false">IF('01 Aluminium'!$C$38="","",'01 Aluminium'!B38)</f>
        <v>Curtain Wall System</v>
      </c>
      <c r="D36" s="56" t="str">
        <f aca="false">IF('01 Aluminium'!$C$38="","",'01 Aluminium'!C38)</f>
        <v>Curtain wall mullion - 150 mm deep</v>
      </c>
      <c r="E36" s="56" t="str">
        <f aca="false">IF('01 Aluminium'!$C$38="","",'01 Aluminium'!D38)</f>
        <v>Stick system (approx. 3.80 kg/m)</v>
      </c>
      <c r="F36" s="56" t="str">
        <f aca="false">IF('01 Aluminium'!$C$38="","",'01 Aluminium'!E38)</f>
        <v>Powder coated</v>
      </c>
      <c r="G36" s="56" t="str">
        <f aca="false">IF('01 Aluminium'!$C$38="","",'01 Aluminium'!F38)</f>
        <v>Gulf Extrusions / Equiv.</v>
      </c>
      <c r="H36" s="57" t="str">
        <f aca="false">IF('01 Aluminium'!$C$38="","",'01 Aluminium'!G38)</f>
        <v>lm</v>
      </c>
      <c r="I36" s="58" t="n">
        <f aca="false">IF('01 Aluminium'!$C$38="","",'01 Aluminium'!J38)</f>
        <v>73.82</v>
      </c>
      <c r="J36" s="58" t="n">
        <f aca="false">IF('01 Aluminium'!$C$38="","",'01 Aluminium'!K38)</f>
        <v>88.58</v>
      </c>
      <c r="K36" s="58" t="n">
        <f aca="false">IF('01 Aluminium'!$C$38="","",'01 Aluminium'!L38)</f>
        <v>93.01</v>
      </c>
      <c r="L36" s="57" t="str">
        <f aca="false">IF('01 Aluminium'!$C$38="","",'01 Aluminium'!M38)</f>
        <v>Indicative</v>
      </c>
      <c r="M36" s="59" t="str">
        <f aca="false">IF(D36="","",IF(AND(OR(Search!$C$6="All Categories",A36=Search!$C$6),OR(Search!$P$5="",ISNUMBER(SEARCH(" "&amp;Search!$P$5,N36))),OR(Search!$P$6="",ISNUMBER(SEARCH(" "&amp;Search!$P$6,N36))),OR(Search!$P$7="",ISNUMBER(SEARCH(" "&amp;Search!$P$7,N36))),OR(Search!$P$8="",ISNUMBER(SEARCH(" "&amp;Search!$P$8,N36))),OR(Search!$P$9="",ISNUMBER(SEARCH(" "&amp;Search!$P$9,N36))),OR(Search!$P$10="",ISNUMBER(SEARCH(" "&amp;Search!$P$10,N36)))),ROW(),""))</f>
        <v/>
      </c>
      <c r="N36" s="0" t="str">
        <f aca="false">IF(D36="",""," "&amp;SUBSTITUTE(SUBSTITUTE(SUBSTITUTE(SUBSTITUTE(SUBSTITUTE(SUBSTITUTE(SUBSTITUTE(B36&amp;" "&amp;C36&amp;" "&amp;D36&amp;" "&amp;E36&amp;" "&amp;F36&amp;" "&amp;G36&amp;" "&amp;H36&amp;" "&amp;'01 Aluminium'!R38,"("," "),")"," "),"/"," "),"-"," "),","," "),";"," "),":"," ")&amp;" ")</f>
        <v> AL 034 Curtain Wall System Curtain wall mullion   150 mm deep Stick system  approx. 3.80 kg m  Powder coated Gulf Extrusions   Equiv. lm 150mm pc </v>
      </c>
    </row>
    <row r="37" customFormat="false" ht="15" hidden="false" customHeight="false" outlineLevel="0" collapsed="false">
      <c r="A37" s="56" t="str">
        <f aca="false">IF('01 Aluminium'!$C$39="","","Aluminium Profiles &amp; Systems")</f>
        <v>Aluminium Profiles &amp; Systems</v>
      </c>
      <c r="B37" s="57" t="str">
        <f aca="false">IF('01 Aluminium'!$C$39="","",'01 Aluminium'!A39)</f>
        <v>AL-035</v>
      </c>
      <c r="C37" s="56" t="str">
        <f aca="false">IF('01 Aluminium'!$C$39="","",'01 Aluminium'!B39)</f>
        <v>Curtain Wall System</v>
      </c>
      <c r="D37" s="56" t="str">
        <f aca="false">IF('01 Aluminium'!$C$39="","",'01 Aluminium'!C39)</f>
        <v>Curtain wall mullion - 180 mm deep</v>
      </c>
      <c r="E37" s="56" t="str">
        <f aca="false">IF('01 Aluminium'!$C$39="","",'01 Aluminium'!D39)</f>
        <v>Stick system (approx. 4.60 kg/m)</v>
      </c>
      <c r="F37" s="56" t="str">
        <f aca="false">IF('01 Aluminium'!$C$39="","",'01 Aluminium'!E39)</f>
        <v>Powder coated</v>
      </c>
      <c r="G37" s="56" t="str">
        <f aca="false">IF('01 Aluminium'!$C$39="","",'01 Aluminium'!F39)</f>
        <v>Gulf Extrusions / Equiv.</v>
      </c>
      <c r="H37" s="57" t="str">
        <f aca="false">IF('01 Aluminium'!$C$39="","",'01 Aluminium'!G39)</f>
        <v>lm</v>
      </c>
      <c r="I37" s="58" t="n">
        <f aca="false">IF('01 Aluminium'!$C$39="","",'01 Aluminium'!J39)</f>
        <v>89.36</v>
      </c>
      <c r="J37" s="58" t="n">
        <f aca="false">IF('01 Aluminium'!$C$39="","",'01 Aluminium'!K39)</f>
        <v>107.23</v>
      </c>
      <c r="K37" s="58" t="n">
        <f aca="false">IF('01 Aluminium'!$C$39="","",'01 Aluminium'!L39)</f>
        <v>112.59</v>
      </c>
      <c r="L37" s="57" t="str">
        <f aca="false">IF('01 Aluminium'!$C$39="","",'01 Aluminium'!M39)</f>
        <v>Indicative</v>
      </c>
      <c r="M37" s="59" t="str">
        <f aca="false">IF(D37="","",IF(AND(OR(Search!$C$6="All Categories",A37=Search!$C$6),OR(Search!$P$5="",ISNUMBER(SEARCH(" "&amp;Search!$P$5,N37))),OR(Search!$P$6="",ISNUMBER(SEARCH(" "&amp;Search!$P$6,N37))),OR(Search!$P$7="",ISNUMBER(SEARCH(" "&amp;Search!$P$7,N37))),OR(Search!$P$8="",ISNUMBER(SEARCH(" "&amp;Search!$P$8,N37))),OR(Search!$P$9="",ISNUMBER(SEARCH(" "&amp;Search!$P$9,N37))),OR(Search!$P$10="",ISNUMBER(SEARCH(" "&amp;Search!$P$10,N37)))),ROW(),""))</f>
        <v/>
      </c>
      <c r="N37" s="0" t="str">
        <f aca="false">IF(D37="",""," "&amp;SUBSTITUTE(SUBSTITUTE(SUBSTITUTE(SUBSTITUTE(SUBSTITUTE(SUBSTITUTE(SUBSTITUTE(B37&amp;" "&amp;C37&amp;" "&amp;D37&amp;" "&amp;E37&amp;" "&amp;F37&amp;" "&amp;G37&amp;" "&amp;H37&amp;" "&amp;'01 Aluminium'!R39,"("," "),")"," "),"/"," "),"-"," "),","," "),";"," "),":"," ")&amp;" ")</f>
        <v> AL 035 Curtain Wall System Curtain wall mullion   180 mm deep Stick system  approx. 4.60 kg m  Powder coated Gulf Extrusions   Equiv. lm 180mm pc </v>
      </c>
    </row>
    <row r="38" customFormat="false" ht="15" hidden="false" customHeight="false" outlineLevel="0" collapsed="false">
      <c r="A38" s="56" t="str">
        <f aca="false">IF('01 Aluminium'!$C$40="","","Aluminium Profiles &amp; Systems")</f>
        <v>Aluminium Profiles &amp; Systems</v>
      </c>
      <c r="B38" s="57" t="str">
        <f aca="false">IF('01 Aluminium'!$C$40="","",'01 Aluminium'!A40)</f>
        <v>AL-036</v>
      </c>
      <c r="C38" s="56" t="str">
        <f aca="false">IF('01 Aluminium'!$C$40="","",'01 Aluminium'!B40)</f>
        <v>Curtain Wall System</v>
      </c>
      <c r="D38" s="56" t="str">
        <f aca="false">IF('01 Aluminium'!$C$40="","",'01 Aluminium'!C40)</f>
        <v>Curtain wall mullion - 200 mm deep</v>
      </c>
      <c r="E38" s="56" t="str">
        <f aca="false">IF('01 Aluminium'!$C$40="","",'01 Aluminium'!D40)</f>
        <v>Stick system (approx. 5.40 kg/m)</v>
      </c>
      <c r="F38" s="56" t="str">
        <f aca="false">IF('01 Aluminium'!$C$40="","",'01 Aluminium'!E40)</f>
        <v>Powder coated</v>
      </c>
      <c r="G38" s="56" t="str">
        <f aca="false">IF('01 Aluminium'!$C$40="","",'01 Aluminium'!F40)</f>
        <v>Gulf Extrusions / Equiv.</v>
      </c>
      <c r="H38" s="57" t="str">
        <f aca="false">IF('01 Aluminium'!$C$40="","",'01 Aluminium'!G40)</f>
        <v>lm</v>
      </c>
      <c r="I38" s="58" t="n">
        <f aca="false">IF('01 Aluminium'!$C$40="","",'01 Aluminium'!J40)</f>
        <v>104.9</v>
      </c>
      <c r="J38" s="58" t="n">
        <f aca="false">IF('01 Aluminium'!$C$40="","",'01 Aluminium'!K40)</f>
        <v>125.88</v>
      </c>
      <c r="K38" s="58" t="n">
        <f aca="false">IF('01 Aluminium'!$C$40="","",'01 Aluminium'!L40)</f>
        <v>132.17</v>
      </c>
      <c r="L38" s="57" t="str">
        <f aca="false">IF('01 Aluminium'!$C$40="","",'01 Aluminium'!M40)</f>
        <v>Indicative</v>
      </c>
      <c r="M38" s="59" t="str">
        <f aca="false">IF(D38="","",IF(AND(OR(Search!$C$6="All Categories",A38=Search!$C$6),OR(Search!$P$5="",ISNUMBER(SEARCH(" "&amp;Search!$P$5,N38))),OR(Search!$P$6="",ISNUMBER(SEARCH(" "&amp;Search!$P$6,N38))),OR(Search!$P$7="",ISNUMBER(SEARCH(" "&amp;Search!$P$7,N38))),OR(Search!$P$8="",ISNUMBER(SEARCH(" "&amp;Search!$P$8,N38))),OR(Search!$P$9="",ISNUMBER(SEARCH(" "&amp;Search!$P$9,N38))),OR(Search!$P$10="",ISNUMBER(SEARCH(" "&amp;Search!$P$10,N38)))),ROW(),""))</f>
        <v/>
      </c>
      <c r="N38" s="0" t="str">
        <f aca="false">IF(D38="",""," "&amp;SUBSTITUTE(SUBSTITUTE(SUBSTITUTE(SUBSTITUTE(SUBSTITUTE(SUBSTITUTE(SUBSTITUTE(B38&amp;" "&amp;C38&amp;" "&amp;D38&amp;" "&amp;E38&amp;" "&amp;F38&amp;" "&amp;G38&amp;" "&amp;H38&amp;" "&amp;'01 Aluminium'!R40,"("," "),")"," "),"/"," "),"-"," "),","," "),";"," "),":"," ")&amp;" ")</f>
        <v> AL 036 Curtain Wall System Curtain wall mullion   200 mm deep Stick system  approx. 5.40 kg m  Powder coated Gulf Extrusions   Equiv. lm 200mm pc </v>
      </c>
    </row>
    <row r="39" customFormat="false" ht="15" hidden="false" customHeight="false" outlineLevel="0" collapsed="false">
      <c r="A39" s="56" t="str">
        <f aca="false">IF('01 Aluminium'!$C$41="","","Aluminium Profiles &amp; Systems")</f>
        <v>Aluminium Profiles &amp; Systems</v>
      </c>
      <c r="B39" s="57" t="str">
        <f aca="false">IF('01 Aluminium'!$C$41="","",'01 Aluminium'!A41)</f>
        <v>AL-037</v>
      </c>
      <c r="C39" s="56" t="str">
        <f aca="false">IF('01 Aluminium'!$C$41="","",'01 Aluminium'!B41)</f>
        <v>Curtain Wall System</v>
      </c>
      <c r="D39" s="56" t="str">
        <f aca="false">IF('01 Aluminium'!$C$41="","",'01 Aluminium'!C41)</f>
        <v>Curtain wall transom - 120 mm</v>
      </c>
      <c r="E39" s="56" t="str">
        <f aca="false">IF('01 Aluminium'!$C$41="","",'01 Aluminium'!D41)</f>
        <v>Approx. 2.40 kg/m</v>
      </c>
      <c r="F39" s="56" t="str">
        <f aca="false">IF('01 Aluminium'!$C$41="","",'01 Aluminium'!E41)</f>
        <v>Powder coated</v>
      </c>
      <c r="G39" s="56" t="str">
        <f aca="false">IF('01 Aluminium'!$C$41="","",'01 Aluminium'!F41)</f>
        <v>Gulf Extrusions / Equiv.</v>
      </c>
      <c r="H39" s="57" t="str">
        <f aca="false">IF('01 Aluminium'!$C$41="","",'01 Aluminium'!G41)</f>
        <v>lm</v>
      </c>
      <c r="I39" s="58" t="n">
        <f aca="false">IF('01 Aluminium'!$C$41="","",'01 Aluminium'!J41)</f>
        <v>46.62</v>
      </c>
      <c r="J39" s="58" t="n">
        <f aca="false">IF('01 Aluminium'!$C$41="","",'01 Aluminium'!K41)</f>
        <v>55.94</v>
      </c>
      <c r="K39" s="58" t="n">
        <f aca="false">IF('01 Aluminium'!$C$41="","",'01 Aluminium'!L41)</f>
        <v>58.74</v>
      </c>
      <c r="L39" s="57" t="str">
        <f aca="false">IF('01 Aluminium'!$C$41="","",'01 Aluminium'!M41)</f>
        <v>Indicative</v>
      </c>
      <c r="M39" s="59" t="str">
        <f aca="false">IF(D39="","",IF(AND(OR(Search!$C$6="All Categories",A39=Search!$C$6),OR(Search!$P$5="",ISNUMBER(SEARCH(" "&amp;Search!$P$5,N39))),OR(Search!$P$6="",ISNUMBER(SEARCH(" "&amp;Search!$P$6,N39))),OR(Search!$P$7="",ISNUMBER(SEARCH(" "&amp;Search!$P$7,N39))),OR(Search!$P$8="",ISNUMBER(SEARCH(" "&amp;Search!$P$8,N39))),OR(Search!$P$9="",ISNUMBER(SEARCH(" "&amp;Search!$P$9,N39))),OR(Search!$P$10="",ISNUMBER(SEARCH(" "&amp;Search!$P$10,N39)))),ROW(),""))</f>
        <v/>
      </c>
      <c r="N39" s="0" t="str">
        <f aca="false">IF(D39="",""," "&amp;SUBSTITUTE(SUBSTITUTE(SUBSTITUTE(SUBSTITUTE(SUBSTITUTE(SUBSTITUTE(SUBSTITUTE(B39&amp;" "&amp;C39&amp;" "&amp;D39&amp;" "&amp;E39&amp;" "&amp;F39&amp;" "&amp;G39&amp;" "&amp;H39&amp;" "&amp;'01 Aluminium'!R41,"("," "),")"," "),"/"," "),"-"," "),","," "),";"," "),":"," ")&amp;" ")</f>
        <v> AL 037 Curtain Wall System Curtain wall transom   120 mm Approx. 2.40 kg m Powder coated Gulf Extrusions   Equiv. lm 120mm pc </v>
      </c>
    </row>
    <row r="40" customFormat="false" ht="15" hidden="false" customHeight="false" outlineLevel="0" collapsed="false">
      <c r="A40" s="56" t="str">
        <f aca="false">IF('01 Aluminium'!$C$42="","","Aluminium Profiles &amp; Systems")</f>
        <v>Aluminium Profiles &amp; Systems</v>
      </c>
      <c r="B40" s="57" t="str">
        <f aca="false">IF('01 Aluminium'!$C$42="","",'01 Aluminium'!A42)</f>
        <v>AL-038</v>
      </c>
      <c r="C40" s="56" t="str">
        <f aca="false">IF('01 Aluminium'!$C$42="","",'01 Aluminium'!B42)</f>
        <v>Curtain Wall System</v>
      </c>
      <c r="D40" s="56" t="str">
        <f aca="false">IF('01 Aluminium'!$C$42="","",'01 Aluminium'!C42)</f>
        <v>Pressure plate</v>
      </c>
      <c r="E40" s="56" t="str">
        <f aca="false">IF('01 Aluminium'!$C$42="","",'01 Aluminium'!D42)</f>
        <v>Approx. 0.55 kg/m</v>
      </c>
      <c r="F40" s="56" t="str">
        <f aca="false">IF('01 Aluminium'!$C$42="","",'01 Aluminium'!E42)</f>
        <v>Mill finish</v>
      </c>
      <c r="G40" s="56" t="str">
        <f aca="false">IF('01 Aluminium'!$C$42="","",'01 Aluminium'!F42)</f>
        <v>Gulf Extrusions / Equiv.</v>
      </c>
      <c r="H40" s="57" t="str">
        <f aca="false">IF('01 Aluminium'!$C$42="","",'01 Aluminium'!G42)</f>
        <v>lm</v>
      </c>
      <c r="I40" s="58" t="n">
        <f aca="false">IF('01 Aluminium'!$C$42="","",'01 Aluminium'!J42)</f>
        <v>8.96</v>
      </c>
      <c r="J40" s="58" t="n">
        <f aca="false">IF('01 Aluminium'!$C$42="","",'01 Aluminium'!K42)</f>
        <v>10.75</v>
      </c>
      <c r="K40" s="58" t="n">
        <f aca="false">IF('01 Aluminium'!$C$42="","",'01 Aluminium'!L42)</f>
        <v>11.29</v>
      </c>
      <c r="L40" s="57" t="str">
        <f aca="false">IF('01 Aluminium'!$C$42="","",'01 Aluminium'!M42)</f>
        <v>Indicative</v>
      </c>
      <c r="M40" s="59" t="str">
        <f aca="false">IF(D40="","",IF(AND(OR(Search!$C$6="All Categories",A40=Search!$C$6),OR(Search!$P$5="",ISNUMBER(SEARCH(" "&amp;Search!$P$5,N40))),OR(Search!$P$6="",ISNUMBER(SEARCH(" "&amp;Search!$P$6,N40))),OR(Search!$P$7="",ISNUMBER(SEARCH(" "&amp;Search!$P$7,N40))),OR(Search!$P$8="",ISNUMBER(SEARCH(" "&amp;Search!$P$8,N40))),OR(Search!$P$9="",ISNUMBER(SEARCH(" "&amp;Search!$P$9,N40))),OR(Search!$P$10="",ISNUMBER(SEARCH(" "&amp;Search!$P$10,N40)))),ROW(),""))</f>
        <v/>
      </c>
      <c r="N40" s="0" t="str">
        <f aca="false">IF(D40="",""," "&amp;SUBSTITUTE(SUBSTITUTE(SUBSTITUTE(SUBSTITUTE(SUBSTITUTE(SUBSTITUTE(SUBSTITUTE(B40&amp;" "&amp;C40&amp;" "&amp;D40&amp;" "&amp;E40&amp;" "&amp;F40&amp;" "&amp;G40&amp;" "&amp;H40&amp;" "&amp;'01 Aluminium'!R42,"("," "),")"," "),"/"," "),"-"," "),","," "),";"," "),":"," ")&amp;" ")</f>
        <v> AL 038 Curtain Wall System Pressure plate Approx. 0.55 kg m Mill finish Gulf Extrusions   Equiv. lm  </v>
      </c>
    </row>
    <row r="41" customFormat="false" ht="15" hidden="false" customHeight="false" outlineLevel="0" collapsed="false">
      <c r="A41" s="56" t="str">
        <f aca="false">IF('01 Aluminium'!$C$43="","","Aluminium Profiles &amp; Systems")</f>
        <v>Aluminium Profiles &amp; Systems</v>
      </c>
      <c r="B41" s="57" t="str">
        <f aca="false">IF('01 Aluminium'!$C$43="","",'01 Aluminium'!A43)</f>
        <v>AL-039</v>
      </c>
      <c r="C41" s="56" t="str">
        <f aca="false">IF('01 Aluminium'!$C$43="","",'01 Aluminium'!B43)</f>
        <v>Curtain Wall System</v>
      </c>
      <c r="D41" s="56" t="str">
        <f aca="false">IF('01 Aluminium'!$C$43="","",'01 Aluminium'!C43)</f>
        <v>Snap-on cover cap</v>
      </c>
      <c r="E41" s="56" t="str">
        <f aca="false">IF('01 Aluminium'!$C$43="","",'01 Aluminium'!D43)</f>
        <v>Approx. 0.45 kg/m</v>
      </c>
      <c r="F41" s="56" t="str">
        <f aca="false">IF('01 Aluminium'!$C$43="","",'01 Aluminium'!E43)</f>
        <v>Powder coated / PVDF</v>
      </c>
      <c r="G41" s="56" t="str">
        <f aca="false">IF('01 Aluminium'!$C$43="","",'01 Aluminium'!F43)</f>
        <v>Gulf Extrusions / Equiv.</v>
      </c>
      <c r="H41" s="57" t="str">
        <f aca="false">IF('01 Aluminium'!$C$43="","",'01 Aluminium'!G43)</f>
        <v>lm</v>
      </c>
      <c r="I41" s="58" t="n">
        <f aca="false">IF('01 Aluminium'!$C$43="","",'01 Aluminium'!J43)</f>
        <v>8.75</v>
      </c>
      <c r="J41" s="58" t="n">
        <f aca="false">IF('01 Aluminium'!$C$43="","",'01 Aluminium'!K43)</f>
        <v>10.5</v>
      </c>
      <c r="K41" s="58" t="n">
        <f aca="false">IF('01 Aluminium'!$C$43="","",'01 Aluminium'!L43)</f>
        <v>11.03</v>
      </c>
      <c r="L41" s="57" t="str">
        <f aca="false">IF('01 Aluminium'!$C$43="","",'01 Aluminium'!M43)</f>
        <v>Indicative</v>
      </c>
      <c r="M41" s="59" t="str">
        <f aca="false">IF(D41="","",IF(AND(OR(Search!$C$6="All Categories",A41=Search!$C$6),OR(Search!$P$5="",ISNUMBER(SEARCH(" "&amp;Search!$P$5,N41))),OR(Search!$P$6="",ISNUMBER(SEARCH(" "&amp;Search!$P$6,N41))),OR(Search!$P$7="",ISNUMBER(SEARCH(" "&amp;Search!$P$7,N41))),OR(Search!$P$8="",ISNUMBER(SEARCH(" "&amp;Search!$P$8,N41))),OR(Search!$P$9="",ISNUMBER(SEARCH(" "&amp;Search!$P$9,N41))),OR(Search!$P$10="",ISNUMBER(SEARCH(" "&amp;Search!$P$10,N41)))),ROW(),""))</f>
        <v/>
      </c>
      <c r="N41" s="0" t="str">
        <f aca="false">IF(D41="",""," "&amp;SUBSTITUTE(SUBSTITUTE(SUBSTITUTE(SUBSTITUTE(SUBSTITUTE(SUBSTITUTE(SUBSTITUTE(B41&amp;" "&amp;C41&amp;" "&amp;D41&amp;" "&amp;E41&amp;" "&amp;F41&amp;" "&amp;G41&amp;" "&amp;H41&amp;" "&amp;'01 Aluminium'!R43,"("," "),")"," "),"/"," "),"-"," "),","," "),";"," "),":"," ")&amp;" ")</f>
        <v> AL 039 Curtain Wall System Snap on cover cap Approx. 0.45 kg m Powder coated   PVDF Gulf Extrusions   Equiv. lm pc </v>
      </c>
    </row>
    <row r="42" customFormat="false" ht="15" hidden="false" customHeight="false" outlineLevel="0" collapsed="false">
      <c r="A42" s="56" t="str">
        <f aca="false">IF('01 Aluminium'!$C$44="","","Aluminium Profiles &amp; Systems")</f>
        <v>Aluminium Profiles &amp; Systems</v>
      </c>
      <c r="B42" s="57" t="str">
        <f aca="false">IF('01 Aluminium'!$C$44="","",'01 Aluminium'!A44)</f>
        <v>AL-040</v>
      </c>
      <c r="C42" s="56" t="str">
        <f aca="false">IF('01 Aluminium'!$C$44="","",'01 Aluminium'!B44)</f>
        <v>Curtain Wall System</v>
      </c>
      <c r="D42" s="56" t="str">
        <f aca="false">IF('01 Aluminium'!$C$44="","",'01 Aluminium'!C44)</f>
        <v>Unitized frame profile (male/female)</v>
      </c>
      <c r="E42" s="56" t="str">
        <f aca="false">IF('01 Aluminium'!$C$44="","",'01 Aluminium'!D44)</f>
        <v>Approx. 4.80 kg/m</v>
      </c>
      <c r="F42" s="56" t="str">
        <f aca="false">IF('01 Aluminium'!$C$44="","",'01 Aluminium'!E44)</f>
        <v>PVDF</v>
      </c>
      <c r="G42" s="56" t="str">
        <f aca="false">IF('01 Aluminium'!$C$44="","",'01 Aluminium'!F44)</f>
        <v>Gulf Extrusions / Equiv.</v>
      </c>
      <c r="H42" s="57" t="str">
        <f aca="false">IF('01 Aluminium'!$C$44="","",'01 Aluminium'!G44)</f>
        <v>lm</v>
      </c>
      <c r="I42" s="58" t="n">
        <f aca="false">IF('01 Aluminium'!$C$44="","",'01 Aluminium'!J44)</f>
        <v>120.96</v>
      </c>
      <c r="J42" s="58" t="n">
        <f aca="false">IF('01 Aluminium'!$C$44="","",'01 Aluminium'!K44)</f>
        <v>145.15</v>
      </c>
      <c r="K42" s="58" t="n">
        <f aca="false">IF('01 Aluminium'!$C$44="","",'01 Aluminium'!L44)</f>
        <v>152.41</v>
      </c>
      <c r="L42" s="57" t="str">
        <f aca="false">IF('01 Aluminium'!$C$44="","",'01 Aluminium'!M44)</f>
        <v>Indicative</v>
      </c>
      <c r="M42" s="59" t="str">
        <f aca="false">IF(D42="","",IF(AND(OR(Search!$C$6="All Categories",A42=Search!$C$6),OR(Search!$P$5="",ISNUMBER(SEARCH(" "&amp;Search!$P$5,N42))),OR(Search!$P$6="",ISNUMBER(SEARCH(" "&amp;Search!$P$6,N42))),OR(Search!$P$7="",ISNUMBER(SEARCH(" "&amp;Search!$P$7,N42))),OR(Search!$P$8="",ISNUMBER(SEARCH(" "&amp;Search!$P$8,N42))),OR(Search!$P$9="",ISNUMBER(SEARCH(" "&amp;Search!$P$9,N42))),OR(Search!$P$10="",ISNUMBER(SEARCH(" "&amp;Search!$P$10,N42)))),ROW(),""))</f>
        <v/>
      </c>
      <c r="N42" s="0" t="str">
        <f aca="false">IF(D42="",""," "&amp;SUBSTITUTE(SUBSTITUTE(SUBSTITUTE(SUBSTITUTE(SUBSTITUTE(SUBSTITUTE(SUBSTITUTE(B42&amp;" "&amp;C42&amp;" "&amp;D42&amp;" "&amp;E42&amp;" "&amp;F42&amp;" "&amp;G42&amp;" "&amp;H42&amp;" "&amp;'01 Aluminium'!R44,"("," "),")"," "),"/"," "),"-"," "),","," "),";"," "),":"," ")&amp;" ")</f>
        <v> AL 040 Curtain Wall System Unitized frame profile  male female  Approx. 4.80 kg m PVDF Gulf Extrusions   Equiv. lm  </v>
      </c>
    </row>
    <row r="43" customFormat="false" ht="15" hidden="false" customHeight="false" outlineLevel="0" collapsed="false">
      <c r="A43" s="56" t="str">
        <f aca="false">IF('01 Aluminium'!$C$45="","","Aluminium Profiles &amp; Systems")</f>
        <v>Aluminium Profiles &amp; Systems</v>
      </c>
      <c r="B43" s="57" t="str">
        <f aca="false">IF('01 Aluminium'!$C$45="","",'01 Aluminium'!A45)</f>
        <v>AL-041</v>
      </c>
      <c r="C43" s="56" t="str">
        <f aca="false">IF('01 Aluminium'!$C$45="","",'01 Aluminium'!B45)</f>
        <v>Curtain Wall System</v>
      </c>
      <c r="D43" s="56" t="str">
        <f aca="false">IF('01 Aluminium'!$C$45="","",'01 Aluminium'!C45)</f>
        <v>Structural glazing (SSG) carrier frame</v>
      </c>
      <c r="E43" s="56" t="str">
        <f aca="false">IF('01 Aluminium'!$C$45="","",'01 Aluminium'!D45)</f>
        <v>Approx. 0.85 kg/m</v>
      </c>
      <c r="F43" s="56" t="str">
        <f aca="false">IF('01 Aluminium'!$C$45="","",'01 Aluminium'!E45)</f>
        <v>Mill finish</v>
      </c>
      <c r="G43" s="56" t="str">
        <f aca="false">IF('01 Aluminium'!$C$45="","",'01 Aluminium'!F45)</f>
        <v>Gulf Extrusions / Equiv.</v>
      </c>
      <c r="H43" s="57" t="str">
        <f aca="false">IF('01 Aluminium'!$C$45="","",'01 Aluminium'!G45)</f>
        <v>lm</v>
      </c>
      <c r="I43" s="58" t="n">
        <f aca="false">IF('01 Aluminium'!$C$45="","",'01 Aluminium'!J45)</f>
        <v>13.84</v>
      </c>
      <c r="J43" s="58" t="n">
        <f aca="false">IF('01 Aluminium'!$C$45="","",'01 Aluminium'!K45)</f>
        <v>16.61</v>
      </c>
      <c r="K43" s="58" t="n">
        <f aca="false">IF('01 Aluminium'!$C$45="","",'01 Aluminium'!L45)</f>
        <v>17.44</v>
      </c>
      <c r="L43" s="57" t="str">
        <f aca="false">IF('01 Aluminium'!$C$45="","",'01 Aluminium'!M45)</f>
        <v>Indicative</v>
      </c>
      <c r="M43" s="59" t="str">
        <f aca="false">IF(D43="","",IF(AND(OR(Search!$C$6="All Categories",A43=Search!$C$6),OR(Search!$P$5="",ISNUMBER(SEARCH(" "&amp;Search!$P$5,N43))),OR(Search!$P$6="",ISNUMBER(SEARCH(" "&amp;Search!$P$6,N43))),OR(Search!$P$7="",ISNUMBER(SEARCH(" "&amp;Search!$P$7,N43))),OR(Search!$P$8="",ISNUMBER(SEARCH(" "&amp;Search!$P$8,N43))),OR(Search!$P$9="",ISNUMBER(SEARCH(" "&amp;Search!$P$9,N43))),OR(Search!$P$10="",ISNUMBER(SEARCH(" "&amp;Search!$P$10,N43)))),ROW(),""))</f>
        <v/>
      </c>
      <c r="N43" s="0" t="str">
        <f aca="false">IF(D43="",""," "&amp;SUBSTITUTE(SUBSTITUTE(SUBSTITUTE(SUBSTITUTE(SUBSTITUTE(SUBSTITUTE(SUBSTITUTE(B43&amp;" "&amp;C43&amp;" "&amp;D43&amp;" "&amp;E43&amp;" "&amp;F43&amp;" "&amp;G43&amp;" "&amp;H43&amp;" "&amp;'01 Aluminium'!R45,"("," "),")"," "),"/"," "),"-"," "),","," "),";"," "),":"," ")&amp;" ")</f>
        <v> AL 041 Curtain Wall System Structural glazing  SSG  carrier frame Approx. 0.85 kg m Mill finish Gulf Extrusions   Equiv. lm  </v>
      </c>
    </row>
    <row r="44" customFormat="false" ht="22.35" hidden="false" customHeight="false" outlineLevel="0" collapsed="false">
      <c r="A44" s="56" t="str">
        <f aca="false">IF('01 Aluminium'!$C$46="","","Aluminium Profiles &amp; Systems")</f>
        <v>Aluminium Profiles &amp; Systems</v>
      </c>
      <c r="B44" s="57" t="str">
        <f aca="false">IF('01 Aluminium'!$C$46="","",'01 Aluminium'!A46)</f>
        <v>AL-042</v>
      </c>
      <c r="C44" s="56" t="str">
        <f aca="false">IF('01 Aluminium'!$C$46="","",'01 Aluminium'!B46)</f>
        <v>Pergola / Louver / Skylight</v>
      </c>
      <c r="D44" s="56" t="str">
        <f aca="false">IF('01 Aluminium'!$C$46="","",'01 Aluminium'!C46)</f>
        <v>Pergola main beam</v>
      </c>
      <c r="E44" s="56" t="str">
        <f aca="false">IF('01 Aluminium'!$C$46="","",'01 Aluminium'!D46)</f>
        <v>150 x 50 x 3 mm (3.14 kg/m)</v>
      </c>
      <c r="F44" s="56" t="str">
        <f aca="false">IF('01 Aluminium'!$C$46="","",'01 Aluminium'!E46)</f>
        <v>Powder coated / wood-grain</v>
      </c>
      <c r="G44" s="56" t="str">
        <f aca="false">IF('01 Aluminium'!$C$46="","",'01 Aluminium'!F46)</f>
        <v>Local</v>
      </c>
      <c r="H44" s="57" t="str">
        <f aca="false">IF('01 Aluminium'!$C$46="","",'01 Aluminium'!G46)</f>
        <v>lm</v>
      </c>
      <c r="I44" s="58" t="n">
        <f aca="false">IF('01 Aluminium'!$C$46="","",'01 Aluminium'!J46)</f>
        <v>60.99</v>
      </c>
      <c r="J44" s="58" t="n">
        <f aca="false">IF('01 Aluminium'!$C$46="","",'01 Aluminium'!K46)</f>
        <v>73.19</v>
      </c>
      <c r="K44" s="58" t="n">
        <f aca="false">IF('01 Aluminium'!$C$46="","",'01 Aluminium'!L46)</f>
        <v>76.85</v>
      </c>
      <c r="L44" s="57" t="str">
        <f aca="false">IF('01 Aluminium'!$C$46="","",'01 Aluminium'!M46)</f>
        <v>Indicative</v>
      </c>
      <c r="M44" s="59" t="str">
        <f aca="false">IF(D44="","",IF(AND(OR(Search!$C$6="All Categories",A44=Search!$C$6),OR(Search!$P$5="",ISNUMBER(SEARCH(" "&amp;Search!$P$5,N44))),OR(Search!$P$6="",ISNUMBER(SEARCH(" "&amp;Search!$P$6,N44))),OR(Search!$P$7="",ISNUMBER(SEARCH(" "&amp;Search!$P$7,N44))),OR(Search!$P$8="",ISNUMBER(SEARCH(" "&amp;Search!$P$8,N44))),OR(Search!$P$9="",ISNUMBER(SEARCH(" "&amp;Search!$P$9,N44))),OR(Search!$P$10="",ISNUMBER(SEARCH(" "&amp;Search!$P$10,N44)))),ROW(),""))</f>
        <v/>
      </c>
      <c r="N44" s="0" t="str">
        <f aca="false">IF(D44="",""," "&amp;SUBSTITUTE(SUBSTITUTE(SUBSTITUTE(SUBSTITUTE(SUBSTITUTE(SUBSTITUTE(SUBSTITUTE(B44&amp;" "&amp;C44&amp;" "&amp;D44&amp;" "&amp;E44&amp;" "&amp;F44&amp;" "&amp;G44&amp;" "&amp;H44&amp;" "&amp;'01 Aluminium'!R46,"("," "),")"," "),"/"," "),"-"," "),","," "),";"," "),":"," ")&amp;" ")</f>
        <v> AL 042 Pergola   Louver   Skylight Pergola main beam 150 x 50 x 3 mm  3.14 kg m  Powder coated   wood grain Local lm 150x50 150x50x3 3mm pc louvre shade </v>
      </c>
    </row>
    <row r="45" customFormat="false" ht="22.35" hidden="false" customHeight="false" outlineLevel="0" collapsed="false">
      <c r="A45" s="56" t="str">
        <f aca="false">IF('01 Aluminium'!$C$47="","","Aluminium Profiles &amp; Systems")</f>
        <v>Aluminium Profiles &amp; Systems</v>
      </c>
      <c r="B45" s="57" t="str">
        <f aca="false">IF('01 Aluminium'!$C$47="","",'01 Aluminium'!A47)</f>
        <v>AL-043</v>
      </c>
      <c r="C45" s="56" t="str">
        <f aca="false">IF('01 Aluminium'!$C$47="","",'01 Aluminium'!B47)</f>
        <v>Pergola / Louver / Skylight</v>
      </c>
      <c r="D45" s="56" t="str">
        <f aca="false">IF('01 Aluminium'!$C$47="","",'01 Aluminium'!C47)</f>
        <v>Pergola rafter / slat</v>
      </c>
      <c r="E45" s="56" t="str">
        <f aca="false">IF('01 Aluminium'!$C$47="","",'01 Aluminium'!D47)</f>
        <v>100 x 50 x 2.5 mm (1.96 kg/m)</v>
      </c>
      <c r="F45" s="56" t="str">
        <f aca="false">IF('01 Aluminium'!$C$47="","",'01 Aluminium'!E47)</f>
        <v>Powder coated / wood-grain</v>
      </c>
      <c r="G45" s="56" t="str">
        <f aca="false">IF('01 Aluminium'!$C$47="","",'01 Aluminium'!F47)</f>
        <v>Local</v>
      </c>
      <c r="H45" s="57" t="str">
        <f aca="false">IF('01 Aluminium'!$C$47="","",'01 Aluminium'!G47)</f>
        <v>lm</v>
      </c>
      <c r="I45" s="58" t="n">
        <f aca="false">IF('01 Aluminium'!$C$47="","",'01 Aluminium'!J47)</f>
        <v>38.07</v>
      </c>
      <c r="J45" s="58" t="n">
        <f aca="false">IF('01 Aluminium'!$C$47="","",'01 Aluminium'!K47)</f>
        <v>45.68</v>
      </c>
      <c r="K45" s="58" t="n">
        <f aca="false">IF('01 Aluminium'!$C$47="","",'01 Aluminium'!L47)</f>
        <v>47.96</v>
      </c>
      <c r="L45" s="57" t="str">
        <f aca="false">IF('01 Aluminium'!$C$47="","",'01 Aluminium'!M47)</f>
        <v>Indicative</v>
      </c>
      <c r="M45" s="59" t="str">
        <f aca="false">IF(D45="","",IF(AND(OR(Search!$C$6="All Categories",A45=Search!$C$6),OR(Search!$P$5="",ISNUMBER(SEARCH(" "&amp;Search!$P$5,N45))),OR(Search!$P$6="",ISNUMBER(SEARCH(" "&amp;Search!$P$6,N45))),OR(Search!$P$7="",ISNUMBER(SEARCH(" "&amp;Search!$P$7,N45))),OR(Search!$P$8="",ISNUMBER(SEARCH(" "&amp;Search!$P$8,N45))),OR(Search!$P$9="",ISNUMBER(SEARCH(" "&amp;Search!$P$9,N45))),OR(Search!$P$10="",ISNUMBER(SEARCH(" "&amp;Search!$P$10,N45)))),ROW(),""))</f>
        <v/>
      </c>
      <c r="N45" s="0" t="str">
        <f aca="false">IF(D45="",""," "&amp;SUBSTITUTE(SUBSTITUTE(SUBSTITUTE(SUBSTITUTE(SUBSTITUTE(SUBSTITUTE(SUBSTITUTE(B45&amp;" "&amp;C45&amp;" "&amp;D45&amp;" "&amp;E45&amp;" "&amp;F45&amp;" "&amp;G45&amp;" "&amp;H45&amp;" "&amp;'01 Aluminium'!R47,"("," "),")"," "),"/"," "),"-"," "),","," "),";"," "),":"," ")&amp;" ")</f>
        <v> AL 043 Pergola   Louver   Skylight Pergola rafter   slat 100 x 50 x 2.5 mm  1.96 kg m  Powder coated   wood grain Local lm 100x50 100x50x2.5 2.5mm pc louvre shade </v>
      </c>
    </row>
    <row r="46" customFormat="false" ht="15" hidden="false" customHeight="false" outlineLevel="0" collapsed="false">
      <c r="A46" s="56" t="str">
        <f aca="false">IF('01 Aluminium'!$C$48="","","Aluminium Profiles &amp; Systems")</f>
        <v>Aluminium Profiles &amp; Systems</v>
      </c>
      <c r="B46" s="57" t="str">
        <f aca="false">IF('01 Aluminium'!$C$48="","",'01 Aluminium'!A48)</f>
        <v>AL-044</v>
      </c>
      <c r="C46" s="56" t="str">
        <f aca="false">IF('01 Aluminium'!$C$48="","",'01 Aluminium'!B48)</f>
        <v>Pergola / Louver / Skylight</v>
      </c>
      <c r="D46" s="56" t="str">
        <f aca="false">IF('01 Aluminium'!$C$48="","",'01 Aluminium'!C48)</f>
        <v>Bioclimatic pergola louver blade</v>
      </c>
      <c r="E46" s="56" t="str">
        <f aca="false">IF('01 Aluminium'!$C$48="","",'01 Aluminium'!D48)</f>
        <v>Approx. 2.60 kg/m</v>
      </c>
      <c r="F46" s="56" t="str">
        <f aca="false">IF('01 Aluminium'!$C$48="","",'01 Aluminium'!E48)</f>
        <v>Powder coated</v>
      </c>
      <c r="G46" s="56" t="str">
        <f aca="false">IF('01 Aluminium'!$C$48="","",'01 Aluminium'!F48)</f>
        <v>Local / Imported</v>
      </c>
      <c r="H46" s="57" t="str">
        <f aca="false">IF('01 Aluminium'!$C$48="","",'01 Aluminium'!G48)</f>
        <v>lm</v>
      </c>
      <c r="I46" s="58" t="n">
        <f aca="false">IF('01 Aluminium'!$C$48="","",'01 Aluminium'!J48)</f>
        <v>50.51</v>
      </c>
      <c r="J46" s="58" t="n">
        <f aca="false">IF('01 Aluminium'!$C$48="","",'01 Aluminium'!K48)</f>
        <v>60.61</v>
      </c>
      <c r="K46" s="58" t="n">
        <f aca="false">IF('01 Aluminium'!$C$48="","",'01 Aluminium'!L48)</f>
        <v>63.64</v>
      </c>
      <c r="L46" s="57" t="str">
        <f aca="false">IF('01 Aluminium'!$C$48="","",'01 Aluminium'!M48)</f>
        <v>Indicative</v>
      </c>
      <c r="M46" s="59" t="str">
        <f aca="false">IF(D46="","",IF(AND(OR(Search!$C$6="All Categories",A46=Search!$C$6),OR(Search!$P$5="",ISNUMBER(SEARCH(" "&amp;Search!$P$5,N46))),OR(Search!$P$6="",ISNUMBER(SEARCH(" "&amp;Search!$P$6,N46))),OR(Search!$P$7="",ISNUMBER(SEARCH(" "&amp;Search!$P$7,N46))),OR(Search!$P$8="",ISNUMBER(SEARCH(" "&amp;Search!$P$8,N46))),OR(Search!$P$9="",ISNUMBER(SEARCH(" "&amp;Search!$P$9,N46))),OR(Search!$P$10="",ISNUMBER(SEARCH(" "&amp;Search!$P$10,N46)))),ROW(),""))</f>
        <v/>
      </c>
      <c r="N46" s="0" t="str">
        <f aca="false">IF(D46="",""," "&amp;SUBSTITUTE(SUBSTITUTE(SUBSTITUTE(SUBSTITUTE(SUBSTITUTE(SUBSTITUTE(SUBSTITUTE(B46&amp;" "&amp;C46&amp;" "&amp;D46&amp;" "&amp;E46&amp;" "&amp;F46&amp;" "&amp;G46&amp;" "&amp;H46&amp;" "&amp;'01 Aluminium'!R48,"("," "),")"," "),"/"," "),"-"," "),","," "),";"," "),":"," ")&amp;" ")</f>
        <v> AL 044 Pergola   Louver   Skylight Bioclimatic pergola louver blade Approx. 2.60 kg m Powder coated Local   Imported lm pc louvre shade </v>
      </c>
    </row>
    <row r="47" customFormat="false" ht="15" hidden="false" customHeight="false" outlineLevel="0" collapsed="false">
      <c r="A47" s="56" t="str">
        <f aca="false">IF('01 Aluminium'!$C$49="","","Aluminium Profiles &amp; Systems")</f>
        <v>Aluminium Profiles &amp; Systems</v>
      </c>
      <c r="B47" s="57" t="str">
        <f aca="false">IF('01 Aluminium'!$C$49="","",'01 Aluminium'!A49)</f>
        <v>AL-045</v>
      </c>
      <c r="C47" s="56" t="str">
        <f aca="false">IF('01 Aluminium'!$C$49="","",'01 Aluminium'!B49)</f>
        <v>Pergola / Louver / Skylight</v>
      </c>
      <c r="D47" s="56" t="str">
        <f aca="false">IF('01 Aluminium'!$C$49="","",'01 Aluminium'!C49)</f>
        <v>Louver blade - Z type 100 mm</v>
      </c>
      <c r="E47" s="56" t="str">
        <f aca="false">IF('01 Aluminium'!$C$49="","",'01 Aluminium'!D49)</f>
        <v>Approx. 0.85 kg/m</v>
      </c>
      <c r="F47" s="56" t="str">
        <f aca="false">IF('01 Aluminium'!$C$49="","",'01 Aluminium'!E49)</f>
        <v>Powder coated</v>
      </c>
      <c r="G47" s="56" t="str">
        <f aca="false">IF('01 Aluminium'!$C$49="","",'01 Aluminium'!F49)</f>
        <v>Local</v>
      </c>
      <c r="H47" s="57" t="str">
        <f aca="false">IF('01 Aluminium'!$C$49="","",'01 Aluminium'!G49)</f>
        <v>lm</v>
      </c>
      <c r="I47" s="58" t="n">
        <f aca="false">IF('01 Aluminium'!$C$49="","",'01 Aluminium'!J49)</f>
        <v>16.52</v>
      </c>
      <c r="J47" s="58" t="n">
        <f aca="false">IF('01 Aluminium'!$C$49="","",'01 Aluminium'!K49)</f>
        <v>19.82</v>
      </c>
      <c r="K47" s="58" t="n">
        <f aca="false">IF('01 Aluminium'!$C$49="","",'01 Aluminium'!L49)</f>
        <v>20.81</v>
      </c>
      <c r="L47" s="57" t="str">
        <f aca="false">IF('01 Aluminium'!$C$49="","",'01 Aluminium'!M49)</f>
        <v>Indicative</v>
      </c>
      <c r="M47" s="59" t="str">
        <f aca="false">IF(D47="","",IF(AND(OR(Search!$C$6="All Categories",A47=Search!$C$6),OR(Search!$P$5="",ISNUMBER(SEARCH(" "&amp;Search!$P$5,N47))),OR(Search!$P$6="",ISNUMBER(SEARCH(" "&amp;Search!$P$6,N47))),OR(Search!$P$7="",ISNUMBER(SEARCH(" "&amp;Search!$P$7,N47))),OR(Search!$P$8="",ISNUMBER(SEARCH(" "&amp;Search!$P$8,N47))),OR(Search!$P$9="",ISNUMBER(SEARCH(" "&amp;Search!$P$9,N47))),OR(Search!$P$10="",ISNUMBER(SEARCH(" "&amp;Search!$P$10,N47)))),ROW(),""))</f>
        <v/>
      </c>
      <c r="N47" s="0" t="str">
        <f aca="false">IF(D47="",""," "&amp;SUBSTITUTE(SUBSTITUTE(SUBSTITUTE(SUBSTITUTE(SUBSTITUTE(SUBSTITUTE(SUBSTITUTE(B47&amp;" "&amp;C47&amp;" "&amp;D47&amp;" "&amp;E47&amp;" "&amp;F47&amp;" "&amp;G47&amp;" "&amp;H47&amp;" "&amp;'01 Aluminium'!R49,"("," "),")"," "),"/"," "),"-"," "),","," "),";"," "),":"," ")&amp;" ")</f>
        <v> AL 045 Pergola   Louver   Skylight Louver blade   Z type 100 mm Approx. 0.85 kg m Powder coated Local lm 100mm pc louvre shade </v>
      </c>
    </row>
    <row r="48" customFormat="false" ht="15" hidden="false" customHeight="false" outlineLevel="0" collapsed="false">
      <c r="A48" s="56" t="str">
        <f aca="false">IF('01 Aluminium'!$C$50="","","Aluminium Profiles &amp; Systems")</f>
        <v>Aluminium Profiles &amp; Systems</v>
      </c>
      <c r="B48" s="57" t="str">
        <f aca="false">IF('01 Aluminium'!$C$50="","",'01 Aluminium'!A50)</f>
        <v>AL-046</v>
      </c>
      <c r="C48" s="56" t="str">
        <f aca="false">IF('01 Aluminium'!$C$50="","",'01 Aluminium'!B50)</f>
        <v>Pergola / Louver / Skylight</v>
      </c>
      <c r="D48" s="56" t="str">
        <f aca="false">IF('01 Aluminium'!$C$50="","",'01 Aluminium'!C50)</f>
        <v>Louver blade - aerofoil 200 mm</v>
      </c>
      <c r="E48" s="56" t="str">
        <f aca="false">IF('01 Aluminium'!$C$50="","",'01 Aluminium'!D50)</f>
        <v>Approx. 2.30 kg/m</v>
      </c>
      <c r="F48" s="56" t="str">
        <f aca="false">IF('01 Aluminium'!$C$50="","",'01 Aluminium'!E50)</f>
        <v>Powder coated</v>
      </c>
      <c r="G48" s="56" t="str">
        <f aca="false">IF('01 Aluminium'!$C$50="","",'01 Aluminium'!F50)</f>
        <v>Local</v>
      </c>
      <c r="H48" s="57" t="str">
        <f aca="false">IF('01 Aluminium'!$C$50="","",'01 Aluminium'!G50)</f>
        <v>lm</v>
      </c>
      <c r="I48" s="58" t="n">
        <f aca="false">IF('01 Aluminium'!$C$50="","",'01 Aluminium'!J50)</f>
        <v>44.68</v>
      </c>
      <c r="J48" s="58" t="n">
        <f aca="false">IF('01 Aluminium'!$C$50="","",'01 Aluminium'!K50)</f>
        <v>53.62</v>
      </c>
      <c r="K48" s="58" t="n">
        <f aca="false">IF('01 Aluminium'!$C$50="","",'01 Aluminium'!L50)</f>
        <v>56.3</v>
      </c>
      <c r="L48" s="57" t="str">
        <f aca="false">IF('01 Aluminium'!$C$50="","",'01 Aluminium'!M50)</f>
        <v>Indicative</v>
      </c>
      <c r="M48" s="59" t="str">
        <f aca="false">IF(D48="","",IF(AND(OR(Search!$C$6="All Categories",A48=Search!$C$6),OR(Search!$P$5="",ISNUMBER(SEARCH(" "&amp;Search!$P$5,N48))),OR(Search!$P$6="",ISNUMBER(SEARCH(" "&amp;Search!$P$6,N48))),OR(Search!$P$7="",ISNUMBER(SEARCH(" "&amp;Search!$P$7,N48))),OR(Search!$P$8="",ISNUMBER(SEARCH(" "&amp;Search!$P$8,N48))),OR(Search!$P$9="",ISNUMBER(SEARCH(" "&amp;Search!$P$9,N48))),OR(Search!$P$10="",ISNUMBER(SEARCH(" "&amp;Search!$P$10,N48)))),ROW(),""))</f>
        <v/>
      </c>
      <c r="N48" s="0" t="str">
        <f aca="false">IF(D48="",""," "&amp;SUBSTITUTE(SUBSTITUTE(SUBSTITUTE(SUBSTITUTE(SUBSTITUTE(SUBSTITUTE(SUBSTITUTE(B48&amp;" "&amp;C48&amp;" "&amp;D48&amp;" "&amp;E48&amp;" "&amp;F48&amp;" "&amp;G48&amp;" "&amp;H48&amp;" "&amp;'01 Aluminium'!R50,"("," "),")"," "),"/"," "),"-"," "),","," "),";"," "),":"," ")&amp;" ")</f>
        <v> AL 046 Pergola   Louver   Skylight Louver blade   aerofoil 200 mm Approx. 2.30 kg m Powder coated Local lm 200mm pc louvre shade </v>
      </c>
    </row>
    <row r="49" customFormat="false" ht="15" hidden="false" customHeight="false" outlineLevel="0" collapsed="false">
      <c r="A49" s="56" t="str">
        <f aca="false">IF('01 Aluminium'!$C$51="","","Aluminium Profiles &amp; Systems")</f>
        <v>Aluminium Profiles &amp; Systems</v>
      </c>
      <c r="B49" s="57" t="str">
        <f aca="false">IF('01 Aluminium'!$C$51="","",'01 Aluminium'!A51)</f>
        <v>AL-047</v>
      </c>
      <c r="C49" s="56" t="str">
        <f aca="false">IF('01 Aluminium'!$C$51="","",'01 Aluminium'!B51)</f>
        <v>Pergola / Louver / Skylight</v>
      </c>
      <c r="D49" s="56" t="str">
        <f aca="false">IF('01 Aluminium'!$C$51="","",'01 Aluminium'!C51)</f>
        <v>Skylight rafter profile</v>
      </c>
      <c r="E49" s="56" t="str">
        <f aca="false">IF('01 Aluminium'!$C$51="","",'01 Aluminium'!D51)</f>
        <v>Approx. 3.20 kg/m</v>
      </c>
      <c r="F49" s="56" t="str">
        <f aca="false">IF('01 Aluminium'!$C$51="","",'01 Aluminium'!E51)</f>
        <v>Powder coated</v>
      </c>
      <c r="G49" s="56" t="str">
        <f aca="false">IF('01 Aluminium'!$C$51="","",'01 Aluminium'!F51)</f>
        <v>Gulf Extrusions / Equiv.</v>
      </c>
      <c r="H49" s="57" t="str">
        <f aca="false">IF('01 Aluminium'!$C$51="","",'01 Aluminium'!G51)</f>
        <v>lm</v>
      </c>
      <c r="I49" s="58" t="n">
        <f aca="false">IF('01 Aluminium'!$C$51="","",'01 Aluminium'!J51)</f>
        <v>62.16</v>
      </c>
      <c r="J49" s="58" t="n">
        <f aca="false">IF('01 Aluminium'!$C$51="","",'01 Aluminium'!K51)</f>
        <v>74.59</v>
      </c>
      <c r="K49" s="58" t="n">
        <f aca="false">IF('01 Aluminium'!$C$51="","",'01 Aluminium'!L51)</f>
        <v>78.32</v>
      </c>
      <c r="L49" s="57" t="str">
        <f aca="false">IF('01 Aluminium'!$C$51="","",'01 Aluminium'!M51)</f>
        <v>Indicative</v>
      </c>
      <c r="M49" s="59" t="str">
        <f aca="false">IF(D49="","",IF(AND(OR(Search!$C$6="All Categories",A49=Search!$C$6),OR(Search!$P$5="",ISNUMBER(SEARCH(" "&amp;Search!$P$5,N49))),OR(Search!$P$6="",ISNUMBER(SEARCH(" "&amp;Search!$P$6,N49))),OR(Search!$P$7="",ISNUMBER(SEARCH(" "&amp;Search!$P$7,N49))),OR(Search!$P$8="",ISNUMBER(SEARCH(" "&amp;Search!$P$8,N49))),OR(Search!$P$9="",ISNUMBER(SEARCH(" "&amp;Search!$P$9,N49))),OR(Search!$P$10="",ISNUMBER(SEARCH(" "&amp;Search!$P$10,N49)))),ROW(),""))</f>
        <v/>
      </c>
      <c r="N49" s="0" t="str">
        <f aca="false">IF(D49="",""," "&amp;SUBSTITUTE(SUBSTITUTE(SUBSTITUTE(SUBSTITUTE(SUBSTITUTE(SUBSTITUTE(SUBSTITUTE(B49&amp;" "&amp;C49&amp;" "&amp;D49&amp;" "&amp;E49&amp;" "&amp;F49&amp;" "&amp;G49&amp;" "&amp;H49&amp;" "&amp;'01 Aluminium'!R51,"("," "),")"," "),"/"," "),"-"," "),","," "),";"," "),":"," ")&amp;" ")</f>
        <v> AL 047 Pergola   Louver   Skylight Skylight rafter profile Approx. 3.20 kg m Powder coated Gulf Extrusions   Equiv. lm pc louvre shade </v>
      </c>
    </row>
    <row r="50" customFormat="false" ht="22.35" hidden="false" customHeight="false" outlineLevel="0" collapsed="false">
      <c r="A50" s="56" t="str">
        <f aca="false">IF('01 Aluminium'!$C$52="","","Aluminium Profiles &amp; Systems")</f>
        <v>Aluminium Profiles &amp; Systems</v>
      </c>
      <c r="B50" s="57" t="str">
        <f aca="false">IF('01 Aluminium'!$C$52="","",'01 Aluminium'!A52)</f>
        <v>AL-048</v>
      </c>
      <c r="C50" s="56" t="str">
        <f aca="false">IF('01 Aluminium'!$C$52="","",'01 Aluminium'!B52)</f>
        <v>Balustrade / Handrail</v>
      </c>
      <c r="D50" s="56" t="str">
        <f aca="false">IF('01 Aluminium'!$C$52="","",'01 Aluminium'!C52)</f>
        <v>Glass balustrade base shoe profile</v>
      </c>
      <c r="E50" s="56" t="str">
        <f aca="false">IF('01 Aluminium'!$C$52="","",'01 Aluminium'!D52)</f>
        <v>Heavy duty, for 12-21.52 mm glass (6.8 kg/m)</v>
      </c>
      <c r="F50" s="56" t="str">
        <f aca="false">IF('01 Aluminium'!$C$52="","",'01 Aluminium'!E52)</f>
        <v>Anodized / PC</v>
      </c>
      <c r="G50" s="56" t="str">
        <f aca="false">IF('01 Aluminium'!$C$52="","",'01 Aluminium'!F52)</f>
        <v>Local / Imported</v>
      </c>
      <c r="H50" s="57" t="str">
        <f aca="false">IF('01 Aluminium'!$C$52="","",'01 Aluminium'!G52)</f>
        <v>lm</v>
      </c>
      <c r="I50" s="58" t="n">
        <f aca="false">IF('01 Aluminium'!$C$52="","",'01 Aluminium'!J52)</f>
        <v>132.09</v>
      </c>
      <c r="J50" s="58" t="n">
        <f aca="false">IF('01 Aluminium'!$C$52="","",'01 Aluminium'!K52)</f>
        <v>158.51</v>
      </c>
      <c r="K50" s="58" t="n">
        <f aca="false">IF('01 Aluminium'!$C$52="","",'01 Aluminium'!L52)</f>
        <v>166.44</v>
      </c>
      <c r="L50" s="57" t="str">
        <f aca="false">IF('01 Aluminium'!$C$52="","",'01 Aluminium'!M52)</f>
        <v>Indicative</v>
      </c>
      <c r="M50" s="59" t="str">
        <f aca="false">IF(D50="","",IF(AND(OR(Search!$C$6="All Categories",A50=Search!$C$6),OR(Search!$P$5="",ISNUMBER(SEARCH(" "&amp;Search!$P$5,N50))),OR(Search!$P$6="",ISNUMBER(SEARCH(" "&amp;Search!$P$6,N50))),OR(Search!$P$7="",ISNUMBER(SEARCH(" "&amp;Search!$P$7,N50))),OR(Search!$P$8="",ISNUMBER(SEARCH(" "&amp;Search!$P$8,N50))),OR(Search!$P$9="",ISNUMBER(SEARCH(" "&amp;Search!$P$9,N50))),OR(Search!$P$10="",ISNUMBER(SEARCH(" "&amp;Search!$P$10,N50)))),ROW(),""))</f>
        <v/>
      </c>
      <c r="N50" s="0" t="str">
        <f aca="false">IF(D50="",""," "&amp;SUBSTITUTE(SUBSTITUTE(SUBSTITUTE(SUBSTITUTE(SUBSTITUTE(SUBSTITUTE(SUBSTITUTE(B50&amp;" "&amp;C50&amp;" "&amp;D50&amp;" "&amp;E50&amp;" "&amp;F50&amp;" "&amp;G50&amp;" "&amp;H50&amp;" "&amp;'01 Aluminium'!R52,"("," "),")"," "),"/"," "),"-"," "),","," "),";"," "),":"," ")&amp;" ")</f>
        <v> AL 048 Balustrade   Handrail Glass balustrade base shoe profile Heavy duty  for 12 21.52 mm glass  6.8 kg m  Anodized   PC Local   Imported lm 21.52mm railing handrail balustrade stainless steel </v>
      </c>
    </row>
    <row r="51" customFormat="false" ht="15" hidden="false" customHeight="false" outlineLevel="0" collapsed="false">
      <c r="A51" s="56" t="str">
        <f aca="false">IF('01 Aluminium'!$C$53="","","Aluminium Profiles &amp; Systems")</f>
        <v>Aluminium Profiles &amp; Systems</v>
      </c>
      <c r="B51" s="57" t="str">
        <f aca="false">IF('01 Aluminium'!$C$53="","",'01 Aluminium'!A53)</f>
        <v>AL-049</v>
      </c>
      <c r="C51" s="56" t="str">
        <f aca="false">IF('01 Aluminium'!$C$53="","",'01 Aluminium'!B53)</f>
        <v>Balustrade / Handrail</v>
      </c>
      <c r="D51" s="56" t="str">
        <f aca="false">IF('01 Aluminium'!$C$53="","",'01 Aluminium'!C53)</f>
        <v>Aluminium handrail - oval / round</v>
      </c>
      <c r="E51" s="56" t="str">
        <f aca="false">IF('01 Aluminium'!$C$53="","",'01 Aluminium'!D53)</f>
        <v>Approx. 0.90 kg/m</v>
      </c>
      <c r="F51" s="56" t="str">
        <f aca="false">IF('01 Aluminium'!$C$53="","",'01 Aluminium'!E53)</f>
        <v>Powder coated</v>
      </c>
      <c r="G51" s="56" t="str">
        <f aca="false">IF('01 Aluminium'!$C$53="","",'01 Aluminium'!F53)</f>
        <v>Local</v>
      </c>
      <c r="H51" s="57" t="str">
        <f aca="false">IF('01 Aluminium'!$C$53="","",'01 Aluminium'!G53)</f>
        <v>lm</v>
      </c>
      <c r="I51" s="58" t="n">
        <f aca="false">IF('01 Aluminium'!$C$53="","",'01 Aluminium'!J53)</f>
        <v>17.48</v>
      </c>
      <c r="J51" s="58" t="n">
        <f aca="false">IF('01 Aluminium'!$C$53="","",'01 Aluminium'!K53)</f>
        <v>20.98</v>
      </c>
      <c r="K51" s="58" t="n">
        <f aca="false">IF('01 Aluminium'!$C$53="","",'01 Aluminium'!L53)</f>
        <v>22.03</v>
      </c>
      <c r="L51" s="57" t="str">
        <f aca="false">IF('01 Aluminium'!$C$53="","",'01 Aluminium'!M53)</f>
        <v>Indicative</v>
      </c>
      <c r="M51" s="59" t="str">
        <f aca="false">IF(D51="","",IF(AND(OR(Search!$C$6="All Categories",A51=Search!$C$6),OR(Search!$P$5="",ISNUMBER(SEARCH(" "&amp;Search!$P$5,N51))),OR(Search!$P$6="",ISNUMBER(SEARCH(" "&amp;Search!$P$6,N51))),OR(Search!$P$7="",ISNUMBER(SEARCH(" "&amp;Search!$P$7,N51))),OR(Search!$P$8="",ISNUMBER(SEARCH(" "&amp;Search!$P$8,N51))),OR(Search!$P$9="",ISNUMBER(SEARCH(" "&amp;Search!$P$9,N51))),OR(Search!$P$10="",ISNUMBER(SEARCH(" "&amp;Search!$P$10,N51)))),ROW(),""))</f>
        <v/>
      </c>
      <c r="N51" s="0" t="str">
        <f aca="false">IF(D51="",""," "&amp;SUBSTITUTE(SUBSTITUTE(SUBSTITUTE(SUBSTITUTE(SUBSTITUTE(SUBSTITUTE(SUBSTITUTE(B51&amp;" "&amp;C51&amp;" "&amp;D51&amp;" "&amp;E51&amp;" "&amp;F51&amp;" "&amp;G51&amp;" "&amp;H51&amp;" "&amp;'01 Aluminium'!R53,"("," "),")"," "),"/"," "),"-"," "),","," "),";"," "),":"," ")&amp;" ")</f>
        <v> AL 049 Balustrade   Handrail Aluminium handrail   oval   round Approx. 0.90 kg m Powder coated Local lm aluminum alu pc railing handrail balustrade </v>
      </c>
    </row>
    <row r="52" customFormat="false" ht="15" hidden="false" customHeight="false" outlineLevel="0" collapsed="false">
      <c r="A52" s="56" t="str">
        <f aca="false">IF('01 Aluminium'!$C$54="","","Aluminium Profiles &amp; Systems")</f>
        <v>Aluminium Profiles &amp; Systems</v>
      </c>
      <c r="B52" s="57" t="str">
        <f aca="false">IF('01 Aluminium'!$C$54="","",'01 Aluminium'!A54)</f>
        <v>AL-050</v>
      </c>
      <c r="C52" s="56" t="str">
        <f aca="false">IF('01 Aluminium'!$C$54="","",'01 Aluminium'!B54)</f>
        <v>Balustrade / Handrail</v>
      </c>
      <c r="D52" s="56" t="str">
        <f aca="false">IF('01 Aluminium'!$C$54="","",'01 Aluminium'!C54)</f>
        <v>Glass top cap (U-cap) profile</v>
      </c>
      <c r="E52" s="56" t="str">
        <f aca="false">IF('01 Aluminium'!$C$54="","",'01 Aluminium'!D54)</f>
        <v>For 12-17.52 mm glass (0.55 kg/m)</v>
      </c>
      <c r="F52" s="56" t="str">
        <f aca="false">IF('01 Aluminium'!$C$54="","",'01 Aluminium'!E54)</f>
        <v>Anodized / PC</v>
      </c>
      <c r="G52" s="56" t="str">
        <f aca="false">IF('01 Aluminium'!$C$54="","",'01 Aluminium'!F54)</f>
        <v>Local</v>
      </c>
      <c r="H52" s="57" t="str">
        <f aca="false">IF('01 Aluminium'!$C$54="","",'01 Aluminium'!G54)</f>
        <v>lm</v>
      </c>
      <c r="I52" s="58" t="n">
        <f aca="false">IF('01 Aluminium'!$C$54="","",'01 Aluminium'!J54)</f>
        <v>10.69</v>
      </c>
      <c r="J52" s="58" t="n">
        <f aca="false">IF('01 Aluminium'!$C$54="","",'01 Aluminium'!K54)</f>
        <v>12.83</v>
      </c>
      <c r="K52" s="58" t="n">
        <f aca="false">IF('01 Aluminium'!$C$54="","",'01 Aluminium'!L54)</f>
        <v>13.47</v>
      </c>
      <c r="L52" s="57" t="str">
        <f aca="false">IF('01 Aluminium'!$C$54="","",'01 Aluminium'!M54)</f>
        <v>Indicative</v>
      </c>
      <c r="M52" s="59" t="str">
        <f aca="false">IF(D52="","",IF(AND(OR(Search!$C$6="All Categories",A52=Search!$C$6),OR(Search!$P$5="",ISNUMBER(SEARCH(" "&amp;Search!$P$5,N52))),OR(Search!$P$6="",ISNUMBER(SEARCH(" "&amp;Search!$P$6,N52))),OR(Search!$P$7="",ISNUMBER(SEARCH(" "&amp;Search!$P$7,N52))),OR(Search!$P$8="",ISNUMBER(SEARCH(" "&amp;Search!$P$8,N52))),OR(Search!$P$9="",ISNUMBER(SEARCH(" "&amp;Search!$P$9,N52))),OR(Search!$P$10="",ISNUMBER(SEARCH(" "&amp;Search!$P$10,N52)))),ROW(),""))</f>
        <v/>
      </c>
      <c r="N52" s="0" t="str">
        <f aca="false">IF(D52="",""," "&amp;SUBSTITUTE(SUBSTITUTE(SUBSTITUTE(SUBSTITUTE(SUBSTITUTE(SUBSTITUTE(SUBSTITUTE(B52&amp;" "&amp;C52&amp;" "&amp;D52&amp;" "&amp;E52&amp;" "&amp;F52&amp;" "&amp;G52&amp;" "&amp;H52&amp;" "&amp;'01 Aluminium'!R54,"("," "),")"," "),"/"," "),"-"," "),","," "),";"," "),":"," ")&amp;" ")</f>
        <v> AL 050 Balustrade   Handrail Glass top cap  U cap  profile For 12 17.52 mm glass  0.55 kg m  Anodized   PC Local lm 17.52mm railing handrail balustrade stainless steel </v>
      </c>
    </row>
    <row r="53" customFormat="false" ht="15" hidden="false" customHeight="false" outlineLevel="0" collapsed="false">
      <c r="A53" s="56" t="str">
        <f aca="false">IF('01 Aluminium'!$C$55="","","Aluminium Profiles &amp; Systems")</f>
        <v>Aluminium Profiles &amp; Systems</v>
      </c>
      <c r="B53" s="57" t="str">
        <f aca="false">IF('01 Aluminium'!$C$55="","",'01 Aluminium'!A55)</f>
        <v>AL-051</v>
      </c>
      <c r="C53" s="56" t="str">
        <f aca="false">IF('01 Aluminium'!$C$55="","",'01 Aluminium'!B55)</f>
        <v>Sheet &amp; Panel</v>
      </c>
      <c r="D53" s="56" t="str">
        <f aca="false">IF('01 Aluminium'!$C$55="","",'01 Aluminium'!C55)</f>
        <v>Aluminium flat sheet</v>
      </c>
      <c r="E53" s="56" t="str">
        <f aca="false">IF('01 Aluminium'!$C$55="","",'01 Aluminium'!D55)</f>
        <v>2.0 mm, 1250 x 2500</v>
      </c>
      <c r="F53" s="56" t="str">
        <f aca="false">IF('01 Aluminium'!$C$55="","",'01 Aluminium'!E55)</f>
        <v>Mill finish</v>
      </c>
      <c r="G53" s="56" t="str">
        <f aca="false">IF('01 Aluminium'!$C$55="","",'01 Aluminium'!F55)</f>
        <v>Local / Imported</v>
      </c>
      <c r="H53" s="57" t="str">
        <f aca="false">IF('01 Aluminium'!$C$55="","",'01 Aluminium'!G55)</f>
        <v>m2</v>
      </c>
      <c r="I53" s="58" t="n">
        <f aca="false">IF('01 Aluminium'!$C$55="","",'01 Aluminium'!J55)</f>
        <v>50.4</v>
      </c>
      <c r="J53" s="58" t="n">
        <f aca="false">IF('01 Aluminium'!$C$55="","",'01 Aluminium'!K55)</f>
        <v>60.48</v>
      </c>
      <c r="K53" s="58" t="n">
        <f aca="false">IF('01 Aluminium'!$C$55="","",'01 Aluminium'!L55)</f>
        <v>63.5</v>
      </c>
      <c r="L53" s="57" t="str">
        <f aca="false">IF('01 Aluminium'!$C$55="","",'01 Aluminium'!M55)</f>
        <v>Indicative</v>
      </c>
      <c r="M53" s="59" t="n">
        <f aca="false">IF(D53="","",IF(AND(OR(Search!$C$6="All Categories",A53=Search!$C$6),OR(Search!$P$5="",ISNUMBER(SEARCH(" "&amp;Search!$P$5,N53))),OR(Search!$P$6="",ISNUMBER(SEARCH(" "&amp;Search!$P$6,N53))),OR(Search!$P$7="",ISNUMBER(SEARCH(" "&amp;Search!$P$7,N53))),OR(Search!$P$8="",ISNUMBER(SEARCH(" "&amp;Search!$P$8,N53))),OR(Search!$P$9="",ISNUMBER(SEARCH(" "&amp;Search!$P$9,N53))),OR(Search!$P$10="",ISNUMBER(SEARCH(" "&amp;Search!$P$10,N53)))),ROW(),""))</f>
        <v>53</v>
      </c>
      <c r="N53" s="0" t="str">
        <f aca="false">IF(D53="",""," "&amp;SUBSTITUTE(SUBSTITUTE(SUBSTITUTE(SUBSTITUTE(SUBSTITUTE(SUBSTITUTE(SUBSTITUTE(B53&amp;" "&amp;C53&amp;" "&amp;D53&amp;" "&amp;E53&amp;" "&amp;F53&amp;" "&amp;G53&amp;" "&amp;H53&amp;" "&amp;'01 Aluminium'!R55,"("," "),")"," "),"/"," "),"-"," "),","," "),";"," "),":"," ")&amp;" ")</f>
        <v> AL 051 Sheet &amp; Panel Aluminium flat sheet 2.0 mm  1250 x 2500 Mill finish Local   Imported m2 1250x2500 2.0mm aluminum alu </v>
      </c>
    </row>
    <row r="54" customFormat="false" ht="15" hidden="false" customHeight="false" outlineLevel="0" collapsed="false">
      <c r="A54" s="56" t="str">
        <f aca="false">IF('01 Aluminium'!$C$56="","","Aluminium Profiles &amp; Systems")</f>
        <v>Aluminium Profiles &amp; Systems</v>
      </c>
      <c r="B54" s="57" t="str">
        <f aca="false">IF('01 Aluminium'!$C$56="","",'01 Aluminium'!A56)</f>
        <v>AL-052</v>
      </c>
      <c r="C54" s="56" t="str">
        <f aca="false">IF('01 Aluminium'!$C$56="","",'01 Aluminium'!B56)</f>
        <v>Sheet &amp; Panel</v>
      </c>
      <c r="D54" s="56" t="str">
        <f aca="false">IF('01 Aluminium'!$C$56="","",'01 Aluminium'!C56)</f>
        <v>Aluminium flat sheet</v>
      </c>
      <c r="E54" s="56" t="str">
        <f aca="false">IF('01 Aluminium'!$C$56="","",'01 Aluminium'!D56)</f>
        <v>3.0 mm, 1250 x 2500</v>
      </c>
      <c r="F54" s="56" t="str">
        <f aca="false">IF('01 Aluminium'!$C$56="","",'01 Aluminium'!E56)</f>
        <v>Mill finish</v>
      </c>
      <c r="G54" s="56" t="str">
        <f aca="false">IF('01 Aluminium'!$C$56="","",'01 Aluminium'!F56)</f>
        <v>Local / Imported</v>
      </c>
      <c r="H54" s="57" t="str">
        <f aca="false">IF('01 Aluminium'!$C$56="","",'01 Aluminium'!G56)</f>
        <v>m2</v>
      </c>
      <c r="I54" s="58" t="n">
        <f aca="false">IF('01 Aluminium'!$C$56="","",'01 Aluminium'!J56)</f>
        <v>73.5</v>
      </c>
      <c r="J54" s="58" t="n">
        <f aca="false">IF('01 Aluminium'!$C$56="","",'01 Aluminium'!K56)</f>
        <v>88.2</v>
      </c>
      <c r="K54" s="58" t="n">
        <f aca="false">IF('01 Aluminium'!$C$56="","",'01 Aluminium'!L56)</f>
        <v>92.61</v>
      </c>
      <c r="L54" s="57" t="str">
        <f aca="false">IF('01 Aluminium'!$C$56="","",'01 Aluminium'!M56)</f>
        <v>Indicative</v>
      </c>
      <c r="M54" s="59" t="n">
        <f aca="false">IF(D54="","",IF(AND(OR(Search!$C$6="All Categories",A54=Search!$C$6),OR(Search!$P$5="",ISNUMBER(SEARCH(" "&amp;Search!$P$5,N54))),OR(Search!$P$6="",ISNUMBER(SEARCH(" "&amp;Search!$P$6,N54))),OR(Search!$P$7="",ISNUMBER(SEARCH(" "&amp;Search!$P$7,N54))),OR(Search!$P$8="",ISNUMBER(SEARCH(" "&amp;Search!$P$8,N54))),OR(Search!$P$9="",ISNUMBER(SEARCH(" "&amp;Search!$P$9,N54))),OR(Search!$P$10="",ISNUMBER(SEARCH(" "&amp;Search!$P$10,N54)))),ROW(),""))</f>
        <v>54</v>
      </c>
      <c r="N54" s="0" t="str">
        <f aca="false">IF(D54="",""," "&amp;SUBSTITUTE(SUBSTITUTE(SUBSTITUTE(SUBSTITUTE(SUBSTITUTE(SUBSTITUTE(SUBSTITUTE(B54&amp;" "&amp;C54&amp;" "&amp;D54&amp;" "&amp;E54&amp;" "&amp;F54&amp;" "&amp;G54&amp;" "&amp;H54&amp;" "&amp;'01 Aluminium'!R56,"("," "),")"," "),"/"," "),"-"," "),","," "),";"," "),":"," ")&amp;" ")</f>
        <v> AL 052 Sheet &amp; Panel Aluminium flat sheet 3.0 mm  1250 x 2500 Mill finish Local   Imported m2 1250x2500 3.0mm aluminum alu </v>
      </c>
    </row>
    <row r="55" customFormat="false" ht="15" hidden="false" customHeight="false" outlineLevel="0" collapsed="false">
      <c r="A55" s="56" t="str">
        <f aca="false">IF('01 Aluminium'!$C$57="","","Aluminium Profiles &amp; Systems")</f>
        <v>Aluminium Profiles &amp; Systems</v>
      </c>
      <c r="B55" s="57" t="str">
        <f aca="false">IF('01 Aluminium'!$C$57="","",'01 Aluminium'!A57)</f>
        <v>AL-053</v>
      </c>
      <c r="C55" s="56" t="str">
        <f aca="false">IF('01 Aluminium'!$C$57="","",'01 Aluminium'!B57)</f>
        <v>Sheet &amp; Panel</v>
      </c>
      <c r="D55" s="56" t="str">
        <f aca="false">IF('01 Aluminium'!$C$57="","",'01 Aluminium'!C57)</f>
        <v>Aluminium chequered plate</v>
      </c>
      <c r="E55" s="56" t="str">
        <f aca="false">IF('01 Aluminium'!$C$57="","",'01 Aluminium'!D57)</f>
        <v>3.0 mm tread</v>
      </c>
      <c r="F55" s="56" t="str">
        <f aca="false">IF('01 Aluminium'!$C$57="","",'01 Aluminium'!E57)</f>
        <v>Mill finish</v>
      </c>
      <c r="G55" s="56" t="str">
        <f aca="false">IF('01 Aluminium'!$C$57="","",'01 Aluminium'!F57)</f>
        <v>Local / Imported</v>
      </c>
      <c r="H55" s="57" t="str">
        <f aca="false">IF('01 Aluminium'!$C$57="","",'01 Aluminium'!G57)</f>
        <v>m2</v>
      </c>
      <c r="I55" s="58" t="n">
        <f aca="false">IF('01 Aluminium'!$C$57="","",'01 Aluminium'!J57)</f>
        <v>89.25</v>
      </c>
      <c r="J55" s="58" t="n">
        <f aca="false">IF('01 Aluminium'!$C$57="","",'01 Aluminium'!K57)</f>
        <v>107.1</v>
      </c>
      <c r="K55" s="58" t="n">
        <f aca="false">IF('01 Aluminium'!$C$57="","",'01 Aluminium'!L57)</f>
        <v>112.46</v>
      </c>
      <c r="L55" s="57" t="str">
        <f aca="false">IF('01 Aluminium'!$C$57="","",'01 Aluminium'!M57)</f>
        <v>Indicative</v>
      </c>
      <c r="M55" s="59" t="n">
        <f aca="false">IF(D55="","",IF(AND(OR(Search!$C$6="All Categories",A55=Search!$C$6),OR(Search!$P$5="",ISNUMBER(SEARCH(" "&amp;Search!$P$5,N55))),OR(Search!$P$6="",ISNUMBER(SEARCH(" "&amp;Search!$P$6,N55))),OR(Search!$P$7="",ISNUMBER(SEARCH(" "&amp;Search!$P$7,N55))),OR(Search!$P$8="",ISNUMBER(SEARCH(" "&amp;Search!$P$8,N55))),OR(Search!$P$9="",ISNUMBER(SEARCH(" "&amp;Search!$P$9,N55))),OR(Search!$P$10="",ISNUMBER(SEARCH(" "&amp;Search!$P$10,N55)))),ROW(),""))</f>
        <v>55</v>
      </c>
      <c r="N55" s="0" t="str">
        <f aca="false">IF(D55="",""," "&amp;SUBSTITUTE(SUBSTITUTE(SUBSTITUTE(SUBSTITUTE(SUBSTITUTE(SUBSTITUTE(SUBSTITUTE(B55&amp;" "&amp;C55&amp;" "&amp;D55&amp;" "&amp;E55&amp;" "&amp;F55&amp;" "&amp;G55&amp;" "&amp;H55&amp;" "&amp;'01 Aluminium'!R57,"("," "),")"," "),"/"," "),"-"," "),","," "),";"," "),":"," ")&amp;" ")</f>
        <v> AL 053 Sheet &amp; Panel Aluminium chequered plate 3.0 mm tread Mill finish Local   Imported m2 3.0mm aluminum alu checker anti slip </v>
      </c>
    </row>
    <row r="56" customFormat="false" ht="15" hidden="false" customHeight="false" outlineLevel="0" collapsed="false">
      <c r="A56" s="56" t="str">
        <f aca="false">IF('01 Aluminium'!$C$58="","","Aluminium Profiles &amp; Systems")</f>
        <v/>
      </c>
      <c r="B56" s="57" t="str">
        <f aca="false">IF('01 Aluminium'!$C$58="","",'01 Aluminium'!A58)</f>
        <v/>
      </c>
      <c r="C56" s="56" t="str">
        <f aca="false">IF('01 Aluminium'!$C$58="","",'01 Aluminium'!B58)</f>
        <v/>
      </c>
      <c r="D56" s="56" t="str">
        <f aca="false">IF('01 Aluminium'!$C$58="","",'01 Aluminium'!C58)</f>
        <v/>
      </c>
      <c r="E56" s="56" t="str">
        <f aca="false">IF('01 Aluminium'!$C$58="","",'01 Aluminium'!D58)</f>
        <v/>
      </c>
      <c r="F56" s="56" t="str">
        <f aca="false">IF('01 Aluminium'!$C$58="","",'01 Aluminium'!E58)</f>
        <v/>
      </c>
      <c r="G56" s="56" t="str">
        <f aca="false">IF('01 Aluminium'!$C$58="","",'01 Aluminium'!F58)</f>
        <v/>
      </c>
      <c r="H56" s="57" t="str">
        <f aca="false">IF('01 Aluminium'!$C$58="","",'01 Aluminium'!G58)</f>
        <v/>
      </c>
      <c r="I56" s="58" t="str">
        <f aca="false">IF('01 Aluminium'!$C$58="","",'01 Aluminium'!J58)</f>
        <v/>
      </c>
      <c r="J56" s="58" t="str">
        <f aca="false">IF('01 Aluminium'!$C$58="","",'01 Aluminium'!K58)</f>
        <v/>
      </c>
      <c r="K56" s="58" t="str">
        <f aca="false">IF('01 Aluminium'!$C$58="","",'01 Aluminium'!L58)</f>
        <v/>
      </c>
      <c r="L56" s="57" t="str">
        <f aca="false">IF('01 Aluminium'!$C$58="","",'01 Aluminium'!M58)</f>
        <v/>
      </c>
      <c r="M56" s="59" t="str">
        <f aca="false">IF(D56="","",IF(AND(OR(Search!$C$6="All Categories",A56=Search!$C$6),OR(Search!$P$5="",ISNUMBER(SEARCH(" "&amp;Search!$P$5,N56))),OR(Search!$P$6="",ISNUMBER(SEARCH(" "&amp;Search!$P$6,N56))),OR(Search!$P$7="",ISNUMBER(SEARCH(" "&amp;Search!$P$7,N56))),OR(Search!$P$8="",ISNUMBER(SEARCH(" "&amp;Search!$P$8,N56))),OR(Search!$P$9="",ISNUMBER(SEARCH(" "&amp;Search!$P$9,N56))),OR(Search!$P$10="",ISNUMBER(SEARCH(" "&amp;Search!$P$10,N56)))),ROW(),""))</f>
        <v/>
      </c>
      <c r="N56" s="0" t="str">
        <f aca="false">IF(D56="",""," "&amp;SUBSTITUTE(SUBSTITUTE(SUBSTITUTE(SUBSTITUTE(SUBSTITUTE(SUBSTITUTE(SUBSTITUTE(B56&amp;" "&amp;C56&amp;" "&amp;D56&amp;" "&amp;E56&amp;" "&amp;F56&amp;" "&amp;G56&amp;" "&amp;H56&amp;" "&amp;'01 Aluminium'!R58,"("," "),")"," "),"/"," "),"-"," "),","," "),";"," "),":"," ")&amp;" ")</f>
        <v/>
      </c>
    </row>
    <row r="57" customFormat="false" ht="15" hidden="false" customHeight="false" outlineLevel="0" collapsed="false">
      <c r="A57" s="56" t="str">
        <f aca="false">IF('01 Aluminium'!$C$59="","","Aluminium Profiles &amp; Systems")</f>
        <v/>
      </c>
      <c r="B57" s="57" t="str">
        <f aca="false">IF('01 Aluminium'!$C$59="","",'01 Aluminium'!A59)</f>
        <v/>
      </c>
      <c r="C57" s="56" t="str">
        <f aca="false">IF('01 Aluminium'!$C$59="","",'01 Aluminium'!B59)</f>
        <v/>
      </c>
      <c r="D57" s="56" t="str">
        <f aca="false">IF('01 Aluminium'!$C$59="","",'01 Aluminium'!C59)</f>
        <v/>
      </c>
      <c r="E57" s="56" t="str">
        <f aca="false">IF('01 Aluminium'!$C$59="","",'01 Aluminium'!D59)</f>
        <v/>
      </c>
      <c r="F57" s="56" t="str">
        <f aca="false">IF('01 Aluminium'!$C$59="","",'01 Aluminium'!E59)</f>
        <v/>
      </c>
      <c r="G57" s="56" t="str">
        <f aca="false">IF('01 Aluminium'!$C$59="","",'01 Aluminium'!F59)</f>
        <v/>
      </c>
      <c r="H57" s="57" t="str">
        <f aca="false">IF('01 Aluminium'!$C$59="","",'01 Aluminium'!G59)</f>
        <v/>
      </c>
      <c r="I57" s="58" t="str">
        <f aca="false">IF('01 Aluminium'!$C$59="","",'01 Aluminium'!J59)</f>
        <v/>
      </c>
      <c r="J57" s="58" t="str">
        <f aca="false">IF('01 Aluminium'!$C$59="","",'01 Aluminium'!K59)</f>
        <v/>
      </c>
      <c r="K57" s="58" t="str">
        <f aca="false">IF('01 Aluminium'!$C$59="","",'01 Aluminium'!L59)</f>
        <v/>
      </c>
      <c r="L57" s="57" t="str">
        <f aca="false">IF('01 Aluminium'!$C$59="","",'01 Aluminium'!M59)</f>
        <v/>
      </c>
      <c r="M57" s="59" t="str">
        <f aca="false">IF(D57="","",IF(AND(OR(Search!$C$6="All Categories",A57=Search!$C$6),OR(Search!$P$5="",ISNUMBER(SEARCH(" "&amp;Search!$P$5,N57))),OR(Search!$P$6="",ISNUMBER(SEARCH(" "&amp;Search!$P$6,N57))),OR(Search!$P$7="",ISNUMBER(SEARCH(" "&amp;Search!$P$7,N57))),OR(Search!$P$8="",ISNUMBER(SEARCH(" "&amp;Search!$P$8,N57))),OR(Search!$P$9="",ISNUMBER(SEARCH(" "&amp;Search!$P$9,N57))),OR(Search!$P$10="",ISNUMBER(SEARCH(" "&amp;Search!$P$10,N57)))),ROW(),""))</f>
        <v/>
      </c>
      <c r="N57" s="0" t="str">
        <f aca="false">IF(D57="",""," "&amp;SUBSTITUTE(SUBSTITUTE(SUBSTITUTE(SUBSTITUTE(SUBSTITUTE(SUBSTITUTE(SUBSTITUTE(B57&amp;" "&amp;C57&amp;" "&amp;D57&amp;" "&amp;E57&amp;" "&amp;F57&amp;" "&amp;G57&amp;" "&amp;H57&amp;" "&amp;'01 Aluminium'!R59,"("," "),")"," "),"/"," "),"-"," "),","," "),";"," "),":"," ")&amp;" ")</f>
        <v/>
      </c>
    </row>
    <row r="58" customFormat="false" ht="15" hidden="false" customHeight="false" outlineLevel="0" collapsed="false">
      <c r="A58" s="56" t="str">
        <f aca="false">IF('01 Aluminium'!$C$60="","","Aluminium Profiles &amp; Systems")</f>
        <v/>
      </c>
      <c r="B58" s="57" t="str">
        <f aca="false">IF('01 Aluminium'!$C$60="","",'01 Aluminium'!A60)</f>
        <v/>
      </c>
      <c r="C58" s="56" t="str">
        <f aca="false">IF('01 Aluminium'!$C$60="","",'01 Aluminium'!B60)</f>
        <v/>
      </c>
      <c r="D58" s="56" t="str">
        <f aca="false">IF('01 Aluminium'!$C$60="","",'01 Aluminium'!C60)</f>
        <v/>
      </c>
      <c r="E58" s="56" t="str">
        <f aca="false">IF('01 Aluminium'!$C$60="","",'01 Aluminium'!D60)</f>
        <v/>
      </c>
      <c r="F58" s="56" t="str">
        <f aca="false">IF('01 Aluminium'!$C$60="","",'01 Aluminium'!E60)</f>
        <v/>
      </c>
      <c r="G58" s="56" t="str">
        <f aca="false">IF('01 Aluminium'!$C$60="","",'01 Aluminium'!F60)</f>
        <v/>
      </c>
      <c r="H58" s="57" t="str">
        <f aca="false">IF('01 Aluminium'!$C$60="","",'01 Aluminium'!G60)</f>
        <v/>
      </c>
      <c r="I58" s="58" t="str">
        <f aca="false">IF('01 Aluminium'!$C$60="","",'01 Aluminium'!J60)</f>
        <v/>
      </c>
      <c r="J58" s="58" t="str">
        <f aca="false">IF('01 Aluminium'!$C$60="","",'01 Aluminium'!K60)</f>
        <v/>
      </c>
      <c r="K58" s="58" t="str">
        <f aca="false">IF('01 Aluminium'!$C$60="","",'01 Aluminium'!L60)</f>
        <v/>
      </c>
      <c r="L58" s="57" t="str">
        <f aca="false">IF('01 Aluminium'!$C$60="","",'01 Aluminium'!M60)</f>
        <v/>
      </c>
      <c r="M58" s="59" t="str">
        <f aca="false">IF(D58="","",IF(AND(OR(Search!$C$6="All Categories",A58=Search!$C$6),OR(Search!$P$5="",ISNUMBER(SEARCH(" "&amp;Search!$P$5,N58))),OR(Search!$P$6="",ISNUMBER(SEARCH(" "&amp;Search!$P$6,N58))),OR(Search!$P$7="",ISNUMBER(SEARCH(" "&amp;Search!$P$7,N58))),OR(Search!$P$8="",ISNUMBER(SEARCH(" "&amp;Search!$P$8,N58))),OR(Search!$P$9="",ISNUMBER(SEARCH(" "&amp;Search!$P$9,N58))),OR(Search!$P$10="",ISNUMBER(SEARCH(" "&amp;Search!$P$10,N58)))),ROW(),""))</f>
        <v/>
      </c>
      <c r="N58" s="0" t="str">
        <f aca="false">IF(D58="",""," "&amp;SUBSTITUTE(SUBSTITUTE(SUBSTITUTE(SUBSTITUTE(SUBSTITUTE(SUBSTITUTE(SUBSTITUTE(B58&amp;" "&amp;C58&amp;" "&amp;D58&amp;" "&amp;E58&amp;" "&amp;F58&amp;" "&amp;G58&amp;" "&amp;H58&amp;" "&amp;'01 Aluminium'!R60,"("," "),")"," "),"/"," "),"-"," "),","," "),";"," "),":"," ")&amp;" ")</f>
        <v/>
      </c>
    </row>
    <row r="59" customFormat="false" ht="15" hidden="false" customHeight="false" outlineLevel="0" collapsed="false">
      <c r="A59" s="56" t="str">
        <f aca="false">IF('01 Aluminium'!$C$61="","","Aluminium Profiles &amp; Systems")</f>
        <v/>
      </c>
      <c r="B59" s="57" t="str">
        <f aca="false">IF('01 Aluminium'!$C$61="","",'01 Aluminium'!A61)</f>
        <v/>
      </c>
      <c r="C59" s="56" t="str">
        <f aca="false">IF('01 Aluminium'!$C$61="","",'01 Aluminium'!B61)</f>
        <v/>
      </c>
      <c r="D59" s="56" t="str">
        <f aca="false">IF('01 Aluminium'!$C$61="","",'01 Aluminium'!C61)</f>
        <v/>
      </c>
      <c r="E59" s="56" t="str">
        <f aca="false">IF('01 Aluminium'!$C$61="","",'01 Aluminium'!D61)</f>
        <v/>
      </c>
      <c r="F59" s="56" t="str">
        <f aca="false">IF('01 Aluminium'!$C$61="","",'01 Aluminium'!E61)</f>
        <v/>
      </c>
      <c r="G59" s="56" t="str">
        <f aca="false">IF('01 Aluminium'!$C$61="","",'01 Aluminium'!F61)</f>
        <v/>
      </c>
      <c r="H59" s="57" t="str">
        <f aca="false">IF('01 Aluminium'!$C$61="","",'01 Aluminium'!G61)</f>
        <v/>
      </c>
      <c r="I59" s="58" t="str">
        <f aca="false">IF('01 Aluminium'!$C$61="","",'01 Aluminium'!J61)</f>
        <v/>
      </c>
      <c r="J59" s="58" t="str">
        <f aca="false">IF('01 Aluminium'!$C$61="","",'01 Aluminium'!K61)</f>
        <v/>
      </c>
      <c r="K59" s="58" t="str">
        <f aca="false">IF('01 Aluminium'!$C$61="","",'01 Aluminium'!L61)</f>
        <v/>
      </c>
      <c r="L59" s="57" t="str">
        <f aca="false">IF('01 Aluminium'!$C$61="","",'01 Aluminium'!M61)</f>
        <v/>
      </c>
      <c r="M59" s="59" t="str">
        <f aca="false">IF(D59="","",IF(AND(OR(Search!$C$6="All Categories",A59=Search!$C$6),OR(Search!$P$5="",ISNUMBER(SEARCH(" "&amp;Search!$P$5,N59))),OR(Search!$P$6="",ISNUMBER(SEARCH(" "&amp;Search!$P$6,N59))),OR(Search!$P$7="",ISNUMBER(SEARCH(" "&amp;Search!$P$7,N59))),OR(Search!$P$8="",ISNUMBER(SEARCH(" "&amp;Search!$P$8,N59))),OR(Search!$P$9="",ISNUMBER(SEARCH(" "&amp;Search!$P$9,N59))),OR(Search!$P$10="",ISNUMBER(SEARCH(" "&amp;Search!$P$10,N59)))),ROW(),""))</f>
        <v/>
      </c>
      <c r="N59" s="0" t="str">
        <f aca="false">IF(D59="",""," "&amp;SUBSTITUTE(SUBSTITUTE(SUBSTITUTE(SUBSTITUTE(SUBSTITUTE(SUBSTITUTE(SUBSTITUTE(B59&amp;" "&amp;C59&amp;" "&amp;D59&amp;" "&amp;E59&amp;" "&amp;F59&amp;" "&amp;G59&amp;" "&amp;H59&amp;" "&amp;'01 Aluminium'!R61,"("," "),")"," "),"/"," "),"-"," "),","," "),";"," "),":"," ")&amp;" ")</f>
        <v/>
      </c>
    </row>
    <row r="60" customFormat="false" ht="15" hidden="false" customHeight="false" outlineLevel="0" collapsed="false">
      <c r="A60" s="56" t="str">
        <f aca="false">IF('01 Aluminium'!$C$62="","","Aluminium Profiles &amp; Systems")</f>
        <v/>
      </c>
      <c r="B60" s="57" t="str">
        <f aca="false">IF('01 Aluminium'!$C$62="","",'01 Aluminium'!A62)</f>
        <v/>
      </c>
      <c r="C60" s="56" t="str">
        <f aca="false">IF('01 Aluminium'!$C$62="","",'01 Aluminium'!B62)</f>
        <v/>
      </c>
      <c r="D60" s="56" t="str">
        <f aca="false">IF('01 Aluminium'!$C$62="","",'01 Aluminium'!C62)</f>
        <v/>
      </c>
      <c r="E60" s="56" t="str">
        <f aca="false">IF('01 Aluminium'!$C$62="","",'01 Aluminium'!D62)</f>
        <v/>
      </c>
      <c r="F60" s="56" t="str">
        <f aca="false">IF('01 Aluminium'!$C$62="","",'01 Aluminium'!E62)</f>
        <v/>
      </c>
      <c r="G60" s="56" t="str">
        <f aca="false">IF('01 Aluminium'!$C$62="","",'01 Aluminium'!F62)</f>
        <v/>
      </c>
      <c r="H60" s="57" t="str">
        <f aca="false">IF('01 Aluminium'!$C$62="","",'01 Aluminium'!G62)</f>
        <v/>
      </c>
      <c r="I60" s="58" t="str">
        <f aca="false">IF('01 Aluminium'!$C$62="","",'01 Aluminium'!J62)</f>
        <v/>
      </c>
      <c r="J60" s="58" t="str">
        <f aca="false">IF('01 Aluminium'!$C$62="","",'01 Aluminium'!K62)</f>
        <v/>
      </c>
      <c r="K60" s="58" t="str">
        <f aca="false">IF('01 Aluminium'!$C$62="","",'01 Aluminium'!L62)</f>
        <v/>
      </c>
      <c r="L60" s="57" t="str">
        <f aca="false">IF('01 Aluminium'!$C$62="","",'01 Aluminium'!M62)</f>
        <v/>
      </c>
      <c r="M60" s="59" t="str">
        <f aca="false">IF(D60="","",IF(AND(OR(Search!$C$6="All Categories",A60=Search!$C$6),OR(Search!$P$5="",ISNUMBER(SEARCH(" "&amp;Search!$P$5,N60))),OR(Search!$P$6="",ISNUMBER(SEARCH(" "&amp;Search!$P$6,N60))),OR(Search!$P$7="",ISNUMBER(SEARCH(" "&amp;Search!$P$7,N60))),OR(Search!$P$8="",ISNUMBER(SEARCH(" "&amp;Search!$P$8,N60))),OR(Search!$P$9="",ISNUMBER(SEARCH(" "&amp;Search!$P$9,N60))),OR(Search!$P$10="",ISNUMBER(SEARCH(" "&amp;Search!$P$10,N60)))),ROW(),""))</f>
        <v/>
      </c>
      <c r="N60" s="0" t="str">
        <f aca="false">IF(D60="",""," "&amp;SUBSTITUTE(SUBSTITUTE(SUBSTITUTE(SUBSTITUTE(SUBSTITUTE(SUBSTITUTE(SUBSTITUTE(B60&amp;" "&amp;C60&amp;" "&amp;D60&amp;" "&amp;E60&amp;" "&amp;F60&amp;" "&amp;G60&amp;" "&amp;H60&amp;" "&amp;'01 Aluminium'!R62,"("," "),")"," "),"/"," "),"-"," "),","," "),";"," "),":"," ")&amp;" ")</f>
        <v/>
      </c>
    </row>
    <row r="61" customFormat="false" ht="15" hidden="false" customHeight="false" outlineLevel="0" collapsed="false">
      <c r="A61" s="56" t="str">
        <f aca="false">IF('01 Aluminium'!$C$63="","","Aluminium Profiles &amp; Systems")</f>
        <v/>
      </c>
      <c r="B61" s="57" t="str">
        <f aca="false">IF('01 Aluminium'!$C$63="","",'01 Aluminium'!A63)</f>
        <v/>
      </c>
      <c r="C61" s="56" t="str">
        <f aca="false">IF('01 Aluminium'!$C$63="","",'01 Aluminium'!B63)</f>
        <v/>
      </c>
      <c r="D61" s="56" t="str">
        <f aca="false">IF('01 Aluminium'!$C$63="","",'01 Aluminium'!C63)</f>
        <v/>
      </c>
      <c r="E61" s="56" t="str">
        <f aca="false">IF('01 Aluminium'!$C$63="","",'01 Aluminium'!D63)</f>
        <v/>
      </c>
      <c r="F61" s="56" t="str">
        <f aca="false">IF('01 Aluminium'!$C$63="","",'01 Aluminium'!E63)</f>
        <v/>
      </c>
      <c r="G61" s="56" t="str">
        <f aca="false">IF('01 Aluminium'!$C$63="","",'01 Aluminium'!F63)</f>
        <v/>
      </c>
      <c r="H61" s="57" t="str">
        <f aca="false">IF('01 Aluminium'!$C$63="","",'01 Aluminium'!G63)</f>
        <v/>
      </c>
      <c r="I61" s="58" t="str">
        <f aca="false">IF('01 Aluminium'!$C$63="","",'01 Aluminium'!J63)</f>
        <v/>
      </c>
      <c r="J61" s="58" t="str">
        <f aca="false">IF('01 Aluminium'!$C$63="","",'01 Aluminium'!K63)</f>
        <v/>
      </c>
      <c r="K61" s="58" t="str">
        <f aca="false">IF('01 Aluminium'!$C$63="","",'01 Aluminium'!L63)</f>
        <v/>
      </c>
      <c r="L61" s="57" t="str">
        <f aca="false">IF('01 Aluminium'!$C$63="","",'01 Aluminium'!M63)</f>
        <v/>
      </c>
      <c r="M61" s="59" t="str">
        <f aca="false">IF(D61="","",IF(AND(OR(Search!$C$6="All Categories",A61=Search!$C$6),OR(Search!$P$5="",ISNUMBER(SEARCH(" "&amp;Search!$P$5,N61))),OR(Search!$P$6="",ISNUMBER(SEARCH(" "&amp;Search!$P$6,N61))),OR(Search!$P$7="",ISNUMBER(SEARCH(" "&amp;Search!$P$7,N61))),OR(Search!$P$8="",ISNUMBER(SEARCH(" "&amp;Search!$P$8,N61))),OR(Search!$P$9="",ISNUMBER(SEARCH(" "&amp;Search!$P$9,N61))),OR(Search!$P$10="",ISNUMBER(SEARCH(" "&amp;Search!$P$10,N61)))),ROW(),""))</f>
        <v/>
      </c>
      <c r="N61" s="0" t="str">
        <f aca="false">IF(D61="",""," "&amp;SUBSTITUTE(SUBSTITUTE(SUBSTITUTE(SUBSTITUTE(SUBSTITUTE(SUBSTITUTE(SUBSTITUTE(B61&amp;" "&amp;C61&amp;" "&amp;D61&amp;" "&amp;E61&amp;" "&amp;F61&amp;" "&amp;G61&amp;" "&amp;H61&amp;" "&amp;'01 Aluminium'!R63,"("," "),")"," "),"/"," "),"-"," "),","," "),";"," "),":"," ")&amp;" ")</f>
        <v/>
      </c>
    </row>
    <row r="62" customFormat="false" ht="15" hidden="false" customHeight="false" outlineLevel="0" collapsed="false">
      <c r="A62" s="56" t="str">
        <f aca="false">IF('01 Aluminium'!$C$64="","","Aluminium Profiles &amp; Systems")</f>
        <v/>
      </c>
      <c r="B62" s="57" t="str">
        <f aca="false">IF('01 Aluminium'!$C$64="","",'01 Aluminium'!A64)</f>
        <v/>
      </c>
      <c r="C62" s="56" t="str">
        <f aca="false">IF('01 Aluminium'!$C$64="","",'01 Aluminium'!B64)</f>
        <v/>
      </c>
      <c r="D62" s="56" t="str">
        <f aca="false">IF('01 Aluminium'!$C$64="","",'01 Aluminium'!C64)</f>
        <v/>
      </c>
      <c r="E62" s="56" t="str">
        <f aca="false">IF('01 Aluminium'!$C$64="","",'01 Aluminium'!D64)</f>
        <v/>
      </c>
      <c r="F62" s="56" t="str">
        <f aca="false">IF('01 Aluminium'!$C$64="","",'01 Aluminium'!E64)</f>
        <v/>
      </c>
      <c r="G62" s="56" t="str">
        <f aca="false">IF('01 Aluminium'!$C$64="","",'01 Aluminium'!F64)</f>
        <v/>
      </c>
      <c r="H62" s="57" t="str">
        <f aca="false">IF('01 Aluminium'!$C$64="","",'01 Aluminium'!G64)</f>
        <v/>
      </c>
      <c r="I62" s="58" t="str">
        <f aca="false">IF('01 Aluminium'!$C$64="","",'01 Aluminium'!J64)</f>
        <v/>
      </c>
      <c r="J62" s="58" t="str">
        <f aca="false">IF('01 Aluminium'!$C$64="","",'01 Aluminium'!K64)</f>
        <v/>
      </c>
      <c r="K62" s="58" t="str">
        <f aca="false">IF('01 Aluminium'!$C$64="","",'01 Aluminium'!L64)</f>
        <v/>
      </c>
      <c r="L62" s="57" t="str">
        <f aca="false">IF('01 Aluminium'!$C$64="","",'01 Aluminium'!M64)</f>
        <v/>
      </c>
      <c r="M62" s="59" t="str">
        <f aca="false">IF(D62="","",IF(AND(OR(Search!$C$6="All Categories",A62=Search!$C$6),OR(Search!$P$5="",ISNUMBER(SEARCH(" "&amp;Search!$P$5,N62))),OR(Search!$P$6="",ISNUMBER(SEARCH(" "&amp;Search!$P$6,N62))),OR(Search!$P$7="",ISNUMBER(SEARCH(" "&amp;Search!$P$7,N62))),OR(Search!$P$8="",ISNUMBER(SEARCH(" "&amp;Search!$P$8,N62))),OR(Search!$P$9="",ISNUMBER(SEARCH(" "&amp;Search!$P$9,N62))),OR(Search!$P$10="",ISNUMBER(SEARCH(" "&amp;Search!$P$10,N62)))),ROW(),""))</f>
        <v/>
      </c>
      <c r="N62" s="0" t="str">
        <f aca="false">IF(D62="",""," "&amp;SUBSTITUTE(SUBSTITUTE(SUBSTITUTE(SUBSTITUTE(SUBSTITUTE(SUBSTITUTE(SUBSTITUTE(B62&amp;" "&amp;C62&amp;" "&amp;D62&amp;" "&amp;E62&amp;" "&amp;F62&amp;" "&amp;G62&amp;" "&amp;H62&amp;" "&amp;'01 Aluminium'!R64,"("," "),")"," "),"/"," "),"-"," "),","," "),";"," "),":"," ")&amp;" ")</f>
        <v/>
      </c>
    </row>
    <row r="63" customFormat="false" ht="15" hidden="false" customHeight="false" outlineLevel="0" collapsed="false">
      <c r="A63" s="56" t="str">
        <f aca="false">IF('01 Aluminium'!$C$65="","","Aluminium Profiles &amp; Systems")</f>
        <v/>
      </c>
      <c r="B63" s="57" t="str">
        <f aca="false">IF('01 Aluminium'!$C$65="","",'01 Aluminium'!A65)</f>
        <v/>
      </c>
      <c r="C63" s="56" t="str">
        <f aca="false">IF('01 Aluminium'!$C$65="","",'01 Aluminium'!B65)</f>
        <v/>
      </c>
      <c r="D63" s="56" t="str">
        <f aca="false">IF('01 Aluminium'!$C$65="","",'01 Aluminium'!C65)</f>
        <v/>
      </c>
      <c r="E63" s="56" t="str">
        <f aca="false">IF('01 Aluminium'!$C$65="","",'01 Aluminium'!D65)</f>
        <v/>
      </c>
      <c r="F63" s="56" t="str">
        <f aca="false">IF('01 Aluminium'!$C$65="","",'01 Aluminium'!E65)</f>
        <v/>
      </c>
      <c r="G63" s="56" t="str">
        <f aca="false">IF('01 Aluminium'!$C$65="","",'01 Aluminium'!F65)</f>
        <v/>
      </c>
      <c r="H63" s="57" t="str">
        <f aca="false">IF('01 Aluminium'!$C$65="","",'01 Aluminium'!G65)</f>
        <v/>
      </c>
      <c r="I63" s="58" t="str">
        <f aca="false">IF('01 Aluminium'!$C$65="","",'01 Aluminium'!J65)</f>
        <v/>
      </c>
      <c r="J63" s="58" t="str">
        <f aca="false">IF('01 Aluminium'!$C$65="","",'01 Aluminium'!K65)</f>
        <v/>
      </c>
      <c r="K63" s="58" t="str">
        <f aca="false">IF('01 Aluminium'!$C$65="","",'01 Aluminium'!L65)</f>
        <v/>
      </c>
      <c r="L63" s="57" t="str">
        <f aca="false">IF('01 Aluminium'!$C$65="","",'01 Aluminium'!M65)</f>
        <v/>
      </c>
      <c r="M63" s="59" t="str">
        <f aca="false">IF(D63="","",IF(AND(OR(Search!$C$6="All Categories",A63=Search!$C$6),OR(Search!$P$5="",ISNUMBER(SEARCH(" "&amp;Search!$P$5,N63))),OR(Search!$P$6="",ISNUMBER(SEARCH(" "&amp;Search!$P$6,N63))),OR(Search!$P$7="",ISNUMBER(SEARCH(" "&amp;Search!$P$7,N63))),OR(Search!$P$8="",ISNUMBER(SEARCH(" "&amp;Search!$P$8,N63))),OR(Search!$P$9="",ISNUMBER(SEARCH(" "&amp;Search!$P$9,N63))),OR(Search!$P$10="",ISNUMBER(SEARCH(" "&amp;Search!$P$10,N63)))),ROW(),""))</f>
        <v/>
      </c>
      <c r="N63" s="0" t="str">
        <f aca="false">IF(D63="",""," "&amp;SUBSTITUTE(SUBSTITUTE(SUBSTITUTE(SUBSTITUTE(SUBSTITUTE(SUBSTITUTE(SUBSTITUTE(B63&amp;" "&amp;C63&amp;" "&amp;D63&amp;" "&amp;E63&amp;" "&amp;F63&amp;" "&amp;G63&amp;" "&amp;H63&amp;" "&amp;'01 Aluminium'!R65,"("," "),")"," "),"/"," "),"-"," "),","," "),";"," "),":"," ")&amp;" ")</f>
        <v/>
      </c>
    </row>
    <row r="64" customFormat="false" ht="15" hidden="false" customHeight="false" outlineLevel="0" collapsed="false">
      <c r="A64" s="56" t="str">
        <f aca="false">IF('01 Aluminium'!$C$66="","","Aluminium Profiles &amp; Systems")</f>
        <v/>
      </c>
      <c r="B64" s="57" t="str">
        <f aca="false">IF('01 Aluminium'!$C$66="","",'01 Aluminium'!A66)</f>
        <v/>
      </c>
      <c r="C64" s="56" t="str">
        <f aca="false">IF('01 Aluminium'!$C$66="","",'01 Aluminium'!B66)</f>
        <v/>
      </c>
      <c r="D64" s="56" t="str">
        <f aca="false">IF('01 Aluminium'!$C$66="","",'01 Aluminium'!C66)</f>
        <v/>
      </c>
      <c r="E64" s="56" t="str">
        <f aca="false">IF('01 Aluminium'!$C$66="","",'01 Aluminium'!D66)</f>
        <v/>
      </c>
      <c r="F64" s="56" t="str">
        <f aca="false">IF('01 Aluminium'!$C$66="","",'01 Aluminium'!E66)</f>
        <v/>
      </c>
      <c r="G64" s="56" t="str">
        <f aca="false">IF('01 Aluminium'!$C$66="","",'01 Aluminium'!F66)</f>
        <v/>
      </c>
      <c r="H64" s="57" t="str">
        <f aca="false">IF('01 Aluminium'!$C$66="","",'01 Aluminium'!G66)</f>
        <v/>
      </c>
      <c r="I64" s="58" t="str">
        <f aca="false">IF('01 Aluminium'!$C$66="","",'01 Aluminium'!J66)</f>
        <v/>
      </c>
      <c r="J64" s="58" t="str">
        <f aca="false">IF('01 Aluminium'!$C$66="","",'01 Aluminium'!K66)</f>
        <v/>
      </c>
      <c r="K64" s="58" t="str">
        <f aca="false">IF('01 Aluminium'!$C$66="","",'01 Aluminium'!L66)</f>
        <v/>
      </c>
      <c r="L64" s="57" t="str">
        <f aca="false">IF('01 Aluminium'!$C$66="","",'01 Aluminium'!M66)</f>
        <v/>
      </c>
      <c r="M64" s="59" t="str">
        <f aca="false">IF(D64="","",IF(AND(OR(Search!$C$6="All Categories",A64=Search!$C$6),OR(Search!$P$5="",ISNUMBER(SEARCH(" "&amp;Search!$P$5,N64))),OR(Search!$P$6="",ISNUMBER(SEARCH(" "&amp;Search!$P$6,N64))),OR(Search!$P$7="",ISNUMBER(SEARCH(" "&amp;Search!$P$7,N64))),OR(Search!$P$8="",ISNUMBER(SEARCH(" "&amp;Search!$P$8,N64))),OR(Search!$P$9="",ISNUMBER(SEARCH(" "&amp;Search!$P$9,N64))),OR(Search!$P$10="",ISNUMBER(SEARCH(" "&amp;Search!$P$10,N64)))),ROW(),""))</f>
        <v/>
      </c>
      <c r="N64" s="0" t="str">
        <f aca="false">IF(D64="",""," "&amp;SUBSTITUTE(SUBSTITUTE(SUBSTITUTE(SUBSTITUTE(SUBSTITUTE(SUBSTITUTE(SUBSTITUTE(B64&amp;" "&amp;C64&amp;" "&amp;D64&amp;" "&amp;E64&amp;" "&amp;F64&amp;" "&amp;G64&amp;" "&amp;H64&amp;" "&amp;'01 Aluminium'!R66,"("," "),")"," "),"/"," "),"-"," "),","," "),";"," "),":"," ")&amp;" ")</f>
        <v/>
      </c>
    </row>
    <row r="65" customFormat="false" ht="15" hidden="false" customHeight="false" outlineLevel="0" collapsed="false">
      <c r="A65" s="56" t="str">
        <f aca="false">IF('01 Aluminium'!$C$67="","","Aluminium Profiles &amp; Systems")</f>
        <v/>
      </c>
      <c r="B65" s="57" t="str">
        <f aca="false">IF('01 Aluminium'!$C$67="","",'01 Aluminium'!A67)</f>
        <v/>
      </c>
      <c r="C65" s="56" t="str">
        <f aca="false">IF('01 Aluminium'!$C$67="","",'01 Aluminium'!B67)</f>
        <v/>
      </c>
      <c r="D65" s="56" t="str">
        <f aca="false">IF('01 Aluminium'!$C$67="","",'01 Aluminium'!C67)</f>
        <v/>
      </c>
      <c r="E65" s="56" t="str">
        <f aca="false">IF('01 Aluminium'!$C$67="","",'01 Aluminium'!D67)</f>
        <v/>
      </c>
      <c r="F65" s="56" t="str">
        <f aca="false">IF('01 Aluminium'!$C$67="","",'01 Aluminium'!E67)</f>
        <v/>
      </c>
      <c r="G65" s="56" t="str">
        <f aca="false">IF('01 Aluminium'!$C$67="","",'01 Aluminium'!F67)</f>
        <v/>
      </c>
      <c r="H65" s="57" t="str">
        <f aca="false">IF('01 Aluminium'!$C$67="","",'01 Aluminium'!G67)</f>
        <v/>
      </c>
      <c r="I65" s="58" t="str">
        <f aca="false">IF('01 Aluminium'!$C$67="","",'01 Aluminium'!J67)</f>
        <v/>
      </c>
      <c r="J65" s="58" t="str">
        <f aca="false">IF('01 Aluminium'!$C$67="","",'01 Aluminium'!K67)</f>
        <v/>
      </c>
      <c r="K65" s="58" t="str">
        <f aca="false">IF('01 Aluminium'!$C$67="","",'01 Aluminium'!L67)</f>
        <v/>
      </c>
      <c r="L65" s="57" t="str">
        <f aca="false">IF('01 Aluminium'!$C$67="","",'01 Aluminium'!M67)</f>
        <v/>
      </c>
      <c r="M65" s="59" t="str">
        <f aca="false">IF(D65="","",IF(AND(OR(Search!$C$6="All Categories",A65=Search!$C$6),OR(Search!$P$5="",ISNUMBER(SEARCH(" "&amp;Search!$P$5,N65))),OR(Search!$P$6="",ISNUMBER(SEARCH(" "&amp;Search!$P$6,N65))),OR(Search!$P$7="",ISNUMBER(SEARCH(" "&amp;Search!$P$7,N65))),OR(Search!$P$8="",ISNUMBER(SEARCH(" "&amp;Search!$P$8,N65))),OR(Search!$P$9="",ISNUMBER(SEARCH(" "&amp;Search!$P$9,N65))),OR(Search!$P$10="",ISNUMBER(SEARCH(" "&amp;Search!$P$10,N65)))),ROW(),""))</f>
        <v/>
      </c>
      <c r="N65" s="0" t="str">
        <f aca="false">IF(D65="",""," "&amp;SUBSTITUTE(SUBSTITUTE(SUBSTITUTE(SUBSTITUTE(SUBSTITUTE(SUBSTITUTE(SUBSTITUTE(B65&amp;" "&amp;C65&amp;" "&amp;D65&amp;" "&amp;E65&amp;" "&amp;F65&amp;" "&amp;G65&amp;" "&amp;H65&amp;" "&amp;'01 Aluminium'!R67,"("," "),")"," "),"/"," "),"-"," "),","," "),";"," "),":"," ")&amp;" ")</f>
        <v/>
      </c>
    </row>
    <row r="66" customFormat="false" ht="15" hidden="false" customHeight="false" outlineLevel="0" collapsed="false">
      <c r="A66" s="56" t="str">
        <f aca="false">IF('01 Aluminium'!$C$68="","","Aluminium Profiles &amp; Systems")</f>
        <v/>
      </c>
      <c r="B66" s="57" t="str">
        <f aca="false">IF('01 Aluminium'!$C$68="","",'01 Aluminium'!A68)</f>
        <v/>
      </c>
      <c r="C66" s="56" t="str">
        <f aca="false">IF('01 Aluminium'!$C$68="","",'01 Aluminium'!B68)</f>
        <v/>
      </c>
      <c r="D66" s="56" t="str">
        <f aca="false">IF('01 Aluminium'!$C$68="","",'01 Aluminium'!C68)</f>
        <v/>
      </c>
      <c r="E66" s="56" t="str">
        <f aca="false">IF('01 Aluminium'!$C$68="","",'01 Aluminium'!D68)</f>
        <v/>
      </c>
      <c r="F66" s="56" t="str">
        <f aca="false">IF('01 Aluminium'!$C$68="","",'01 Aluminium'!E68)</f>
        <v/>
      </c>
      <c r="G66" s="56" t="str">
        <f aca="false">IF('01 Aluminium'!$C$68="","",'01 Aluminium'!F68)</f>
        <v/>
      </c>
      <c r="H66" s="57" t="str">
        <f aca="false">IF('01 Aluminium'!$C$68="","",'01 Aluminium'!G68)</f>
        <v/>
      </c>
      <c r="I66" s="58" t="str">
        <f aca="false">IF('01 Aluminium'!$C$68="","",'01 Aluminium'!J68)</f>
        <v/>
      </c>
      <c r="J66" s="58" t="str">
        <f aca="false">IF('01 Aluminium'!$C$68="","",'01 Aluminium'!K68)</f>
        <v/>
      </c>
      <c r="K66" s="58" t="str">
        <f aca="false">IF('01 Aluminium'!$C$68="","",'01 Aluminium'!L68)</f>
        <v/>
      </c>
      <c r="L66" s="57" t="str">
        <f aca="false">IF('01 Aluminium'!$C$68="","",'01 Aluminium'!M68)</f>
        <v/>
      </c>
      <c r="M66" s="59" t="str">
        <f aca="false">IF(D66="","",IF(AND(OR(Search!$C$6="All Categories",A66=Search!$C$6),OR(Search!$P$5="",ISNUMBER(SEARCH(" "&amp;Search!$P$5,N66))),OR(Search!$P$6="",ISNUMBER(SEARCH(" "&amp;Search!$P$6,N66))),OR(Search!$P$7="",ISNUMBER(SEARCH(" "&amp;Search!$P$7,N66))),OR(Search!$P$8="",ISNUMBER(SEARCH(" "&amp;Search!$P$8,N66))),OR(Search!$P$9="",ISNUMBER(SEARCH(" "&amp;Search!$P$9,N66))),OR(Search!$P$10="",ISNUMBER(SEARCH(" "&amp;Search!$P$10,N66)))),ROW(),""))</f>
        <v/>
      </c>
      <c r="N66" s="0" t="str">
        <f aca="false">IF(D66="",""," "&amp;SUBSTITUTE(SUBSTITUTE(SUBSTITUTE(SUBSTITUTE(SUBSTITUTE(SUBSTITUTE(SUBSTITUTE(B66&amp;" "&amp;C66&amp;" "&amp;D66&amp;" "&amp;E66&amp;" "&amp;F66&amp;" "&amp;G66&amp;" "&amp;H66&amp;" "&amp;'01 Aluminium'!R68,"("," "),")"," "),"/"," "),"-"," "),","," "),";"," "),":"," ")&amp;" ")</f>
        <v/>
      </c>
    </row>
    <row r="67" customFormat="false" ht="15" hidden="false" customHeight="false" outlineLevel="0" collapsed="false">
      <c r="A67" s="56" t="str">
        <f aca="false">IF('01 Aluminium'!$C$69="","","Aluminium Profiles &amp; Systems")</f>
        <v/>
      </c>
      <c r="B67" s="57" t="str">
        <f aca="false">IF('01 Aluminium'!$C$69="","",'01 Aluminium'!A69)</f>
        <v/>
      </c>
      <c r="C67" s="56" t="str">
        <f aca="false">IF('01 Aluminium'!$C$69="","",'01 Aluminium'!B69)</f>
        <v/>
      </c>
      <c r="D67" s="56" t="str">
        <f aca="false">IF('01 Aluminium'!$C$69="","",'01 Aluminium'!C69)</f>
        <v/>
      </c>
      <c r="E67" s="56" t="str">
        <f aca="false">IF('01 Aluminium'!$C$69="","",'01 Aluminium'!D69)</f>
        <v/>
      </c>
      <c r="F67" s="56" t="str">
        <f aca="false">IF('01 Aluminium'!$C$69="","",'01 Aluminium'!E69)</f>
        <v/>
      </c>
      <c r="G67" s="56" t="str">
        <f aca="false">IF('01 Aluminium'!$C$69="","",'01 Aluminium'!F69)</f>
        <v/>
      </c>
      <c r="H67" s="57" t="str">
        <f aca="false">IF('01 Aluminium'!$C$69="","",'01 Aluminium'!G69)</f>
        <v/>
      </c>
      <c r="I67" s="58" t="str">
        <f aca="false">IF('01 Aluminium'!$C$69="","",'01 Aluminium'!J69)</f>
        <v/>
      </c>
      <c r="J67" s="58" t="str">
        <f aca="false">IF('01 Aluminium'!$C$69="","",'01 Aluminium'!K69)</f>
        <v/>
      </c>
      <c r="K67" s="58" t="str">
        <f aca="false">IF('01 Aluminium'!$C$69="","",'01 Aluminium'!L69)</f>
        <v/>
      </c>
      <c r="L67" s="57" t="str">
        <f aca="false">IF('01 Aluminium'!$C$69="","",'01 Aluminium'!M69)</f>
        <v/>
      </c>
      <c r="M67" s="59" t="str">
        <f aca="false">IF(D67="","",IF(AND(OR(Search!$C$6="All Categories",A67=Search!$C$6),OR(Search!$P$5="",ISNUMBER(SEARCH(" "&amp;Search!$P$5,N67))),OR(Search!$P$6="",ISNUMBER(SEARCH(" "&amp;Search!$P$6,N67))),OR(Search!$P$7="",ISNUMBER(SEARCH(" "&amp;Search!$P$7,N67))),OR(Search!$P$8="",ISNUMBER(SEARCH(" "&amp;Search!$P$8,N67))),OR(Search!$P$9="",ISNUMBER(SEARCH(" "&amp;Search!$P$9,N67))),OR(Search!$P$10="",ISNUMBER(SEARCH(" "&amp;Search!$P$10,N67)))),ROW(),""))</f>
        <v/>
      </c>
      <c r="N67" s="0" t="str">
        <f aca="false">IF(D67="",""," "&amp;SUBSTITUTE(SUBSTITUTE(SUBSTITUTE(SUBSTITUTE(SUBSTITUTE(SUBSTITUTE(SUBSTITUTE(B67&amp;" "&amp;C67&amp;" "&amp;D67&amp;" "&amp;E67&amp;" "&amp;F67&amp;" "&amp;G67&amp;" "&amp;H67&amp;" "&amp;'01 Aluminium'!R69,"("," "),")"," "),"/"," "),"-"," "),","," "),";"," "),":"," ")&amp;" ")</f>
        <v/>
      </c>
    </row>
    <row r="68" customFormat="false" ht="15" hidden="false" customHeight="false" outlineLevel="0" collapsed="false">
      <c r="A68" s="56" t="str">
        <f aca="false">IF('01 Aluminium'!$C$70="","","Aluminium Profiles &amp; Systems")</f>
        <v/>
      </c>
      <c r="B68" s="57" t="str">
        <f aca="false">IF('01 Aluminium'!$C$70="","",'01 Aluminium'!A70)</f>
        <v/>
      </c>
      <c r="C68" s="56" t="str">
        <f aca="false">IF('01 Aluminium'!$C$70="","",'01 Aluminium'!B70)</f>
        <v/>
      </c>
      <c r="D68" s="56" t="str">
        <f aca="false">IF('01 Aluminium'!$C$70="","",'01 Aluminium'!C70)</f>
        <v/>
      </c>
      <c r="E68" s="56" t="str">
        <f aca="false">IF('01 Aluminium'!$C$70="","",'01 Aluminium'!D70)</f>
        <v/>
      </c>
      <c r="F68" s="56" t="str">
        <f aca="false">IF('01 Aluminium'!$C$70="","",'01 Aluminium'!E70)</f>
        <v/>
      </c>
      <c r="G68" s="56" t="str">
        <f aca="false">IF('01 Aluminium'!$C$70="","",'01 Aluminium'!F70)</f>
        <v/>
      </c>
      <c r="H68" s="57" t="str">
        <f aca="false">IF('01 Aluminium'!$C$70="","",'01 Aluminium'!G70)</f>
        <v/>
      </c>
      <c r="I68" s="58" t="str">
        <f aca="false">IF('01 Aluminium'!$C$70="","",'01 Aluminium'!J70)</f>
        <v/>
      </c>
      <c r="J68" s="58" t="str">
        <f aca="false">IF('01 Aluminium'!$C$70="","",'01 Aluminium'!K70)</f>
        <v/>
      </c>
      <c r="K68" s="58" t="str">
        <f aca="false">IF('01 Aluminium'!$C$70="","",'01 Aluminium'!L70)</f>
        <v/>
      </c>
      <c r="L68" s="57" t="str">
        <f aca="false">IF('01 Aluminium'!$C$70="","",'01 Aluminium'!M70)</f>
        <v/>
      </c>
      <c r="M68" s="59" t="str">
        <f aca="false">IF(D68="","",IF(AND(OR(Search!$C$6="All Categories",A68=Search!$C$6),OR(Search!$P$5="",ISNUMBER(SEARCH(" "&amp;Search!$P$5,N68))),OR(Search!$P$6="",ISNUMBER(SEARCH(" "&amp;Search!$P$6,N68))),OR(Search!$P$7="",ISNUMBER(SEARCH(" "&amp;Search!$P$7,N68))),OR(Search!$P$8="",ISNUMBER(SEARCH(" "&amp;Search!$P$8,N68))),OR(Search!$P$9="",ISNUMBER(SEARCH(" "&amp;Search!$P$9,N68))),OR(Search!$P$10="",ISNUMBER(SEARCH(" "&amp;Search!$P$10,N68)))),ROW(),""))</f>
        <v/>
      </c>
      <c r="N68" s="0" t="str">
        <f aca="false">IF(D68="",""," "&amp;SUBSTITUTE(SUBSTITUTE(SUBSTITUTE(SUBSTITUTE(SUBSTITUTE(SUBSTITUTE(SUBSTITUTE(B68&amp;" "&amp;C68&amp;" "&amp;D68&amp;" "&amp;E68&amp;" "&amp;F68&amp;" "&amp;G68&amp;" "&amp;H68&amp;" "&amp;'01 Aluminium'!R70,"("," "),")"," "),"/"," "),"-"," "),","," "),";"," "),":"," ")&amp;" ")</f>
        <v/>
      </c>
    </row>
    <row r="69" customFormat="false" ht="15" hidden="false" customHeight="false" outlineLevel="0" collapsed="false">
      <c r="A69" s="56" t="str">
        <f aca="false">IF('01 Aluminium'!$C$71="","","Aluminium Profiles &amp; Systems")</f>
        <v/>
      </c>
      <c r="B69" s="57" t="str">
        <f aca="false">IF('01 Aluminium'!$C$71="","",'01 Aluminium'!A71)</f>
        <v/>
      </c>
      <c r="C69" s="56" t="str">
        <f aca="false">IF('01 Aluminium'!$C$71="","",'01 Aluminium'!B71)</f>
        <v/>
      </c>
      <c r="D69" s="56" t="str">
        <f aca="false">IF('01 Aluminium'!$C$71="","",'01 Aluminium'!C71)</f>
        <v/>
      </c>
      <c r="E69" s="56" t="str">
        <f aca="false">IF('01 Aluminium'!$C$71="","",'01 Aluminium'!D71)</f>
        <v/>
      </c>
      <c r="F69" s="56" t="str">
        <f aca="false">IF('01 Aluminium'!$C$71="","",'01 Aluminium'!E71)</f>
        <v/>
      </c>
      <c r="G69" s="56" t="str">
        <f aca="false">IF('01 Aluminium'!$C$71="","",'01 Aluminium'!F71)</f>
        <v/>
      </c>
      <c r="H69" s="57" t="str">
        <f aca="false">IF('01 Aluminium'!$C$71="","",'01 Aluminium'!G71)</f>
        <v/>
      </c>
      <c r="I69" s="58" t="str">
        <f aca="false">IF('01 Aluminium'!$C$71="","",'01 Aluminium'!J71)</f>
        <v/>
      </c>
      <c r="J69" s="58" t="str">
        <f aca="false">IF('01 Aluminium'!$C$71="","",'01 Aluminium'!K71)</f>
        <v/>
      </c>
      <c r="K69" s="58" t="str">
        <f aca="false">IF('01 Aluminium'!$C$71="","",'01 Aluminium'!L71)</f>
        <v/>
      </c>
      <c r="L69" s="57" t="str">
        <f aca="false">IF('01 Aluminium'!$C$71="","",'01 Aluminium'!M71)</f>
        <v/>
      </c>
      <c r="M69" s="59" t="str">
        <f aca="false">IF(D69="","",IF(AND(OR(Search!$C$6="All Categories",A69=Search!$C$6),OR(Search!$P$5="",ISNUMBER(SEARCH(" "&amp;Search!$P$5,N69))),OR(Search!$P$6="",ISNUMBER(SEARCH(" "&amp;Search!$P$6,N69))),OR(Search!$P$7="",ISNUMBER(SEARCH(" "&amp;Search!$P$7,N69))),OR(Search!$P$8="",ISNUMBER(SEARCH(" "&amp;Search!$P$8,N69))),OR(Search!$P$9="",ISNUMBER(SEARCH(" "&amp;Search!$P$9,N69))),OR(Search!$P$10="",ISNUMBER(SEARCH(" "&amp;Search!$P$10,N69)))),ROW(),""))</f>
        <v/>
      </c>
      <c r="N69" s="0" t="str">
        <f aca="false">IF(D69="",""," "&amp;SUBSTITUTE(SUBSTITUTE(SUBSTITUTE(SUBSTITUTE(SUBSTITUTE(SUBSTITUTE(SUBSTITUTE(B69&amp;" "&amp;C69&amp;" "&amp;D69&amp;" "&amp;E69&amp;" "&amp;F69&amp;" "&amp;G69&amp;" "&amp;H69&amp;" "&amp;'01 Aluminium'!R71,"("," "),")"," "),"/"," "),"-"," "),","," "),";"," "),":"," ")&amp;" ")</f>
        <v/>
      </c>
    </row>
    <row r="70" customFormat="false" ht="15" hidden="false" customHeight="false" outlineLevel="0" collapsed="false">
      <c r="A70" s="56" t="str">
        <f aca="false">IF('01 Aluminium'!$C$72="","","Aluminium Profiles &amp; Systems")</f>
        <v/>
      </c>
      <c r="B70" s="57" t="str">
        <f aca="false">IF('01 Aluminium'!$C$72="","",'01 Aluminium'!A72)</f>
        <v/>
      </c>
      <c r="C70" s="56" t="str">
        <f aca="false">IF('01 Aluminium'!$C$72="","",'01 Aluminium'!B72)</f>
        <v/>
      </c>
      <c r="D70" s="56" t="str">
        <f aca="false">IF('01 Aluminium'!$C$72="","",'01 Aluminium'!C72)</f>
        <v/>
      </c>
      <c r="E70" s="56" t="str">
        <f aca="false">IF('01 Aluminium'!$C$72="","",'01 Aluminium'!D72)</f>
        <v/>
      </c>
      <c r="F70" s="56" t="str">
        <f aca="false">IF('01 Aluminium'!$C$72="","",'01 Aluminium'!E72)</f>
        <v/>
      </c>
      <c r="G70" s="56" t="str">
        <f aca="false">IF('01 Aluminium'!$C$72="","",'01 Aluminium'!F72)</f>
        <v/>
      </c>
      <c r="H70" s="57" t="str">
        <f aca="false">IF('01 Aluminium'!$C$72="","",'01 Aluminium'!G72)</f>
        <v/>
      </c>
      <c r="I70" s="58" t="str">
        <f aca="false">IF('01 Aluminium'!$C$72="","",'01 Aluminium'!J72)</f>
        <v/>
      </c>
      <c r="J70" s="58" t="str">
        <f aca="false">IF('01 Aluminium'!$C$72="","",'01 Aluminium'!K72)</f>
        <v/>
      </c>
      <c r="K70" s="58" t="str">
        <f aca="false">IF('01 Aluminium'!$C$72="","",'01 Aluminium'!L72)</f>
        <v/>
      </c>
      <c r="L70" s="57" t="str">
        <f aca="false">IF('01 Aluminium'!$C$72="","",'01 Aluminium'!M72)</f>
        <v/>
      </c>
      <c r="M70" s="59" t="str">
        <f aca="false">IF(D70="","",IF(AND(OR(Search!$C$6="All Categories",A70=Search!$C$6),OR(Search!$P$5="",ISNUMBER(SEARCH(" "&amp;Search!$P$5,N70))),OR(Search!$P$6="",ISNUMBER(SEARCH(" "&amp;Search!$P$6,N70))),OR(Search!$P$7="",ISNUMBER(SEARCH(" "&amp;Search!$P$7,N70))),OR(Search!$P$8="",ISNUMBER(SEARCH(" "&amp;Search!$P$8,N70))),OR(Search!$P$9="",ISNUMBER(SEARCH(" "&amp;Search!$P$9,N70))),OR(Search!$P$10="",ISNUMBER(SEARCH(" "&amp;Search!$P$10,N70)))),ROW(),""))</f>
        <v/>
      </c>
      <c r="N70" s="0" t="str">
        <f aca="false">IF(D70="",""," "&amp;SUBSTITUTE(SUBSTITUTE(SUBSTITUTE(SUBSTITUTE(SUBSTITUTE(SUBSTITUTE(SUBSTITUTE(B70&amp;" "&amp;C70&amp;" "&amp;D70&amp;" "&amp;E70&amp;" "&amp;F70&amp;" "&amp;G70&amp;" "&amp;H70&amp;" "&amp;'01 Aluminium'!R72,"("," "),")"," "),"/"," "),"-"," "),","," "),";"," "),":"," ")&amp;" ")</f>
        <v/>
      </c>
    </row>
    <row r="71" customFormat="false" ht="22.35" hidden="false" customHeight="false" outlineLevel="0" collapsed="false">
      <c r="A71" s="56" t="str">
        <f aca="false">IF('02 Glass'!$C$5="","","Glass - Float, Tempered, Laminated &amp; DGU")</f>
        <v>Glass - Float, Tempered, Laminated &amp; DGU</v>
      </c>
      <c r="B71" s="57" t="str">
        <f aca="false">IF('02 Glass'!$C$5="","",'02 Glass'!A5)</f>
        <v>GL-001</v>
      </c>
      <c r="C71" s="56" t="str">
        <f aca="false">IF('02 Glass'!$C$5="","",'02 Glass'!B5)</f>
        <v>Annealed Float</v>
      </c>
      <c r="D71" s="56" t="str">
        <f aca="false">IF('02 Glass'!$C$5="","",'02 Glass'!C5)</f>
        <v>Clear float glass</v>
      </c>
      <c r="E71" s="56" t="str">
        <f aca="false">IF('02 Glass'!$C$5="","",'02 Glass'!D5)</f>
        <v>4 mm</v>
      </c>
      <c r="F71" s="56" t="str">
        <f aca="false">IF('02 Glass'!$C$5="","",'02 Glass'!E5)</f>
        <v>Clear</v>
      </c>
      <c r="G71" s="56" t="str">
        <f aca="false">IF('02 Glass'!$C$5="","",'02 Glass'!F5)</f>
        <v>Emirates Float / Guardian</v>
      </c>
      <c r="H71" s="57" t="str">
        <f aca="false">IF('02 Glass'!$C$5="","",'02 Glass'!G5)</f>
        <v>m2</v>
      </c>
      <c r="I71" s="58" t="n">
        <f aca="false">IF('02 Glass'!$C$5="","",'02 Glass'!J5)</f>
        <v>31.5</v>
      </c>
      <c r="J71" s="58" t="n">
        <f aca="false">IF('02 Glass'!$C$5="","",'02 Glass'!K5)</f>
        <v>37.8</v>
      </c>
      <c r="K71" s="58" t="n">
        <f aca="false">IF('02 Glass'!$C$5="","",'02 Glass'!L5)</f>
        <v>39.69</v>
      </c>
      <c r="L71" s="57" t="str">
        <f aca="false">IF('02 Glass'!$C$5="","",'02 Glass'!M5)</f>
        <v>Indicative</v>
      </c>
      <c r="M71" s="59" t="str">
        <f aca="false">IF(D71="","",IF(AND(OR(Search!$C$6="All Categories",A71=Search!$C$6),OR(Search!$P$5="",ISNUMBER(SEARCH(" "&amp;Search!$P$5,N71))),OR(Search!$P$6="",ISNUMBER(SEARCH(" "&amp;Search!$P$6,N71))),OR(Search!$P$7="",ISNUMBER(SEARCH(" "&amp;Search!$P$7,N71))),OR(Search!$P$8="",ISNUMBER(SEARCH(" "&amp;Search!$P$8,N71))),OR(Search!$P$9="",ISNUMBER(SEARCH(" "&amp;Search!$P$9,N71))),OR(Search!$P$10="",ISNUMBER(SEARCH(" "&amp;Search!$P$10,N71)))),ROW(),""))</f>
        <v/>
      </c>
      <c r="N71" s="0" t="str">
        <f aca="false">IF(D71="",""," "&amp;SUBSTITUTE(SUBSTITUTE(SUBSTITUTE(SUBSTITUTE(SUBSTITUTE(SUBSTITUTE(SUBSTITUTE(B71&amp;" "&amp;C71&amp;" "&amp;D71&amp;" "&amp;E71&amp;" "&amp;F71&amp;" "&amp;G71&amp;" "&amp;H71&amp;" "&amp;'02 Glass'!R5,"("," "),")"," "),"/"," "),"-"," "),","," "),";"," "),":"," ")&amp;" ")</f>
        <v> GL 001 Annealed Float Clear float glass 4 mm Clear Emirates Float   Guardian m2 4mm stainless steel </v>
      </c>
    </row>
    <row r="72" customFormat="false" ht="22.35" hidden="false" customHeight="false" outlineLevel="0" collapsed="false">
      <c r="A72" s="56" t="str">
        <f aca="false">IF('02 Glass'!$C$6="","","Glass - Float, Tempered, Laminated &amp; DGU")</f>
        <v>Glass - Float, Tempered, Laminated &amp; DGU</v>
      </c>
      <c r="B72" s="57" t="str">
        <f aca="false">IF('02 Glass'!$C$6="","",'02 Glass'!A6)</f>
        <v>GL-002</v>
      </c>
      <c r="C72" s="56" t="str">
        <f aca="false">IF('02 Glass'!$C$6="","",'02 Glass'!B6)</f>
        <v>Annealed Float</v>
      </c>
      <c r="D72" s="56" t="str">
        <f aca="false">IF('02 Glass'!$C$6="","",'02 Glass'!C6)</f>
        <v>Clear float glass</v>
      </c>
      <c r="E72" s="56" t="str">
        <f aca="false">IF('02 Glass'!$C$6="","",'02 Glass'!D6)</f>
        <v>6 mm</v>
      </c>
      <c r="F72" s="56" t="str">
        <f aca="false">IF('02 Glass'!$C$6="","",'02 Glass'!E6)</f>
        <v>Clear</v>
      </c>
      <c r="G72" s="56" t="str">
        <f aca="false">IF('02 Glass'!$C$6="","",'02 Glass'!F6)</f>
        <v>Emirates Float / Guardian</v>
      </c>
      <c r="H72" s="57" t="str">
        <f aca="false">IF('02 Glass'!$C$6="","",'02 Glass'!G6)</f>
        <v>m2</v>
      </c>
      <c r="I72" s="58" t="n">
        <f aca="false">IF('02 Glass'!$C$6="","",'02 Glass'!J6)</f>
        <v>42</v>
      </c>
      <c r="J72" s="58" t="n">
        <f aca="false">IF('02 Glass'!$C$6="","",'02 Glass'!K6)</f>
        <v>50.4</v>
      </c>
      <c r="K72" s="58" t="n">
        <f aca="false">IF('02 Glass'!$C$6="","",'02 Glass'!L6)</f>
        <v>52.92</v>
      </c>
      <c r="L72" s="57" t="str">
        <f aca="false">IF('02 Glass'!$C$6="","",'02 Glass'!M6)</f>
        <v>Indicative</v>
      </c>
      <c r="M72" s="59" t="str">
        <f aca="false">IF(D72="","",IF(AND(OR(Search!$C$6="All Categories",A72=Search!$C$6),OR(Search!$P$5="",ISNUMBER(SEARCH(" "&amp;Search!$P$5,N72))),OR(Search!$P$6="",ISNUMBER(SEARCH(" "&amp;Search!$P$6,N72))),OR(Search!$P$7="",ISNUMBER(SEARCH(" "&amp;Search!$P$7,N72))),OR(Search!$P$8="",ISNUMBER(SEARCH(" "&amp;Search!$P$8,N72))),OR(Search!$P$9="",ISNUMBER(SEARCH(" "&amp;Search!$P$9,N72))),OR(Search!$P$10="",ISNUMBER(SEARCH(" "&amp;Search!$P$10,N72)))),ROW(),""))</f>
        <v/>
      </c>
      <c r="N72" s="0" t="str">
        <f aca="false">IF(D72="",""," "&amp;SUBSTITUTE(SUBSTITUTE(SUBSTITUTE(SUBSTITUTE(SUBSTITUTE(SUBSTITUTE(SUBSTITUTE(B72&amp;" "&amp;C72&amp;" "&amp;D72&amp;" "&amp;E72&amp;" "&amp;F72&amp;" "&amp;G72&amp;" "&amp;H72&amp;" "&amp;'02 Glass'!R6,"("," "),")"," "),"/"," "),"-"," "),","," "),";"," "),":"," ")&amp;" ")</f>
        <v> GL 002 Annealed Float Clear float glass 6 mm Clear Emirates Float   Guardian m2 6mm stainless steel </v>
      </c>
    </row>
    <row r="73" customFormat="false" ht="22.35" hidden="false" customHeight="false" outlineLevel="0" collapsed="false">
      <c r="A73" s="56" t="str">
        <f aca="false">IF('02 Glass'!$C$7="","","Glass - Float, Tempered, Laminated &amp; DGU")</f>
        <v>Glass - Float, Tempered, Laminated &amp; DGU</v>
      </c>
      <c r="B73" s="57" t="str">
        <f aca="false">IF('02 Glass'!$C$7="","",'02 Glass'!A7)</f>
        <v>GL-003</v>
      </c>
      <c r="C73" s="56" t="str">
        <f aca="false">IF('02 Glass'!$C$7="","",'02 Glass'!B7)</f>
        <v>Annealed Float</v>
      </c>
      <c r="D73" s="56" t="str">
        <f aca="false">IF('02 Glass'!$C$7="","",'02 Glass'!C7)</f>
        <v>Clear float glass</v>
      </c>
      <c r="E73" s="56" t="str">
        <f aca="false">IF('02 Glass'!$C$7="","",'02 Glass'!D7)</f>
        <v>8 mm</v>
      </c>
      <c r="F73" s="56" t="str">
        <f aca="false">IF('02 Glass'!$C$7="","",'02 Glass'!E7)</f>
        <v>Clear</v>
      </c>
      <c r="G73" s="56" t="str">
        <f aca="false">IF('02 Glass'!$C$7="","",'02 Glass'!F7)</f>
        <v>Emirates Float / Guardian</v>
      </c>
      <c r="H73" s="57" t="str">
        <f aca="false">IF('02 Glass'!$C$7="","",'02 Glass'!G7)</f>
        <v>m2</v>
      </c>
      <c r="I73" s="58" t="n">
        <f aca="false">IF('02 Glass'!$C$7="","",'02 Glass'!J7)</f>
        <v>57.75</v>
      </c>
      <c r="J73" s="58" t="n">
        <f aca="false">IF('02 Glass'!$C$7="","",'02 Glass'!K7)</f>
        <v>69.3</v>
      </c>
      <c r="K73" s="58" t="n">
        <f aca="false">IF('02 Glass'!$C$7="","",'02 Glass'!L7)</f>
        <v>72.77</v>
      </c>
      <c r="L73" s="57" t="str">
        <f aca="false">IF('02 Glass'!$C$7="","",'02 Glass'!M7)</f>
        <v>Indicative</v>
      </c>
      <c r="M73" s="59" t="str">
        <f aca="false">IF(D73="","",IF(AND(OR(Search!$C$6="All Categories",A73=Search!$C$6),OR(Search!$P$5="",ISNUMBER(SEARCH(" "&amp;Search!$P$5,N73))),OR(Search!$P$6="",ISNUMBER(SEARCH(" "&amp;Search!$P$6,N73))),OR(Search!$P$7="",ISNUMBER(SEARCH(" "&amp;Search!$P$7,N73))),OR(Search!$P$8="",ISNUMBER(SEARCH(" "&amp;Search!$P$8,N73))),OR(Search!$P$9="",ISNUMBER(SEARCH(" "&amp;Search!$P$9,N73))),OR(Search!$P$10="",ISNUMBER(SEARCH(" "&amp;Search!$P$10,N73)))),ROW(),""))</f>
        <v/>
      </c>
      <c r="N73" s="0" t="str">
        <f aca="false">IF(D73="",""," "&amp;SUBSTITUTE(SUBSTITUTE(SUBSTITUTE(SUBSTITUTE(SUBSTITUTE(SUBSTITUTE(SUBSTITUTE(B73&amp;" "&amp;C73&amp;" "&amp;D73&amp;" "&amp;E73&amp;" "&amp;F73&amp;" "&amp;G73&amp;" "&amp;H73&amp;" "&amp;'02 Glass'!R7,"("," "),")"," "),"/"," "),"-"," "),","," "),";"," "),":"," ")&amp;" ")</f>
        <v> GL 003 Annealed Float Clear float glass 8 mm Clear Emirates Float   Guardian m2 8mm stainless steel </v>
      </c>
    </row>
    <row r="74" customFormat="false" ht="22.35" hidden="false" customHeight="false" outlineLevel="0" collapsed="false">
      <c r="A74" s="56" t="str">
        <f aca="false">IF('02 Glass'!$C$8="","","Glass - Float, Tempered, Laminated &amp; DGU")</f>
        <v>Glass - Float, Tempered, Laminated &amp; DGU</v>
      </c>
      <c r="B74" s="57" t="str">
        <f aca="false">IF('02 Glass'!$C$8="","",'02 Glass'!A8)</f>
        <v>GL-004</v>
      </c>
      <c r="C74" s="56" t="str">
        <f aca="false">IF('02 Glass'!$C$8="","",'02 Glass'!B8)</f>
        <v>Annealed Float</v>
      </c>
      <c r="D74" s="56" t="str">
        <f aca="false">IF('02 Glass'!$C$8="","",'02 Glass'!C8)</f>
        <v>Clear float glass</v>
      </c>
      <c r="E74" s="56" t="str">
        <f aca="false">IF('02 Glass'!$C$8="","",'02 Glass'!D8)</f>
        <v>10 mm</v>
      </c>
      <c r="F74" s="56" t="str">
        <f aca="false">IF('02 Glass'!$C$8="","",'02 Glass'!E8)</f>
        <v>Clear</v>
      </c>
      <c r="G74" s="56" t="str">
        <f aca="false">IF('02 Glass'!$C$8="","",'02 Glass'!F8)</f>
        <v>Emirates Float / Guardian</v>
      </c>
      <c r="H74" s="57" t="str">
        <f aca="false">IF('02 Glass'!$C$8="","",'02 Glass'!G8)</f>
        <v>m2</v>
      </c>
      <c r="I74" s="58" t="n">
        <f aca="false">IF('02 Glass'!$C$8="","",'02 Glass'!J8)</f>
        <v>73.5</v>
      </c>
      <c r="J74" s="58" t="n">
        <f aca="false">IF('02 Glass'!$C$8="","",'02 Glass'!K8)</f>
        <v>88.2</v>
      </c>
      <c r="K74" s="58" t="n">
        <f aca="false">IF('02 Glass'!$C$8="","",'02 Glass'!L8)</f>
        <v>92.61</v>
      </c>
      <c r="L74" s="57" t="str">
        <f aca="false">IF('02 Glass'!$C$8="","",'02 Glass'!M8)</f>
        <v>Indicative</v>
      </c>
      <c r="M74" s="59" t="str">
        <f aca="false">IF(D74="","",IF(AND(OR(Search!$C$6="All Categories",A74=Search!$C$6),OR(Search!$P$5="",ISNUMBER(SEARCH(" "&amp;Search!$P$5,N74))),OR(Search!$P$6="",ISNUMBER(SEARCH(" "&amp;Search!$P$6,N74))),OR(Search!$P$7="",ISNUMBER(SEARCH(" "&amp;Search!$P$7,N74))),OR(Search!$P$8="",ISNUMBER(SEARCH(" "&amp;Search!$P$8,N74))),OR(Search!$P$9="",ISNUMBER(SEARCH(" "&amp;Search!$P$9,N74))),OR(Search!$P$10="",ISNUMBER(SEARCH(" "&amp;Search!$P$10,N74)))),ROW(),""))</f>
        <v/>
      </c>
      <c r="N74" s="0" t="str">
        <f aca="false">IF(D74="",""," "&amp;SUBSTITUTE(SUBSTITUTE(SUBSTITUTE(SUBSTITUTE(SUBSTITUTE(SUBSTITUTE(SUBSTITUTE(B74&amp;" "&amp;C74&amp;" "&amp;D74&amp;" "&amp;E74&amp;" "&amp;F74&amp;" "&amp;G74&amp;" "&amp;H74&amp;" "&amp;'02 Glass'!R8,"("," "),")"," "),"/"," "),"-"," "),","," "),";"," "),":"," ")&amp;" ")</f>
        <v> GL 004 Annealed Float Clear float glass 10 mm Clear Emirates Float   Guardian m2 10mm stainless steel </v>
      </c>
    </row>
    <row r="75" customFormat="false" ht="22.35" hidden="false" customHeight="false" outlineLevel="0" collapsed="false">
      <c r="A75" s="56" t="str">
        <f aca="false">IF('02 Glass'!$C$9="","","Glass - Float, Tempered, Laminated &amp; DGU")</f>
        <v>Glass - Float, Tempered, Laminated &amp; DGU</v>
      </c>
      <c r="B75" s="57" t="str">
        <f aca="false">IF('02 Glass'!$C$9="","",'02 Glass'!A9)</f>
        <v>GL-005</v>
      </c>
      <c r="C75" s="56" t="str">
        <f aca="false">IF('02 Glass'!$C$9="","",'02 Glass'!B9)</f>
        <v>Annealed Float</v>
      </c>
      <c r="D75" s="56" t="str">
        <f aca="false">IF('02 Glass'!$C$9="","",'02 Glass'!C9)</f>
        <v>Clear float glass</v>
      </c>
      <c r="E75" s="56" t="str">
        <f aca="false">IF('02 Glass'!$C$9="","",'02 Glass'!D9)</f>
        <v>12 mm</v>
      </c>
      <c r="F75" s="56" t="str">
        <f aca="false">IF('02 Glass'!$C$9="","",'02 Glass'!E9)</f>
        <v>Clear</v>
      </c>
      <c r="G75" s="56" t="str">
        <f aca="false">IF('02 Glass'!$C$9="","",'02 Glass'!F9)</f>
        <v>Emirates Float / Guardian</v>
      </c>
      <c r="H75" s="57" t="str">
        <f aca="false">IF('02 Glass'!$C$9="","",'02 Glass'!G9)</f>
        <v>m2</v>
      </c>
      <c r="I75" s="58" t="n">
        <f aca="false">IF('02 Glass'!$C$9="","",'02 Glass'!J9)</f>
        <v>92.4</v>
      </c>
      <c r="J75" s="58" t="n">
        <f aca="false">IF('02 Glass'!$C$9="","",'02 Glass'!K9)</f>
        <v>110.88</v>
      </c>
      <c r="K75" s="58" t="n">
        <f aca="false">IF('02 Glass'!$C$9="","",'02 Glass'!L9)</f>
        <v>116.42</v>
      </c>
      <c r="L75" s="57" t="str">
        <f aca="false">IF('02 Glass'!$C$9="","",'02 Glass'!M9)</f>
        <v>Indicative</v>
      </c>
      <c r="M75" s="59" t="str">
        <f aca="false">IF(D75="","",IF(AND(OR(Search!$C$6="All Categories",A75=Search!$C$6),OR(Search!$P$5="",ISNUMBER(SEARCH(" "&amp;Search!$P$5,N75))),OR(Search!$P$6="",ISNUMBER(SEARCH(" "&amp;Search!$P$6,N75))),OR(Search!$P$7="",ISNUMBER(SEARCH(" "&amp;Search!$P$7,N75))),OR(Search!$P$8="",ISNUMBER(SEARCH(" "&amp;Search!$P$8,N75))),OR(Search!$P$9="",ISNUMBER(SEARCH(" "&amp;Search!$P$9,N75))),OR(Search!$P$10="",ISNUMBER(SEARCH(" "&amp;Search!$P$10,N75)))),ROW(),""))</f>
        <v/>
      </c>
      <c r="N75" s="0" t="str">
        <f aca="false">IF(D75="",""," "&amp;SUBSTITUTE(SUBSTITUTE(SUBSTITUTE(SUBSTITUTE(SUBSTITUTE(SUBSTITUTE(SUBSTITUTE(B75&amp;" "&amp;C75&amp;" "&amp;D75&amp;" "&amp;E75&amp;" "&amp;F75&amp;" "&amp;G75&amp;" "&amp;H75&amp;" "&amp;'02 Glass'!R9,"("," "),")"," "),"/"," "),"-"," "),","," "),";"," "),":"," ")&amp;" ")</f>
        <v> GL 005 Annealed Float Clear float glass 12 mm Clear Emirates Float   Guardian m2 12mm stainless steel </v>
      </c>
    </row>
    <row r="76" customFormat="false" ht="22.35" hidden="false" customHeight="false" outlineLevel="0" collapsed="false">
      <c r="A76" s="56" t="str">
        <f aca="false">IF('02 Glass'!$C$10="","","Glass - Float, Tempered, Laminated &amp; DGU")</f>
        <v>Glass - Float, Tempered, Laminated &amp; DGU</v>
      </c>
      <c r="B76" s="57" t="str">
        <f aca="false">IF('02 Glass'!$C$10="","",'02 Glass'!A10)</f>
        <v>GL-006</v>
      </c>
      <c r="C76" s="56" t="str">
        <f aca="false">IF('02 Glass'!$C$10="","",'02 Glass'!B10)</f>
        <v>Annealed Float</v>
      </c>
      <c r="D76" s="56" t="str">
        <f aca="false">IF('02 Glass'!$C$10="","",'02 Glass'!C10)</f>
        <v>Tinted float glass</v>
      </c>
      <c r="E76" s="56" t="str">
        <f aca="false">IF('02 Glass'!$C$10="","",'02 Glass'!D10)</f>
        <v>6 mm</v>
      </c>
      <c r="F76" s="56" t="str">
        <f aca="false">IF('02 Glass'!$C$10="","",'02 Glass'!E10)</f>
        <v>Grey / Bronze / Green</v>
      </c>
      <c r="G76" s="56" t="str">
        <f aca="false">IF('02 Glass'!$C$10="","",'02 Glass'!F10)</f>
        <v>Emirates Float / Guardian</v>
      </c>
      <c r="H76" s="57" t="str">
        <f aca="false">IF('02 Glass'!$C$10="","",'02 Glass'!G10)</f>
        <v>m2</v>
      </c>
      <c r="I76" s="58" t="n">
        <f aca="false">IF('02 Glass'!$C$10="","",'02 Glass'!J10)</f>
        <v>57.75</v>
      </c>
      <c r="J76" s="58" t="n">
        <f aca="false">IF('02 Glass'!$C$10="","",'02 Glass'!K10)</f>
        <v>69.3</v>
      </c>
      <c r="K76" s="58" t="n">
        <f aca="false">IF('02 Glass'!$C$10="","",'02 Glass'!L10)</f>
        <v>72.77</v>
      </c>
      <c r="L76" s="57" t="str">
        <f aca="false">IF('02 Glass'!$C$10="","",'02 Glass'!M10)</f>
        <v>Indicative</v>
      </c>
      <c r="M76" s="59" t="str">
        <f aca="false">IF(D76="","",IF(AND(OR(Search!$C$6="All Categories",A76=Search!$C$6),OR(Search!$P$5="",ISNUMBER(SEARCH(" "&amp;Search!$P$5,N76))),OR(Search!$P$6="",ISNUMBER(SEARCH(" "&amp;Search!$P$6,N76))),OR(Search!$P$7="",ISNUMBER(SEARCH(" "&amp;Search!$P$7,N76))),OR(Search!$P$8="",ISNUMBER(SEARCH(" "&amp;Search!$P$8,N76))),OR(Search!$P$9="",ISNUMBER(SEARCH(" "&amp;Search!$P$9,N76))),OR(Search!$P$10="",ISNUMBER(SEARCH(" "&amp;Search!$P$10,N76)))),ROW(),""))</f>
        <v/>
      </c>
      <c r="N76" s="0" t="str">
        <f aca="false">IF(D76="",""," "&amp;SUBSTITUTE(SUBSTITUTE(SUBSTITUTE(SUBSTITUTE(SUBSTITUTE(SUBSTITUTE(SUBSTITUTE(B76&amp;" "&amp;C76&amp;" "&amp;D76&amp;" "&amp;E76&amp;" "&amp;F76&amp;" "&amp;G76&amp;" "&amp;H76&amp;" "&amp;'02 Glass'!R10,"("," "),")"," "),"/"," "),"-"," "),","," "),";"," "),":"," ")&amp;" ")</f>
        <v> GL 006 Annealed Float Tinted float glass 6 mm Grey   Bronze   Green Emirates Float   Guardian m2 6mm stainless steel </v>
      </c>
    </row>
    <row r="77" customFormat="false" ht="22.35" hidden="false" customHeight="false" outlineLevel="0" collapsed="false">
      <c r="A77" s="56" t="str">
        <f aca="false">IF('02 Glass'!$C$11="","","Glass - Float, Tempered, Laminated &amp; DGU")</f>
        <v>Glass - Float, Tempered, Laminated &amp; DGU</v>
      </c>
      <c r="B77" s="57" t="str">
        <f aca="false">IF('02 Glass'!$C$11="","",'02 Glass'!A11)</f>
        <v>GL-007</v>
      </c>
      <c r="C77" s="56" t="str">
        <f aca="false">IF('02 Glass'!$C$11="","",'02 Glass'!B11)</f>
        <v>Annealed Float</v>
      </c>
      <c r="D77" s="56" t="str">
        <f aca="false">IF('02 Glass'!$C$11="","",'02 Glass'!C11)</f>
        <v>Reflective glass (hard coat)</v>
      </c>
      <c r="E77" s="56" t="str">
        <f aca="false">IF('02 Glass'!$C$11="","",'02 Glass'!D11)</f>
        <v>6 mm</v>
      </c>
      <c r="F77" s="56" t="str">
        <f aca="false">IF('02 Glass'!$C$11="","",'02 Glass'!E11)</f>
        <v>Blue / Grey / Silver</v>
      </c>
      <c r="G77" s="56" t="str">
        <f aca="false">IF('02 Glass'!$C$11="","",'02 Glass'!F11)</f>
        <v>Emirates Float / Guardian</v>
      </c>
      <c r="H77" s="57" t="str">
        <f aca="false">IF('02 Glass'!$C$11="","",'02 Glass'!G11)</f>
        <v>m2</v>
      </c>
      <c r="I77" s="58" t="n">
        <f aca="false">IF('02 Glass'!$C$11="","",'02 Glass'!J11)</f>
        <v>78.75</v>
      </c>
      <c r="J77" s="58" t="n">
        <f aca="false">IF('02 Glass'!$C$11="","",'02 Glass'!K11)</f>
        <v>94.5</v>
      </c>
      <c r="K77" s="58" t="n">
        <f aca="false">IF('02 Glass'!$C$11="","",'02 Glass'!L11)</f>
        <v>99.23</v>
      </c>
      <c r="L77" s="57" t="str">
        <f aca="false">IF('02 Glass'!$C$11="","",'02 Glass'!M11)</f>
        <v>Indicative</v>
      </c>
      <c r="M77" s="59" t="str">
        <f aca="false">IF(D77="","",IF(AND(OR(Search!$C$6="All Categories",A77=Search!$C$6),OR(Search!$P$5="",ISNUMBER(SEARCH(" "&amp;Search!$P$5,N77))),OR(Search!$P$6="",ISNUMBER(SEARCH(" "&amp;Search!$P$6,N77))),OR(Search!$P$7="",ISNUMBER(SEARCH(" "&amp;Search!$P$7,N77))),OR(Search!$P$8="",ISNUMBER(SEARCH(" "&amp;Search!$P$8,N77))),OR(Search!$P$9="",ISNUMBER(SEARCH(" "&amp;Search!$P$9,N77))),OR(Search!$P$10="",ISNUMBER(SEARCH(" "&amp;Search!$P$10,N77)))),ROW(),""))</f>
        <v/>
      </c>
      <c r="N77" s="0" t="str">
        <f aca="false">IF(D77="",""," "&amp;SUBSTITUTE(SUBSTITUTE(SUBSTITUTE(SUBSTITUTE(SUBSTITUTE(SUBSTITUTE(SUBSTITUTE(B77&amp;" "&amp;C77&amp;" "&amp;D77&amp;" "&amp;E77&amp;" "&amp;F77&amp;" "&amp;G77&amp;" "&amp;H77&amp;" "&amp;'02 Glass'!R11,"("," "),")"," "),"/"," "),"-"," "),","," "),";"," "),":"," ")&amp;" ")</f>
        <v> GL 007 Annealed Float Reflective glass  hard coat  6 mm Blue   Grey   Silver Emirates Float   Guardian m2 6mm stainless steel </v>
      </c>
    </row>
    <row r="78" customFormat="false" ht="22.35" hidden="false" customHeight="false" outlineLevel="0" collapsed="false">
      <c r="A78" s="56" t="str">
        <f aca="false">IF('02 Glass'!$C$12="","","Glass - Float, Tempered, Laminated &amp; DGU")</f>
        <v>Glass - Float, Tempered, Laminated &amp; DGU</v>
      </c>
      <c r="B78" s="57" t="str">
        <f aca="false">IF('02 Glass'!$C$12="","",'02 Glass'!A12)</f>
        <v>GL-008</v>
      </c>
      <c r="C78" s="56" t="str">
        <f aca="false">IF('02 Glass'!$C$12="","",'02 Glass'!B12)</f>
        <v>Tempered</v>
      </c>
      <c r="D78" s="56" t="str">
        <f aca="false">IF('02 Glass'!$C$12="","",'02 Glass'!C12)</f>
        <v>Clear tempered glass</v>
      </c>
      <c r="E78" s="56" t="str">
        <f aca="false">IF('02 Glass'!$C$12="","",'02 Glass'!D12)</f>
        <v>6 mm, edges polished</v>
      </c>
      <c r="F78" s="56" t="str">
        <f aca="false">IF('02 Glass'!$C$12="","",'02 Glass'!E12)</f>
        <v>Clear</v>
      </c>
      <c r="G78" s="56" t="str">
        <f aca="false">IF('02 Glass'!$C$12="","",'02 Glass'!F12)</f>
        <v>Local processor</v>
      </c>
      <c r="H78" s="57" t="str">
        <f aca="false">IF('02 Glass'!$C$12="","",'02 Glass'!G12)</f>
        <v>m2</v>
      </c>
      <c r="I78" s="58" t="n">
        <f aca="false">IF('02 Glass'!$C$12="","",'02 Glass'!J12)</f>
        <v>78.75</v>
      </c>
      <c r="J78" s="58" t="n">
        <f aca="false">IF('02 Glass'!$C$12="","",'02 Glass'!K12)</f>
        <v>94.5</v>
      </c>
      <c r="K78" s="58" t="n">
        <f aca="false">IF('02 Glass'!$C$12="","",'02 Glass'!L12)</f>
        <v>99.23</v>
      </c>
      <c r="L78" s="57" t="str">
        <f aca="false">IF('02 Glass'!$C$12="","",'02 Glass'!M12)</f>
        <v>Indicative</v>
      </c>
      <c r="M78" s="59" t="str">
        <f aca="false">IF(D78="","",IF(AND(OR(Search!$C$6="All Categories",A78=Search!$C$6),OR(Search!$P$5="",ISNUMBER(SEARCH(" "&amp;Search!$P$5,N78))),OR(Search!$P$6="",ISNUMBER(SEARCH(" "&amp;Search!$P$6,N78))),OR(Search!$P$7="",ISNUMBER(SEARCH(" "&amp;Search!$P$7,N78))),OR(Search!$P$8="",ISNUMBER(SEARCH(" "&amp;Search!$P$8,N78))),OR(Search!$P$9="",ISNUMBER(SEARCH(" "&amp;Search!$P$9,N78))),OR(Search!$P$10="",ISNUMBER(SEARCH(" "&amp;Search!$P$10,N78)))),ROW(),""))</f>
        <v/>
      </c>
      <c r="N78" s="0" t="str">
        <f aca="false">IF(D78="",""," "&amp;SUBSTITUTE(SUBSTITUTE(SUBSTITUTE(SUBSTITUTE(SUBSTITUTE(SUBSTITUTE(SUBSTITUTE(B78&amp;" "&amp;C78&amp;" "&amp;D78&amp;" "&amp;E78&amp;" "&amp;F78&amp;" "&amp;G78&amp;" "&amp;H78&amp;" "&amp;'02 Glass'!R12,"("," "),")"," "),"/"," "),"-"," "),","," "),";"," "),":"," ")&amp;" ")</f>
        <v> GL 008 Tempered Clear tempered glass 6 mm  edges polished Clear Local processor m2 6mm toughened stainless steel </v>
      </c>
    </row>
    <row r="79" customFormat="false" ht="22.35" hidden="false" customHeight="false" outlineLevel="0" collapsed="false">
      <c r="A79" s="56" t="str">
        <f aca="false">IF('02 Glass'!$C$13="","","Glass - Float, Tempered, Laminated &amp; DGU")</f>
        <v>Glass - Float, Tempered, Laminated &amp; DGU</v>
      </c>
      <c r="B79" s="57" t="str">
        <f aca="false">IF('02 Glass'!$C$13="","",'02 Glass'!A13)</f>
        <v>GL-009</v>
      </c>
      <c r="C79" s="56" t="str">
        <f aca="false">IF('02 Glass'!$C$13="","",'02 Glass'!B13)</f>
        <v>Tempered</v>
      </c>
      <c r="D79" s="56" t="str">
        <f aca="false">IF('02 Glass'!$C$13="","",'02 Glass'!C13)</f>
        <v>Clear tempered glass</v>
      </c>
      <c r="E79" s="56" t="str">
        <f aca="false">IF('02 Glass'!$C$13="","",'02 Glass'!D13)</f>
        <v>8 mm, edges polished</v>
      </c>
      <c r="F79" s="56" t="str">
        <f aca="false">IF('02 Glass'!$C$13="","",'02 Glass'!E13)</f>
        <v>Clear</v>
      </c>
      <c r="G79" s="56" t="str">
        <f aca="false">IF('02 Glass'!$C$13="","",'02 Glass'!F13)</f>
        <v>Local processor</v>
      </c>
      <c r="H79" s="57" t="str">
        <f aca="false">IF('02 Glass'!$C$13="","",'02 Glass'!G13)</f>
        <v>m2</v>
      </c>
      <c r="I79" s="58" t="n">
        <f aca="false">IF('02 Glass'!$C$13="","",'02 Glass'!J13)</f>
        <v>99.75</v>
      </c>
      <c r="J79" s="58" t="n">
        <f aca="false">IF('02 Glass'!$C$13="","",'02 Glass'!K13)</f>
        <v>119.7</v>
      </c>
      <c r="K79" s="58" t="n">
        <f aca="false">IF('02 Glass'!$C$13="","",'02 Glass'!L13)</f>
        <v>125.69</v>
      </c>
      <c r="L79" s="57" t="str">
        <f aca="false">IF('02 Glass'!$C$13="","",'02 Glass'!M13)</f>
        <v>Indicative</v>
      </c>
      <c r="M79" s="59" t="str">
        <f aca="false">IF(D79="","",IF(AND(OR(Search!$C$6="All Categories",A79=Search!$C$6),OR(Search!$P$5="",ISNUMBER(SEARCH(" "&amp;Search!$P$5,N79))),OR(Search!$P$6="",ISNUMBER(SEARCH(" "&amp;Search!$P$6,N79))),OR(Search!$P$7="",ISNUMBER(SEARCH(" "&amp;Search!$P$7,N79))),OR(Search!$P$8="",ISNUMBER(SEARCH(" "&amp;Search!$P$8,N79))),OR(Search!$P$9="",ISNUMBER(SEARCH(" "&amp;Search!$P$9,N79))),OR(Search!$P$10="",ISNUMBER(SEARCH(" "&amp;Search!$P$10,N79)))),ROW(),""))</f>
        <v/>
      </c>
      <c r="N79" s="0" t="str">
        <f aca="false">IF(D79="",""," "&amp;SUBSTITUTE(SUBSTITUTE(SUBSTITUTE(SUBSTITUTE(SUBSTITUTE(SUBSTITUTE(SUBSTITUTE(B79&amp;" "&amp;C79&amp;" "&amp;D79&amp;" "&amp;E79&amp;" "&amp;F79&amp;" "&amp;G79&amp;" "&amp;H79&amp;" "&amp;'02 Glass'!R13,"("," "),")"," "),"/"," "),"-"," "),","," "),";"," "),":"," ")&amp;" ")</f>
        <v> GL 009 Tempered Clear tempered glass 8 mm  edges polished Clear Local processor m2 8mm toughened stainless steel </v>
      </c>
    </row>
    <row r="80" customFormat="false" ht="22.35" hidden="false" customHeight="false" outlineLevel="0" collapsed="false">
      <c r="A80" s="56" t="str">
        <f aca="false">IF('02 Glass'!$C$14="","","Glass - Float, Tempered, Laminated &amp; DGU")</f>
        <v>Glass - Float, Tempered, Laminated &amp; DGU</v>
      </c>
      <c r="B80" s="57" t="str">
        <f aca="false">IF('02 Glass'!$C$14="","",'02 Glass'!A14)</f>
        <v>GL-010</v>
      </c>
      <c r="C80" s="56" t="str">
        <f aca="false">IF('02 Glass'!$C$14="","",'02 Glass'!B14)</f>
        <v>Tempered</v>
      </c>
      <c r="D80" s="56" t="str">
        <f aca="false">IF('02 Glass'!$C$14="","",'02 Glass'!C14)</f>
        <v>Clear tempered glass</v>
      </c>
      <c r="E80" s="56" t="str">
        <f aca="false">IF('02 Glass'!$C$14="","",'02 Glass'!D14)</f>
        <v>10 mm, edges polished</v>
      </c>
      <c r="F80" s="56" t="str">
        <f aca="false">IF('02 Glass'!$C$14="","",'02 Glass'!E14)</f>
        <v>Clear</v>
      </c>
      <c r="G80" s="56" t="str">
        <f aca="false">IF('02 Glass'!$C$14="","",'02 Glass'!F14)</f>
        <v>Local processor</v>
      </c>
      <c r="H80" s="57" t="str">
        <f aca="false">IF('02 Glass'!$C$14="","",'02 Glass'!G14)</f>
        <v>m2</v>
      </c>
      <c r="I80" s="58" t="n">
        <f aca="false">IF('02 Glass'!$C$14="","",'02 Glass'!J14)</f>
        <v>126</v>
      </c>
      <c r="J80" s="58" t="n">
        <f aca="false">IF('02 Glass'!$C$14="","",'02 Glass'!K14)</f>
        <v>151.2</v>
      </c>
      <c r="K80" s="58" t="n">
        <f aca="false">IF('02 Glass'!$C$14="","",'02 Glass'!L14)</f>
        <v>158.76</v>
      </c>
      <c r="L80" s="57" t="str">
        <f aca="false">IF('02 Glass'!$C$14="","",'02 Glass'!M14)</f>
        <v>Indicative</v>
      </c>
      <c r="M80" s="59" t="str">
        <f aca="false">IF(D80="","",IF(AND(OR(Search!$C$6="All Categories",A80=Search!$C$6),OR(Search!$P$5="",ISNUMBER(SEARCH(" "&amp;Search!$P$5,N80))),OR(Search!$P$6="",ISNUMBER(SEARCH(" "&amp;Search!$P$6,N80))),OR(Search!$P$7="",ISNUMBER(SEARCH(" "&amp;Search!$P$7,N80))),OR(Search!$P$8="",ISNUMBER(SEARCH(" "&amp;Search!$P$8,N80))),OR(Search!$P$9="",ISNUMBER(SEARCH(" "&amp;Search!$P$9,N80))),OR(Search!$P$10="",ISNUMBER(SEARCH(" "&amp;Search!$P$10,N80)))),ROW(),""))</f>
        <v/>
      </c>
      <c r="N80" s="0" t="str">
        <f aca="false">IF(D80="",""," "&amp;SUBSTITUTE(SUBSTITUTE(SUBSTITUTE(SUBSTITUTE(SUBSTITUTE(SUBSTITUTE(SUBSTITUTE(B80&amp;" "&amp;C80&amp;" "&amp;D80&amp;" "&amp;E80&amp;" "&amp;F80&amp;" "&amp;G80&amp;" "&amp;H80&amp;" "&amp;'02 Glass'!R14,"("," "),")"," "),"/"," "),"-"," "),","," "),";"," "),":"," ")&amp;" ")</f>
        <v> GL 010 Tempered Clear tempered glass 10 mm  edges polished Clear Local processor m2 10mm toughened stainless steel </v>
      </c>
    </row>
    <row r="81" customFormat="false" ht="22.35" hidden="false" customHeight="false" outlineLevel="0" collapsed="false">
      <c r="A81" s="56" t="str">
        <f aca="false">IF('02 Glass'!$C$15="","","Glass - Float, Tempered, Laminated &amp; DGU")</f>
        <v>Glass - Float, Tempered, Laminated &amp; DGU</v>
      </c>
      <c r="B81" s="57" t="str">
        <f aca="false">IF('02 Glass'!$C$15="","",'02 Glass'!A15)</f>
        <v>GL-011</v>
      </c>
      <c r="C81" s="56" t="str">
        <f aca="false">IF('02 Glass'!$C$15="","",'02 Glass'!B15)</f>
        <v>Tempered</v>
      </c>
      <c r="D81" s="56" t="str">
        <f aca="false">IF('02 Glass'!$C$15="","",'02 Glass'!C15)</f>
        <v>Clear tempered glass</v>
      </c>
      <c r="E81" s="56" t="str">
        <f aca="false">IF('02 Glass'!$C$15="","",'02 Glass'!D15)</f>
        <v>12 mm, edges polished</v>
      </c>
      <c r="F81" s="56" t="str">
        <f aca="false">IF('02 Glass'!$C$15="","",'02 Glass'!E15)</f>
        <v>Clear</v>
      </c>
      <c r="G81" s="56" t="str">
        <f aca="false">IF('02 Glass'!$C$15="","",'02 Glass'!F15)</f>
        <v>Local processor</v>
      </c>
      <c r="H81" s="57" t="str">
        <f aca="false">IF('02 Glass'!$C$15="","",'02 Glass'!G15)</f>
        <v>m2</v>
      </c>
      <c r="I81" s="58" t="n">
        <f aca="false">IF('02 Glass'!$C$15="","",'02 Glass'!J15)</f>
        <v>157.5</v>
      </c>
      <c r="J81" s="58" t="n">
        <f aca="false">IF('02 Glass'!$C$15="","",'02 Glass'!K15)</f>
        <v>189</v>
      </c>
      <c r="K81" s="58" t="n">
        <f aca="false">IF('02 Glass'!$C$15="","",'02 Glass'!L15)</f>
        <v>198.45</v>
      </c>
      <c r="L81" s="57" t="str">
        <f aca="false">IF('02 Glass'!$C$15="","",'02 Glass'!M15)</f>
        <v>Indicative</v>
      </c>
      <c r="M81" s="59" t="str">
        <f aca="false">IF(D81="","",IF(AND(OR(Search!$C$6="All Categories",A81=Search!$C$6),OR(Search!$P$5="",ISNUMBER(SEARCH(" "&amp;Search!$P$5,N81))),OR(Search!$P$6="",ISNUMBER(SEARCH(" "&amp;Search!$P$6,N81))),OR(Search!$P$7="",ISNUMBER(SEARCH(" "&amp;Search!$P$7,N81))),OR(Search!$P$8="",ISNUMBER(SEARCH(" "&amp;Search!$P$8,N81))),OR(Search!$P$9="",ISNUMBER(SEARCH(" "&amp;Search!$P$9,N81))),OR(Search!$P$10="",ISNUMBER(SEARCH(" "&amp;Search!$P$10,N81)))),ROW(),""))</f>
        <v/>
      </c>
      <c r="N81" s="0" t="str">
        <f aca="false">IF(D81="",""," "&amp;SUBSTITUTE(SUBSTITUTE(SUBSTITUTE(SUBSTITUTE(SUBSTITUTE(SUBSTITUTE(SUBSTITUTE(B81&amp;" "&amp;C81&amp;" "&amp;D81&amp;" "&amp;E81&amp;" "&amp;F81&amp;" "&amp;G81&amp;" "&amp;H81&amp;" "&amp;'02 Glass'!R15,"("," "),")"," "),"/"," "),"-"," "),","," "),";"," "),":"," ")&amp;" ")</f>
        <v> GL 011 Tempered Clear tempered glass 12 mm  edges polished Clear Local processor m2 12mm toughened stainless steel </v>
      </c>
    </row>
    <row r="82" customFormat="false" ht="22.35" hidden="false" customHeight="false" outlineLevel="0" collapsed="false">
      <c r="A82" s="56" t="str">
        <f aca="false">IF('02 Glass'!$C$16="","","Glass - Float, Tempered, Laminated &amp; DGU")</f>
        <v>Glass - Float, Tempered, Laminated &amp; DGU</v>
      </c>
      <c r="B82" s="57" t="str">
        <f aca="false">IF('02 Glass'!$C$16="","",'02 Glass'!A16)</f>
        <v>GL-012</v>
      </c>
      <c r="C82" s="56" t="str">
        <f aca="false">IF('02 Glass'!$C$16="","",'02 Glass'!B16)</f>
        <v>Tempered</v>
      </c>
      <c r="D82" s="56" t="str">
        <f aca="false">IF('02 Glass'!$C$16="","",'02 Glass'!C16)</f>
        <v>Clear tempered glass</v>
      </c>
      <c r="E82" s="56" t="str">
        <f aca="false">IF('02 Glass'!$C$16="","",'02 Glass'!D16)</f>
        <v>15 mm, edges polished</v>
      </c>
      <c r="F82" s="56" t="str">
        <f aca="false">IF('02 Glass'!$C$16="","",'02 Glass'!E16)</f>
        <v>Clear</v>
      </c>
      <c r="G82" s="56" t="str">
        <f aca="false">IF('02 Glass'!$C$16="","",'02 Glass'!F16)</f>
        <v>Local processor</v>
      </c>
      <c r="H82" s="57" t="str">
        <f aca="false">IF('02 Glass'!$C$16="","",'02 Glass'!G16)</f>
        <v>m2</v>
      </c>
      <c r="I82" s="58" t="n">
        <f aca="false">IF('02 Glass'!$C$16="","",'02 Glass'!J16)</f>
        <v>273</v>
      </c>
      <c r="J82" s="58" t="n">
        <f aca="false">IF('02 Glass'!$C$16="","",'02 Glass'!K16)</f>
        <v>327.6</v>
      </c>
      <c r="K82" s="58" t="n">
        <f aca="false">IF('02 Glass'!$C$16="","",'02 Glass'!L16)</f>
        <v>343.98</v>
      </c>
      <c r="L82" s="57" t="str">
        <f aca="false">IF('02 Glass'!$C$16="","",'02 Glass'!M16)</f>
        <v>Indicative</v>
      </c>
      <c r="M82" s="59" t="str">
        <f aca="false">IF(D82="","",IF(AND(OR(Search!$C$6="All Categories",A82=Search!$C$6),OR(Search!$P$5="",ISNUMBER(SEARCH(" "&amp;Search!$P$5,N82))),OR(Search!$P$6="",ISNUMBER(SEARCH(" "&amp;Search!$P$6,N82))),OR(Search!$P$7="",ISNUMBER(SEARCH(" "&amp;Search!$P$7,N82))),OR(Search!$P$8="",ISNUMBER(SEARCH(" "&amp;Search!$P$8,N82))),OR(Search!$P$9="",ISNUMBER(SEARCH(" "&amp;Search!$P$9,N82))),OR(Search!$P$10="",ISNUMBER(SEARCH(" "&amp;Search!$P$10,N82)))),ROW(),""))</f>
        <v/>
      </c>
      <c r="N82" s="0" t="str">
        <f aca="false">IF(D82="",""," "&amp;SUBSTITUTE(SUBSTITUTE(SUBSTITUTE(SUBSTITUTE(SUBSTITUTE(SUBSTITUTE(SUBSTITUTE(B82&amp;" "&amp;C82&amp;" "&amp;D82&amp;" "&amp;E82&amp;" "&amp;F82&amp;" "&amp;G82&amp;" "&amp;H82&amp;" "&amp;'02 Glass'!R16,"("," "),")"," "),"/"," "),"-"," "),","," "),";"," "),":"," ")&amp;" ")</f>
        <v> GL 012 Tempered Clear tempered glass 15 mm  edges polished Clear Local processor m2 15mm toughened stainless steel </v>
      </c>
    </row>
    <row r="83" customFormat="false" ht="22.35" hidden="false" customHeight="false" outlineLevel="0" collapsed="false">
      <c r="A83" s="56" t="str">
        <f aca="false">IF('02 Glass'!$C$17="","","Glass - Float, Tempered, Laminated &amp; DGU")</f>
        <v>Glass - Float, Tempered, Laminated &amp; DGU</v>
      </c>
      <c r="B83" s="57" t="str">
        <f aca="false">IF('02 Glass'!$C$17="","",'02 Glass'!A17)</f>
        <v>GL-013</v>
      </c>
      <c r="C83" s="56" t="str">
        <f aca="false">IF('02 Glass'!$C$17="","",'02 Glass'!B17)</f>
        <v>Tempered</v>
      </c>
      <c r="D83" s="56" t="str">
        <f aca="false">IF('02 Glass'!$C$17="","",'02 Glass'!C17)</f>
        <v>Clear tempered glass</v>
      </c>
      <c r="E83" s="56" t="str">
        <f aca="false">IF('02 Glass'!$C$17="","",'02 Glass'!D17)</f>
        <v>19 mm, edges polished</v>
      </c>
      <c r="F83" s="56" t="str">
        <f aca="false">IF('02 Glass'!$C$17="","",'02 Glass'!E17)</f>
        <v>Clear</v>
      </c>
      <c r="G83" s="56" t="str">
        <f aca="false">IF('02 Glass'!$C$17="","",'02 Glass'!F17)</f>
        <v>Local processor</v>
      </c>
      <c r="H83" s="57" t="str">
        <f aca="false">IF('02 Glass'!$C$17="","",'02 Glass'!G17)</f>
        <v>m2</v>
      </c>
      <c r="I83" s="58" t="n">
        <f aca="false">IF('02 Glass'!$C$17="","",'02 Glass'!J17)</f>
        <v>441</v>
      </c>
      <c r="J83" s="58" t="n">
        <f aca="false">IF('02 Glass'!$C$17="","",'02 Glass'!K17)</f>
        <v>529.2</v>
      </c>
      <c r="K83" s="58" t="n">
        <f aca="false">IF('02 Glass'!$C$17="","",'02 Glass'!L17)</f>
        <v>555.66</v>
      </c>
      <c r="L83" s="57" t="str">
        <f aca="false">IF('02 Glass'!$C$17="","",'02 Glass'!M17)</f>
        <v>Indicative</v>
      </c>
      <c r="M83" s="59" t="str">
        <f aca="false">IF(D83="","",IF(AND(OR(Search!$C$6="All Categories",A83=Search!$C$6),OR(Search!$P$5="",ISNUMBER(SEARCH(" "&amp;Search!$P$5,N83))),OR(Search!$P$6="",ISNUMBER(SEARCH(" "&amp;Search!$P$6,N83))),OR(Search!$P$7="",ISNUMBER(SEARCH(" "&amp;Search!$P$7,N83))),OR(Search!$P$8="",ISNUMBER(SEARCH(" "&amp;Search!$P$8,N83))),OR(Search!$P$9="",ISNUMBER(SEARCH(" "&amp;Search!$P$9,N83))),OR(Search!$P$10="",ISNUMBER(SEARCH(" "&amp;Search!$P$10,N83)))),ROW(),""))</f>
        <v/>
      </c>
      <c r="N83" s="0" t="str">
        <f aca="false">IF(D83="",""," "&amp;SUBSTITUTE(SUBSTITUTE(SUBSTITUTE(SUBSTITUTE(SUBSTITUTE(SUBSTITUTE(SUBSTITUTE(B83&amp;" "&amp;C83&amp;" "&amp;D83&amp;" "&amp;E83&amp;" "&amp;F83&amp;" "&amp;G83&amp;" "&amp;H83&amp;" "&amp;'02 Glass'!R17,"("," "),")"," "),"/"," "),"-"," "),","," "),";"," "),":"," ")&amp;" ")</f>
        <v> GL 013 Tempered Clear tempered glass 19 mm  edges polished Clear Local processor m2 19mm toughened stainless steel </v>
      </c>
    </row>
    <row r="84" customFormat="false" ht="22.35" hidden="false" customHeight="false" outlineLevel="0" collapsed="false">
      <c r="A84" s="56" t="str">
        <f aca="false">IF('02 Glass'!$C$18="","","Glass - Float, Tempered, Laminated &amp; DGU")</f>
        <v>Glass - Float, Tempered, Laminated &amp; DGU</v>
      </c>
      <c r="B84" s="57" t="str">
        <f aca="false">IF('02 Glass'!$C$18="","",'02 Glass'!A18)</f>
        <v>GL-014</v>
      </c>
      <c r="C84" s="56" t="str">
        <f aca="false">IF('02 Glass'!$C$18="","",'02 Glass'!B18)</f>
        <v>Tempered</v>
      </c>
      <c r="D84" s="56" t="str">
        <f aca="false">IF('02 Glass'!$C$18="","",'02 Glass'!C18)</f>
        <v>Tinted tempered glass</v>
      </c>
      <c r="E84" s="56" t="str">
        <f aca="false">IF('02 Glass'!$C$18="","",'02 Glass'!D18)</f>
        <v>10 mm</v>
      </c>
      <c r="F84" s="56" t="str">
        <f aca="false">IF('02 Glass'!$C$18="","",'02 Glass'!E18)</f>
        <v>Grey / Bronze</v>
      </c>
      <c r="G84" s="56" t="str">
        <f aca="false">IF('02 Glass'!$C$18="","",'02 Glass'!F18)</f>
        <v>Local processor</v>
      </c>
      <c r="H84" s="57" t="str">
        <f aca="false">IF('02 Glass'!$C$18="","",'02 Glass'!G18)</f>
        <v>m2</v>
      </c>
      <c r="I84" s="58" t="n">
        <f aca="false">IF('02 Glass'!$C$18="","",'02 Glass'!J18)</f>
        <v>152.25</v>
      </c>
      <c r="J84" s="58" t="n">
        <f aca="false">IF('02 Glass'!$C$18="","",'02 Glass'!K18)</f>
        <v>182.7</v>
      </c>
      <c r="K84" s="58" t="n">
        <f aca="false">IF('02 Glass'!$C$18="","",'02 Glass'!L18)</f>
        <v>191.84</v>
      </c>
      <c r="L84" s="57" t="str">
        <f aca="false">IF('02 Glass'!$C$18="","",'02 Glass'!M18)</f>
        <v>Indicative</v>
      </c>
      <c r="M84" s="59" t="str">
        <f aca="false">IF(D84="","",IF(AND(OR(Search!$C$6="All Categories",A84=Search!$C$6),OR(Search!$P$5="",ISNUMBER(SEARCH(" "&amp;Search!$P$5,N84))),OR(Search!$P$6="",ISNUMBER(SEARCH(" "&amp;Search!$P$6,N84))),OR(Search!$P$7="",ISNUMBER(SEARCH(" "&amp;Search!$P$7,N84))),OR(Search!$P$8="",ISNUMBER(SEARCH(" "&amp;Search!$P$8,N84))),OR(Search!$P$9="",ISNUMBER(SEARCH(" "&amp;Search!$P$9,N84))),OR(Search!$P$10="",ISNUMBER(SEARCH(" "&amp;Search!$P$10,N84)))),ROW(),""))</f>
        <v/>
      </c>
      <c r="N84" s="0" t="str">
        <f aca="false">IF(D84="",""," "&amp;SUBSTITUTE(SUBSTITUTE(SUBSTITUTE(SUBSTITUTE(SUBSTITUTE(SUBSTITUTE(SUBSTITUTE(B84&amp;" "&amp;C84&amp;" "&amp;D84&amp;" "&amp;E84&amp;" "&amp;F84&amp;" "&amp;G84&amp;" "&amp;H84&amp;" "&amp;'02 Glass'!R18,"("," "),")"," "),"/"," "),"-"," "),","," "),";"," "),":"," ")&amp;" ")</f>
        <v> GL 014 Tempered Tinted tempered glass 10 mm Grey   Bronze Local processor m2 10mm toughened stainless steel </v>
      </c>
    </row>
    <row r="85" customFormat="false" ht="22.35" hidden="false" customHeight="false" outlineLevel="0" collapsed="false">
      <c r="A85" s="56" t="str">
        <f aca="false">IF('02 Glass'!$C$19="","","Glass - Float, Tempered, Laminated &amp; DGU")</f>
        <v>Glass - Float, Tempered, Laminated &amp; DGU</v>
      </c>
      <c r="B85" s="57" t="str">
        <f aca="false">IF('02 Glass'!$C$19="","",'02 Glass'!A19)</f>
        <v>GL-015</v>
      </c>
      <c r="C85" s="56" t="str">
        <f aca="false">IF('02 Glass'!$C$19="","",'02 Glass'!B19)</f>
        <v>Tempered</v>
      </c>
      <c r="D85" s="56" t="str">
        <f aca="false">IF('02 Glass'!$C$19="","",'02 Glass'!C19)</f>
        <v>Low-iron (extra clear) tempered glass</v>
      </c>
      <c r="E85" s="56" t="str">
        <f aca="false">IF('02 Glass'!$C$19="","",'02 Glass'!D19)</f>
        <v>10 mm</v>
      </c>
      <c r="F85" s="56" t="str">
        <f aca="false">IF('02 Glass'!$C$19="","",'02 Glass'!E19)</f>
        <v>Ultra clear</v>
      </c>
      <c r="G85" s="56" t="str">
        <f aca="false">IF('02 Glass'!$C$19="","",'02 Glass'!F19)</f>
        <v>Local processor</v>
      </c>
      <c r="H85" s="57" t="str">
        <f aca="false">IF('02 Glass'!$C$19="","",'02 Glass'!G19)</f>
        <v>m2</v>
      </c>
      <c r="I85" s="58" t="n">
        <f aca="false">IF('02 Glass'!$C$19="","",'02 Glass'!J19)</f>
        <v>220.5</v>
      </c>
      <c r="J85" s="58" t="n">
        <f aca="false">IF('02 Glass'!$C$19="","",'02 Glass'!K19)</f>
        <v>264.6</v>
      </c>
      <c r="K85" s="58" t="n">
        <f aca="false">IF('02 Glass'!$C$19="","",'02 Glass'!L19)</f>
        <v>277.83</v>
      </c>
      <c r="L85" s="57" t="str">
        <f aca="false">IF('02 Glass'!$C$19="","",'02 Glass'!M19)</f>
        <v>Indicative</v>
      </c>
      <c r="M85" s="59" t="str">
        <f aca="false">IF(D85="","",IF(AND(OR(Search!$C$6="All Categories",A85=Search!$C$6),OR(Search!$P$5="",ISNUMBER(SEARCH(" "&amp;Search!$P$5,N85))),OR(Search!$P$6="",ISNUMBER(SEARCH(" "&amp;Search!$P$6,N85))),OR(Search!$P$7="",ISNUMBER(SEARCH(" "&amp;Search!$P$7,N85))),OR(Search!$P$8="",ISNUMBER(SEARCH(" "&amp;Search!$P$8,N85))),OR(Search!$P$9="",ISNUMBER(SEARCH(" "&amp;Search!$P$9,N85))),OR(Search!$P$10="",ISNUMBER(SEARCH(" "&amp;Search!$P$10,N85)))),ROW(),""))</f>
        <v/>
      </c>
      <c r="N85" s="0" t="str">
        <f aca="false">IF(D85="",""," "&amp;SUBSTITUTE(SUBSTITUTE(SUBSTITUTE(SUBSTITUTE(SUBSTITUTE(SUBSTITUTE(SUBSTITUTE(B85&amp;" "&amp;C85&amp;" "&amp;D85&amp;" "&amp;E85&amp;" "&amp;F85&amp;" "&amp;G85&amp;" "&amp;H85&amp;" "&amp;'02 Glass'!R19,"("," "),")"," "),"/"," "),"-"," "),","," "),";"," "),":"," ")&amp;" ")</f>
        <v> GL 015 Tempered Low iron  extra clear  tempered glass 10 mm Ultra clear Local processor m2 10mm toughened extra clear ultra stainless steel </v>
      </c>
    </row>
    <row r="86" customFormat="false" ht="22.35" hidden="false" customHeight="false" outlineLevel="0" collapsed="false">
      <c r="A86" s="56" t="str">
        <f aca="false">IF('02 Glass'!$C$20="","","Glass - Float, Tempered, Laminated &amp; DGU")</f>
        <v>Glass - Float, Tempered, Laminated &amp; DGU</v>
      </c>
      <c r="B86" s="57" t="str">
        <f aca="false">IF('02 Glass'!$C$20="","",'02 Glass'!A20)</f>
        <v>GL-016</v>
      </c>
      <c r="C86" s="56" t="str">
        <f aca="false">IF('02 Glass'!$C$20="","",'02 Glass'!B20)</f>
        <v>Tempered</v>
      </c>
      <c r="D86" s="56" t="str">
        <f aca="false">IF('02 Glass'!$C$20="","",'02 Glass'!C20)</f>
        <v>Low-iron (extra clear) tempered glass</v>
      </c>
      <c r="E86" s="56" t="str">
        <f aca="false">IF('02 Glass'!$C$20="","",'02 Glass'!D20)</f>
        <v>12 mm</v>
      </c>
      <c r="F86" s="56" t="str">
        <f aca="false">IF('02 Glass'!$C$20="","",'02 Glass'!E20)</f>
        <v>Ultra clear</v>
      </c>
      <c r="G86" s="56" t="str">
        <f aca="false">IF('02 Glass'!$C$20="","",'02 Glass'!F20)</f>
        <v>Local processor</v>
      </c>
      <c r="H86" s="57" t="str">
        <f aca="false">IF('02 Glass'!$C$20="","",'02 Glass'!G20)</f>
        <v>m2</v>
      </c>
      <c r="I86" s="58" t="n">
        <f aca="false">IF('02 Glass'!$C$20="","",'02 Glass'!J20)</f>
        <v>273</v>
      </c>
      <c r="J86" s="58" t="n">
        <f aca="false">IF('02 Glass'!$C$20="","",'02 Glass'!K20)</f>
        <v>327.6</v>
      </c>
      <c r="K86" s="58" t="n">
        <f aca="false">IF('02 Glass'!$C$20="","",'02 Glass'!L20)</f>
        <v>343.98</v>
      </c>
      <c r="L86" s="57" t="str">
        <f aca="false">IF('02 Glass'!$C$20="","",'02 Glass'!M20)</f>
        <v>Indicative</v>
      </c>
      <c r="M86" s="59" t="str">
        <f aca="false">IF(D86="","",IF(AND(OR(Search!$C$6="All Categories",A86=Search!$C$6),OR(Search!$P$5="",ISNUMBER(SEARCH(" "&amp;Search!$P$5,N86))),OR(Search!$P$6="",ISNUMBER(SEARCH(" "&amp;Search!$P$6,N86))),OR(Search!$P$7="",ISNUMBER(SEARCH(" "&amp;Search!$P$7,N86))),OR(Search!$P$8="",ISNUMBER(SEARCH(" "&amp;Search!$P$8,N86))),OR(Search!$P$9="",ISNUMBER(SEARCH(" "&amp;Search!$P$9,N86))),OR(Search!$P$10="",ISNUMBER(SEARCH(" "&amp;Search!$P$10,N86)))),ROW(),""))</f>
        <v/>
      </c>
      <c r="N86" s="0" t="str">
        <f aca="false">IF(D86="",""," "&amp;SUBSTITUTE(SUBSTITUTE(SUBSTITUTE(SUBSTITUTE(SUBSTITUTE(SUBSTITUTE(SUBSTITUTE(B86&amp;" "&amp;C86&amp;" "&amp;D86&amp;" "&amp;E86&amp;" "&amp;F86&amp;" "&amp;G86&amp;" "&amp;H86&amp;" "&amp;'02 Glass'!R20,"("," "),")"," "),"/"," "),"-"," "),","," "),";"," "),":"," ")&amp;" ")</f>
        <v> GL 016 Tempered Low iron  extra clear  tempered glass 12 mm Ultra clear Local processor m2 12mm toughened extra clear ultra stainless steel </v>
      </c>
    </row>
    <row r="87" customFormat="false" ht="22.35" hidden="false" customHeight="false" outlineLevel="0" collapsed="false">
      <c r="A87" s="56" t="str">
        <f aca="false">IF('02 Glass'!$C$21="","","Glass - Float, Tempered, Laminated &amp; DGU")</f>
        <v>Glass - Float, Tempered, Laminated &amp; DGU</v>
      </c>
      <c r="B87" s="57" t="str">
        <f aca="false">IF('02 Glass'!$C$21="","",'02 Glass'!A21)</f>
        <v>GL-017</v>
      </c>
      <c r="C87" s="56" t="str">
        <f aca="false">IF('02 Glass'!$C$21="","",'02 Glass'!B21)</f>
        <v>Tempered</v>
      </c>
      <c r="D87" s="56" t="str">
        <f aca="false">IF('02 Glass'!$C$21="","",'02 Glass'!C21)</f>
        <v>Frosted / acid-etched tempered glass</v>
      </c>
      <c r="E87" s="56" t="str">
        <f aca="false">IF('02 Glass'!$C$21="","",'02 Glass'!D21)</f>
        <v>10 mm</v>
      </c>
      <c r="F87" s="56" t="str">
        <f aca="false">IF('02 Glass'!$C$21="","",'02 Glass'!E21)</f>
        <v>Satin</v>
      </c>
      <c r="G87" s="56" t="str">
        <f aca="false">IF('02 Glass'!$C$21="","",'02 Glass'!F21)</f>
        <v>Local processor</v>
      </c>
      <c r="H87" s="57" t="str">
        <f aca="false">IF('02 Glass'!$C$21="","",'02 Glass'!G21)</f>
        <v>m2</v>
      </c>
      <c r="I87" s="58" t="n">
        <f aca="false">IF('02 Glass'!$C$21="","",'02 Glass'!J21)</f>
        <v>178.5</v>
      </c>
      <c r="J87" s="58" t="n">
        <f aca="false">IF('02 Glass'!$C$21="","",'02 Glass'!K21)</f>
        <v>214.2</v>
      </c>
      <c r="K87" s="58" t="n">
        <f aca="false">IF('02 Glass'!$C$21="","",'02 Glass'!L21)</f>
        <v>224.91</v>
      </c>
      <c r="L87" s="57" t="str">
        <f aca="false">IF('02 Glass'!$C$21="","",'02 Glass'!M21)</f>
        <v>Indicative</v>
      </c>
      <c r="M87" s="59" t="str">
        <f aca="false">IF(D87="","",IF(AND(OR(Search!$C$6="All Categories",A87=Search!$C$6),OR(Search!$P$5="",ISNUMBER(SEARCH(" "&amp;Search!$P$5,N87))),OR(Search!$P$6="",ISNUMBER(SEARCH(" "&amp;Search!$P$6,N87))),OR(Search!$P$7="",ISNUMBER(SEARCH(" "&amp;Search!$P$7,N87))),OR(Search!$P$8="",ISNUMBER(SEARCH(" "&amp;Search!$P$8,N87))),OR(Search!$P$9="",ISNUMBER(SEARCH(" "&amp;Search!$P$9,N87))),OR(Search!$P$10="",ISNUMBER(SEARCH(" "&amp;Search!$P$10,N87)))),ROW(),""))</f>
        <v/>
      </c>
      <c r="N87" s="0" t="str">
        <f aca="false">IF(D87="",""," "&amp;SUBSTITUTE(SUBSTITUTE(SUBSTITUTE(SUBSTITUTE(SUBSTITUTE(SUBSTITUTE(SUBSTITUTE(B87&amp;" "&amp;C87&amp;" "&amp;D87&amp;" "&amp;E87&amp;" "&amp;F87&amp;" "&amp;G87&amp;" "&amp;H87&amp;" "&amp;'02 Glass'!R21,"("," "),")"," "),"/"," "),"-"," "),","," "),";"," "),":"," ")&amp;" ")</f>
        <v> GL 017 Tempered Frosted   acid etched tempered glass 10 mm Satin Local processor m2 10mm toughened sandblast frosted stainless steel </v>
      </c>
    </row>
    <row r="88" customFormat="false" ht="22.35" hidden="false" customHeight="false" outlineLevel="0" collapsed="false">
      <c r="A88" s="56" t="str">
        <f aca="false">IF('02 Glass'!$C$22="","","Glass - Float, Tempered, Laminated &amp; DGU")</f>
        <v>Glass - Float, Tempered, Laminated &amp; DGU</v>
      </c>
      <c r="B88" s="57" t="str">
        <f aca="false">IF('02 Glass'!$C$22="","",'02 Glass'!A22)</f>
        <v>GL-018</v>
      </c>
      <c r="C88" s="56" t="str">
        <f aca="false">IF('02 Glass'!$C$22="","",'02 Glass'!B22)</f>
        <v>Tempered</v>
      </c>
      <c r="D88" s="56" t="str">
        <f aca="false">IF('02 Glass'!$C$22="","",'02 Glass'!C22)</f>
        <v>Frosted / acid-etched tempered glass</v>
      </c>
      <c r="E88" s="56" t="str">
        <f aca="false">IF('02 Glass'!$C$22="","",'02 Glass'!D22)</f>
        <v>12 mm</v>
      </c>
      <c r="F88" s="56" t="str">
        <f aca="false">IF('02 Glass'!$C$22="","",'02 Glass'!E22)</f>
        <v>Satin</v>
      </c>
      <c r="G88" s="56" t="str">
        <f aca="false">IF('02 Glass'!$C$22="","",'02 Glass'!F22)</f>
        <v>Local processor</v>
      </c>
      <c r="H88" s="57" t="str">
        <f aca="false">IF('02 Glass'!$C$22="","",'02 Glass'!G22)</f>
        <v>m2</v>
      </c>
      <c r="I88" s="58" t="n">
        <f aca="false">IF('02 Glass'!$C$22="","",'02 Glass'!J22)</f>
        <v>215.25</v>
      </c>
      <c r="J88" s="58" t="n">
        <f aca="false">IF('02 Glass'!$C$22="","",'02 Glass'!K22)</f>
        <v>258.3</v>
      </c>
      <c r="K88" s="58" t="n">
        <f aca="false">IF('02 Glass'!$C$22="","",'02 Glass'!L22)</f>
        <v>271.22</v>
      </c>
      <c r="L88" s="57" t="str">
        <f aca="false">IF('02 Glass'!$C$22="","",'02 Glass'!M22)</f>
        <v>Indicative</v>
      </c>
      <c r="M88" s="59" t="str">
        <f aca="false">IF(D88="","",IF(AND(OR(Search!$C$6="All Categories",A88=Search!$C$6),OR(Search!$P$5="",ISNUMBER(SEARCH(" "&amp;Search!$P$5,N88))),OR(Search!$P$6="",ISNUMBER(SEARCH(" "&amp;Search!$P$6,N88))),OR(Search!$P$7="",ISNUMBER(SEARCH(" "&amp;Search!$P$7,N88))),OR(Search!$P$8="",ISNUMBER(SEARCH(" "&amp;Search!$P$8,N88))),OR(Search!$P$9="",ISNUMBER(SEARCH(" "&amp;Search!$P$9,N88))),OR(Search!$P$10="",ISNUMBER(SEARCH(" "&amp;Search!$P$10,N88)))),ROW(),""))</f>
        <v/>
      </c>
      <c r="N88" s="0" t="str">
        <f aca="false">IF(D88="",""," "&amp;SUBSTITUTE(SUBSTITUTE(SUBSTITUTE(SUBSTITUTE(SUBSTITUTE(SUBSTITUTE(SUBSTITUTE(B88&amp;" "&amp;C88&amp;" "&amp;D88&amp;" "&amp;E88&amp;" "&amp;F88&amp;" "&amp;G88&amp;" "&amp;H88&amp;" "&amp;'02 Glass'!R22,"("," "),")"," "),"/"," "),"-"," "),","," "),";"," "),":"," ")&amp;" ")</f>
        <v> GL 018 Tempered Frosted   acid etched tempered glass 12 mm Satin Local processor m2 12mm toughened sandblast frosted stainless steel </v>
      </c>
    </row>
    <row r="89" customFormat="false" ht="22.35" hidden="false" customHeight="false" outlineLevel="0" collapsed="false">
      <c r="A89" s="56" t="str">
        <f aca="false">IF('02 Glass'!$C$23="","","Glass - Float, Tempered, Laminated &amp; DGU")</f>
        <v>Glass - Float, Tempered, Laminated &amp; DGU</v>
      </c>
      <c r="B89" s="57" t="str">
        <f aca="false">IF('02 Glass'!$C$23="","",'02 Glass'!A23)</f>
        <v>GL-019</v>
      </c>
      <c r="C89" s="56" t="str">
        <f aca="false">IF('02 Glass'!$C$23="","",'02 Glass'!B23)</f>
        <v>Tempered</v>
      </c>
      <c r="D89" s="56" t="str">
        <f aca="false">IF('02 Glass'!$C$23="","",'02 Glass'!C23)</f>
        <v>Fluted / reeded tempered glass</v>
      </c>
      <c r="E89" s="56" t="str">
        <f aca="false">IF('02 Glass'!$C$23="","",'02 Glass'!D23)</f>
        <v>8 mm</v>
      </c>
      <c r="F89" s="56" t="str">
        <f aca="false">IF('02 Glass'!$C$23="","",'02 Glass'!E23)</f>
        <v>Fluted</v>
      </c>
      <c r="G89" s="56" t="str">
        <f aca="false">IF('02 Glass'!$C$23="","",'02 Glass'!F23)</f>
        <v>Imported</v>
      </c>
      <c r="H89" s="57" t="str">
        <f aca="false">IF('02 Glass'!$C$23="","",'02 Glass'!G23)</f>
        <v>m2</v>
      </c>
      <c r="I89" s="58" t="n">
        <f aca="false">IF('02 Glass'!$C$23="","",'02 Glass'!J23)</f>
        <v>241.5</v>
      </c>
      <c r="J89" s="58" t="n">
        <f aca="false">IF('02 Glass'!$C$23="","",'02 Glass'!K23)</f>
        <v>289.8</v>
      </c>
      <c r="K89" s="58" t="n">
        <f aca="false">IF('02 Glass'!$C$23="","",'02 Glass'!L23)</f>
        <v>304.29</v>
      </c>
      <c r="L89" s="57" t="str">
        <f aca="false">IF('02 Glass'!$C$23="","",'02 Glass'!M23)</f>
        <v>Indicative</v>
      </c>
      <c r="M89" s="59" t="str">
        <f aca="false">IF(D89="","",IF(AND(OR(Search!$C$6="All Categories",A89=Search!$C$6),OR(Search!$P$5="",ISNUMBER(SEARCH(" "&amp;Search!$P$5,N89))),OR(Search!$P$6="",ISNUMBER(SEARCH(" "&amp;Search!$P$6,N89))),OR(Search!$P$7="",ISNUMBER(SEARCH(" "&amp;Search!$P$7,N89))),OR(Search!$P$8="",ISNUMBER(SEARCH(" "&amp;Search!$P$8,N89))),OR(Search!$P$9="",ISNUMBER(SEARCH(" "&amp;Search!$P$9,N89))),OR(Search!$P$10="",ISNUMBER(SEARCH(" "&amp;Search!$P$10,N89)))),ROW(),""))</f>
        <v/>
      </c>
      <c r="N89" s="0" t="str">
        <f aca="false">IF(D89="",""," "&amp;SUBSTITUTE(SUBSTITUTE(SUBSTITUTE(SUBSTITUTE(SUBSTITUTE(SUBSTITUTE(SUBSTITUTE(B89&amp;" "&amp;C89&amp;" "&amp;D89&amp;" "&amp;E89&amp;" "&amp;F89&amp;" "&amp;G89&amp;" "&amp;H89&amp;" "&amp;'02 Glass'!R23,"("," "),")"," "),"/"," "),"-"," "),","," "),";"," "),":"," ")&amp;" ")</f>
        <v> GL 019 Tempered Fluted   reeded tempered glass 8 mm Fluted Imported m2 8mm toughened stainless steel </v>
      </c>
    </row>
    <row r="90" customFormat="false" ht="22.35" hidden="false" customHeight="false" outlineLevel="0" collapsed="false">
      <c r="A90" s="56" t="str">
        <f aca="false">IF('02 Glass'!$C$24="","","Glass - Float, Tempered, Laminated &amp; DGU")</f>
        <v>Glass - Float, Tempered, Laminated &amp; DGU</v>
      </c>
      <c r="B90" s="57" t="str">
        <f aca="false">IF('02 Glass'!$C$24="","",'02 Glass'!A24)</f>
        <v>GL-020</v>
      </c>
      <c r="C90" s="56" t="str">
        <f aca="false">IF('02 Glass'!$C$24="","",'02 Glass'!B24)</f>
        <v>Tempered</v>
      </c>
      <c r="D90" s="56" t="str">
        <f aca="false">IF('02 Glass'!$C$24="","",'02 Glass'!C24)</f>
        <v>Heat-soak test (HST) - extra</v>
      </c>
      <c r="E90" s="56" t="str">
        <f aca="false">IF('02 Glass'!$C$24="","",'02 Glass'!D24)</f>
        <v>Any thickness</v>
      </c>
      <c r="F90" s="56" t="str">
        <f aca="false">IF('02 Glass'!$C$24="","",'02 Glass'!E24)</f>
        <v>-</v>
      </c>
      <c r="G90" s="56" t="str">
        <f aca="false">IF('02 Glass'!$C$24="","",'02 Glass'!F24)</f>
        <v>Local processor</v>
      </c>
      <c r="H90" s="57" t="str">
        <f aca="false">IF('02 Glass'!$C$24="","",'02 Glass'!G24)</f>
        <v>m2</v>
      </c>
      <c r="I90" s="58" t="n">
        <f aca="false">IF('02 Glass'!$C$24="","",'02 Glass'!J24)</f>
        <v>26.25</v>
      </c>
      <c r="J90" s="58" t="n">
        <f aca="false">IF('02 Glass'!$C$24="","",'02 Glass'!K24)</f>
        <v>31.5</v>
      </c>
      <c r="K90" s="58" t="n">
        <f aca="false">IF('02 Glass'!$C$24="","",'02 Glass'!L24)</f>
        <v>33.08</v>
      </c>
      <c r="L90" s="57" t="str">
        <f aca="false">IF('02 Glass'!$C$24="","",'02 Glass'!M24)</f>
        <v>Indicative</v>
      </c>
      <c r="M90" s="59" t="str">
        <f aca="false">IF(D90="","",IF(AND(OR(Search!$C$6="All Categories",A90=Search!$C$6),OR(Search!$P$5="",ISNUMBER(SEARCH(" "&amp;Search!$P$5,N90))),OR(Search!$P$6="",ISNUMBER(SEARCH(" "&amp;Search!$P$6,N90))),OR(Search!$P$7="",ISNUMBER(SEARCH(" "&amp;Search!$P$7,N90))),OR(Search!$P$8="",ISNUMBER(SEARCH(" "&amp;Search!$P$8,N90))),OR(Search!$P$9="",ISNUMBER(SEARCH(" "&amp;Search!$P$9,N90))),OR(Search!$P$10="",ISNUMBER(SEARCH(" "&amp;Search!$P$10,N90)))),ROW(),""))</f>
        <v/>
      </c>
      <c r="N90" s="0" t="str">
        <f aca="false">IF(D90="",""," "&amp;SUBSTITUTE(SUBSTITUTE(SUBSTITUTE(SUBSTITUTE(SUBSTITUTE(SUBSTITUTE(SUBSTITUTE(B90&amp;" "&amp;C90&amp;" "&amp;D90&amp;" "&amp;E90&amp;" "&amp;F90&amp;" "&amp;G90&amp;" "&amp;H90&amp;" "&amp;'02 Glass'!R24,"("," "),")"," "),"/"," "),"-"," "),","," "),";"," "),":"," ")&amp;" ")</f>
        <v> GL 020 Tempered Heat soak test  HST    extra Any thickness   Local processor m2 toughened stainless steel </v>
      </c>
    </row>
    <row r="91" customFormat="false" ht="22.35" hidden="false" customHeight="false" outlineLevel="0" collapsed="false">
      <c r="A91" s="56" t="str">
        <f aca="false">IF('02 Glass'!$C$25="","","Glass - Float, Tempered, Laminated &amp; DGU")</f>
        <v>Glass - Float, Tempered, Laminated &amp; DGU</v>
      </c>
      <c r="B91" s="57" t="str">
        <f aca="false">IF('02 Glass'!$C$25="","",'02 Glass'!A25)</f>
        <v>GL-021</v>
      </c>
      <c r="C91" s="56" t="str">
        <f aca="false">IF('02 Glass'!$C$25="","",'02 Glass'!B25)</f>
        <v>Tempered</v>
      </c>
      <c r="D91" s="56" t="str">
        <f aca="false">IF('02 Glass'!$C$25="","",'02 Glass'!C25)</f>
        <v>Heat-strengthened glass - extra over tempered</v>
      </c>
      <c r="E91" s="56" t="str">
        <f aca="false">IF('02 Glass'!$C$25="","",'02 Glass'!D25)</f>
        <v>Any thickness</v>
      </c>
      <c r="F91" s="56" t="str">
        <f aca="false">IF('02 Glass'!$C$25="","",'02 Glass'!E25)</f>
        <v>-</v>
      </c>
      <c r="G91" s="56" t="str">
        <f aca="false">IF('02 Glass'!$C$25="","",'02 Glass'!F25)</f>
        <v>Local processor</v>
      </c>
      <c r="H91" s="57" t="str">
        <f aca="false">IF('02 Glass'!$C$25="","",'02 Glass'!G25)</f>
        <v>m2</v>
      </c>
      <c r="I91" s="58" t="n">
        <f aca="false">IF('02 Glass'!$C$25="","",'02 Glass'!J25)</f>
        <v>15.75</v>
      </c>
      <c r="J91" s="58" t="n">
        <f aca="false">IF('02 Glass'!$C$25="","",'02 Glass'!K25)</f>
        <v>18.9</v>
      </c>
      <c r="K91" s="58" t="n">
        <f aca="false">IF('02 Glass'!$C$25="","",'02 Glass'!L25)</f>
        <v>19.85</v>
      </c>
      <c r="L91" s="57" t="str">
        <f aca="false">IF('02 Glass'!$C$25="","",'02 Glass'!M25)</f>
        <v>Indicative</v>
      </c>
      <c r="M91" s="59" t="str">
        <f aca="false">IF(D91="","",IF(AND(OR(Search!$C$6="All Categories",A91=Search!$C$6),OR(Search!$P$5="",ISNUMBER(SEARCH(" "&amp;Search!$P$5,N91))),OR(Search!$P$6="",ISNUMBER(SEARCH(" "&amp;Search!$P$6,N91))),OR(Search!$P$7="",ISNUMBER(SEARCH(" "&amp;Search!$P$7,N91))),OR(Search!$P$8="",ISNUMBER(SEARCH(" "&amp;Search!$P$8,N91))),OR(Search!$P$9="",ISNUMBER(SEARCH(" "&amp;Search!$P$9,N91))),OR(Search!$P$10="",ISNUMBER(SEARCH(" "&amp;Search!$P$10,N91)))),ROW(),""))</f>
        <v/>
      </c>
      <c r="N91" s="0" t="str">
        <f aca="false">IF(D91="",""," "&amp;SUBSTITUTE(SUBSTITUTE(SUBSTITUTE(SUBSTITUTE(SUBSTITUTE(SUBSTITUTE(SUBSTITUTE(B91&amp;" "&amp;C91&amp;" "&amp;D91&amp;" "&amp;E91&amp;" "&amp;F91&amp;" "&amp;G91&amp;" "&amp;H91&amp;" "&amp;'02 Glass'!R25,"("," "),")"," "),"/"," "),"-"," "),","," "),";"," "),":"," ")&amp;" ")</f>
        <v> GL 021 Tempered Heat strengthened glass   extra over tempered Any thickness   Local processor m2 toughened stainless steel </v>
      </c>
    </row>
    <row r="92" customFormat="false" ht="22.35" hidden="false" customHeight="false" outlineLevel="0" collapsed="false">
      <c r="A92" s="56" t="str">
        <f aca="false">IF('02 Glass'!$C$26="","","Glass - Float, Tempered, Laminated &amp; DGU")</f>
        <v>Glass - Float, Tempered, Laminated &amp; DGU</v>
      </c>
      <c r="B92" s="57" t="str">
        <f aca="false">IF('02 Glass'!$C$26="","",'02 Glass'!A26)</f>
        <v>GL-022</v>
      </c>
      <c r="C92" s="56" t="str">
        <f aca="false">IF('02 Glass'!$C$26="","",'02 Glass'!B26)</f>
        <v>Laminated</v>
      </c>
      <c r="D92" s="56" t="str">
        <f aca="false">IF('02 Glass'!$C$26="","",'02 Glass'!C26)</f>
        <v>Clear laminated glass</v>
      </c>
      <c r="E92" s="56" t="str">
        <f aca="false">IF('02 Glass'!$C$26="","",'02 Glass'!D26)</f>
        <v>6.38 mm (3+0.38 PVB+3)</v>
      </c>
      <c r="F92" s="56" t="str">
        <f aca="false">IF('02 Glass'!$C$26="","",'02 Glass'!E26)</f>
        <v>Clear</v>
      </c>
      <c r="G92" s="56" t="str">
        <f aca="false">IF('02 Glass'!$C$26="","",'02 Glass'!F26)</f>
        <v>Local processor</v>
      </c>
      <c r="H92" s="57" t="str">
        <f aca="false">IF('02 Glass'!$C$26="","",'02 Glass'!G26)</f>
        <v>m2</v>
      </c>
      <c r="I92" s="58" t="n">
        <f aca="false">IF('02 Glass'!$C$26="","",'02 Glass'!J26)</f>
        <v>99.75</v>
      </c>
      <c r="J92" s="58" t="n">
        <f aca="false">IF('02 Glass'!$C$26="","",'02 Glass'!K26)</f>
        <v>119.7</v>
      </c>
      <c r="K92" s="58" t="n">
        <f aca="false">IF('02 Glass'!$C$26="","",'02 Glass'!L26)</f>
        <v>125.69</v>
      </c>
      <c r="L92" s="57" t="str">
        <f aca="false">IF('02 Glass'!$C$26="","",'02 Glass'!M26)</f>
        <v>Indicative</v>
      </c>
      <c r="M92" s="59" t="str">
        <f aca="false">IF(D92="","",IF(AND(OR(Search!$C$6="All Categories",A92=Search!$C$6),OR(Search!$P$5="",ISNUMBER(SEARCH(" "&amp;Search!$P$5,N92))),OR(Search!$P$6="",ISNUMBER(SEARCH(" "&amp;Search!$P$6,N92))),OR(Search!$P$7="",ISNUMBER(SEARCH(" "&amp;Search!$P$7,N92))),OR(Search!$P$8="",ISNUMBER(SEARCH(" "&amp;Search!$P$8,N92))),OR(Search!$P$9="",ISNUMBER(SEARCH(" "&amp;Search!$P$9,N92))),OR(Search!$P$10="",ISNUMBER(SEARCH(" "&amp;Search!$P$10,N92)))),ROW(),""))</f>
        <v/>
      </c>
      <c r="N92" s="0" t="str">
        <f aca="false">IF(D92="",""," "&amp;SUBSTITUTE(SUBSTITUTE(SUBSTITUTE(SUBSTITUTE(SUBSTITUTE(SUBSTITUTE(SUBSTITUTE(B92&amp;" "&amp;C92&amp;" "&amp;D92&amp;" "&amp;E92&amp;" "&amp;F92&amp;" "&amp;G92&amp;" "&amp;H92&amp;" "&amp;'02 Glass'!R26,"("," "),")"," "),"/"," "),"-"," "),","," "),";"," "),":"," ")&amp;" ")</f>
        <v> GL 022 Laminated Clear laminated glass 6.38 mm  3+0.38 PVB+3  Clear Local processor m2 6.38mm 3+0.38 lami stainless steel </v>
      </c>
    </row>
    <row r="93" customFormat="false" ht="22.35" hidden="false" customHeight="false" outlineLevel="0" collapsed="false">
      <c r="A93" s="56" t="str">
        <f aca="false">IF('02 Glass'!$C$27="","","Glass - Float, Tempered, Laminated &amp; DGU")</f>
        <v>Glass - Float, Tempered, Laminated &amp; DGU</v>
      </c>
      <c r="B93" s="57" t="str">
        <f aca="false">IF('02 Glass'!$C$27="","",'02 Glass'!A27)</f>
        <v>GL-023</v>
      </c>
      <c r="C93" s="56" t="str">
        <f aca="false">IF('02 Glass'!$C$27="","",'02 Glass'!B27)</f>
        <v>Laminated</v>
      </c>
      <c r="D93" s="56" t="str">
        <f aca="false">IF('02 Glass'!$C$27="","",'02 Glass'!C27)</f>
        <v>Clear laminated glass</v>
      </c>
      <c r="E93" s="56" t="str">
        <f aca="false">IF('02 Glass'!$C$27="","",'02 Glass'!D27)</f>
        <v>8.76 mm (4+0.76+4)</v>
      </c>
      <c r="F93" s="56" t="str">
        <f aca="false">IF('02 Glass'!$C$27="","",'02 Glass'!E27)</f>
        <v>Clear</v>
      </c>
      <c r="G93" s="56" t="str">
        <f aca="false">IF('02 Glass'!$C$27="","",'02 Glass'!F27)</f>
        <v>Local processor</v>
      </c>
      <c r="H93" s="57" t="str">
        <f aca="false">IF('02 Glass'!$C$27="","",'02 Glass'!G27)</f>
        <v>m2</v>
      </c>
      <c r="I93" s="58" t="n">
        <f aca="false">IF('02 Glass'!$C$27="","",'02 Glass'!J27)</f>
        <v>131.25</v>
      </c>
      <c r="J93" s="58" t="n">
        <f aca="false">IF('02 Glass'!$C$27="","",'02 Glass'!K27)</f>
        <v>157.5</v>
      </c>
      <c r="K93" s="58" t="n">
        <f aca="false">IF('02 Glass'!$C$27="","",'02 Glass'!L27)</f>
        <v>165.38</v>
      </c>
      <c r="L93" s="57" t="str">
        <f aca="false">IF('02 Glass'!$C$27="","",'02 Glass'!M27)</f>
        <v>Indicative</v>
      </c>
      <c r="M93" s="59" t="str">
        <f aca="false">IF(D93="","",IF(AND(OR(Search!$C$6="All Categories",A93=Search!$C$6),OR(Search!$P$5="",ISNUMBER(SEARCH(" "&amp;Search!$P$5,N93))),OR(Search!$P$6="",ISNUMBER(SEARCH(" "&amp;Search!$P$6,N93))),OR(Search!$P$7="",ISNUMBER(SEARCH(" "&amp;Search!$P$7,N93))),OR(Search!$P$8="",ISNUMBER(SEARCH(" "&amp;Search!$P$8,N93))),OR(Search!$P$9="",ISNUMBER(SEARCH(" "&amp;Search!$P$9,N93))),OR(Search!$P$10="",ISNUMBER(SEARCH(" "&amp;Search!$P$10,N93)))),ROW(),""))</f>
        <v/>
      </c>
      <c r="N93" s="0" t="str">
        <f aca="false">IF(D93="",""," "&amp;SUBSTITUTE(SUBSTITUTE(SUBSTITUTE(SUBSTITUTE(SUBSTITUTE(SUBSTITUTE(SUBSTITUTE(B93&amp;" "&amp;C93&amp;" "&amp;D93&amp;" "&amp;E93&amp;" "&amp;F93&amp;" "&amp;G93&amp;" "&amp;H93&amp;" "&amp;'02 Glass'!R27,"("," "),")"," "),"/"," "),"-"," "),","," "),";"," "),":"," ")&amp;" ")</f>
        <v> GL 023 Laminated Clear laminated glass 8.76 mm  4+0.76+4  Clear Local processor m2 8.76mm 4+0.76+4 lami stainless steel </v>
      </c>
    </row>
    <row r="94" customFormat="false" ht="22.35" hidden="false" customHeight="false" outlineLevel="0" collapsed="false">
      <c r="A94" s="56" t="str">
        <f aca="false">IF('02 Glass'!$C$28="","","Glass - Float, Tempered, Laminated &amp; DGU")</f>
        <v>Glass - Float, Tempered, Laminated &amp; DGU</v>
      </c>
      <c r="B94" s="57" t="str">
        <f aca="false">IF('02 Glass'!$C$28="","",'02 Glass'!A28)</f>
        <v>GL-024</v>
      </c>
      <c r="C94" s="56" t="str">
        <f aca="false">IF('02 Glass'!$C$28="","",'02 Glass'!B28)</f>
        <v>Laminated</v>
      </c>
      <c r="D94" s="56" t="str">
        <f aca="false">IF('02 Glass'!$C$28="","",'02 Glass'!C28)</f>
        <v>Clear laminated glass</v>
      </c>
      <c r="E94" s="56" t="str">
        <f aca="false">IF('02 Glass'!$C$28="","",'02 Glass'!D28)</f>
        <v>10.76 mm (5+0.76+5)</v>
      </c>
      <c r="F94" s="56" t="str">
        <f aca="false">IF('02 Glass'!$C$28="","",'02 Glass'!E28)</f>
        <v>Clear</v>
      </c>
      <c r="G94" s="56" t="str">
        <f aca="false">IF('02 Glass'!$C$28="","",'02 Glass'!F28)</f>
        <v>Local processor</v>
      </c>
      <c r="H94" s="57" t="str">
        <f aca="false">IF('02 Glass'!$C$28="","",'02 Glass'!G28)</f>
        <v>m2</v>
      </c>
      <c r="I94" s="58" t="n">
        <f aca="false">IF('02 Glass'!$C$28="","",'02 Glass'!J28)</f>
        <v>157.5</v>
      </c>
      <c r="J94" s="58" t="n">
        <f aca="false">IF('02 Glass'!$C$28="","",'02 Glass'!K28)</f>
        <v>189</v>
      </c>
      <c r="K94" s="58" t="n">
        <f aca="false">IF('02 Glass'!$C$28="","",'02 Glass'!L28)</f>
        <v>198.45</v>
      </c>
      <c r="L94" s="57" t="str">
        <f aca="false">IF('02 Glass'!$C$28="","",'02 Glass'!M28)</f>
        <v>Indicative</v>
      </c>
      <c r="M94" s="59" t="str">
        <f aca="false">IF(D94="","",IF(AND(OR(Search!$C$6="All Categories",A94=Search!$C$6),OR(Search!$P$5="",ISNUMBER(SEARCH(" "&amp;Search!$P$5,N94))),OR(Search!$P$6="",ISNUMBER(SEARCH(" "&amp;Search!$P$6,N94))),OR(Search!$P$7="",ISNUMBER(SEARCH(" "&amp;Search!$P$7,N94))),OR(Search!$P$8="",ISNUMBER(SEARCH(" "&amp;Search!$P$8,N94))),OR(Search!$P$9="",ISNUMBER(SEARCH(" "&amp;Search!$P$9,N94))),OR(Search!$P$10="",ISNUMBER(SEARCH(" "&amp;Search!$P$10,N94)))),ROW(),""))</f>
        <v/>
      </c>
      <c r="N94" s="0" t="str">
        <f aca="false">IF(D94="",""," "&amp;SUBSTITUTE(SUBSTITUTE(SUBSTITUTE(SUBSTITUTE(SUBSTITUTE(SUBSTITUTE(SUBSTITUTE(B94&amp;" "&amp;C94&amp;" "&amp;D94&amp;" "&amp;E94&amp;" "&amp;F94&amp;" "&amp;G94&amp;" "&amp;H94&amp;" "&amp;'02 Glass'!R28,"("," "),")"," "),"/"," "),"-"," "),","," "),";"," "),":"," ")&amp;" ")</f>
        <v> GL 024 Laminated Clear laminated glass 10.76 mm  5+0.76+5  Clear Local processor m2 10.76mm 5+0.76+5 lami stainless steel </v>
      </c>
    </row>
    <row r="95" customFormat="false" ht="22.35" hidden="false" customHeight="false" outlineLevel="0" collapsed="false">
      <c r="A95" s="56" t="str">
        <f aca="false">IF('02 Glass'!$C$29="","","Glass - Float, Tempered, Laminated &amp; DGU")</f>
        <v>Glass - Float, Tempered, Laminated &amp; DGU</v>
      </c>
      <c r="B95" s="57" t="str">
        <f aca="false">IF('02 Glass'!$C$29="","",'02 Glass'!A29)</f>
        <v>GL-025</v>
      </c>
      <c r="C95" s="56" t="str">
        <f aca="false">IF('02 Glass'!$C$29="","",'02 Glass'!B29)</f>
        <v>Laminated</v>
      </c>
      <c r="D95" s="56" t="str">
        <f aca="false">IF('02 Glass'!$C$29="","",'02 Glass'!C29)</f>
        <v>Clear laminated glass</v>
      </c>
      <c r="E95" s="56" t="str">
        <f aca="false">IF('02 Glass'!$C$29="","",'02 Glass'!D29)</f>
        <v>12.76 mm (6+0.76+6)</v>
      </c>
      <c r="F95" s="56" t="str">
        <f aca="false">IF('02 Glass'!$C$29="","",'02 Glass'!E29)</f>
        <v>Clear</v>
      </c>
      <c r="G95" s="56" t="str">
        <f aca="false">IF('02 Glass'!$C$29="","",'02 Glass'!F29)</f>
        <v>Local processor</v>
      </c>
      <c r="H95" s="57" t="str">
        <f aca="false">IF('02 Glass'!$C$29="","",'02 Glass'!G29)</f>
        <v>m2</v>
      </c>
      <c r="I95" s="58" t="n">
        <f aca="false">IF('02 Glass'!$C$29="","",'02 Glass'!J29)</f>
        <v>183.75</v>
      </c>
      <c r="J95" s="58" t="n">
        <f aca="false">IF('02 Glass'!$C$29="","",'02 Glass'!K29)</f>
        <v>220.5</v>
      </c>
      <c r="K95" s="58" t="n">
        <f aca="false">IF('02 Glass'!$C$29="","",'02 Glass'!L29)</f>
        <v>231.53</v>
      </c>
      <c r="L95" s="57" t="str">
        <f aca="false">IF('02 Glass'!$C$29="","",'02 Glass'!M29)</f>
        <v>Indicative</v>
      </c>
      <c r="M95" s="59" t="str">
        <f aca="false">IF(D95="","",IF(AND(OR(Search!$C$6="All Categories",A95=Search!$C$6),OR(Search!$P$5="",ISNUMBER(SEARCH(" "&amp;Search!$P$5,N95))),OR(Search!$P$6="",ISNUMBER(SEARCH(" "&amp;Search!$P$6,N95))),OR(Search!$P$7="",ISNUMBER(SEARCH(" "&amp;Search!$P$7,N95))),OR(Search!$P$8="",ISNUMBER(SEARCH(" "&amp;Search!$P$8,N95))),OR(Search!$P$9="",ISNUMBER(SEARCH(" "&amp;Search!$P$9,N95))),OR(Search!$P$10="",ISNUMBER(SEARCH(" "&amp;Search!$P$10,N95)))),ROW(),""))</f>
        <v/>
      </c>
      <c r="N95" s="0" t="str">
        <f aca="false">IF(D95="",""," "&amp;SUBSTITUTE(SUBSTITUTE(SUBSTITUTE(SUBSTITUTE(SUBSTITUTE(SUBSTITUTE(SUBSTITUTE(B95&amp;" "&amp;C95&amp;" "&amp;D95&amp;" "&amp;E95&amp;" "&amp;F95&amp;" "&amp;G95&amp;" "&amp;H95&amp;" "&amp;'02 Glass'!R29,"("," "),")"," "),"/"," "),"-"," "),","," "),";"," "),":"," ")&amp;" ")</f>
        <v> GL 025 Laminated Clear laminated glass 12.76 mm  6+0.76+6  Clear Local processor m2 12.76mm 6+0.76+6 lami stainless steel </v>
      </c>
    </row>
    <row r="96" customFormat="false" ht="22.35" hidden="false" customHeight="false" outlineLevel="0" collapsed="false">
      <c r="A96" s="56" t="str">
        <f aca="false">IF('02 Glass'!$C$30="","","Glass - Float, Tempered, Laminated &amp; DGU")</f>
        <v>Glass - Float, Tempered, Laminated &amp; DGU</v>
      </c>
      <c r="B96" s="57" t="str">
        <f aca="false">IF('02 Glass'!$C$30="","",'02 Glass'!A30)</f>
        <v>GL-026</v>
      </c>
      <c r="C96" s="56" t="str">
        <f aca="false">IF('02 Glass'!$C$30="","",'02 Glass'!B30)</f>
        <v>Laminated</v>
      </c>
      <c r="D96" s="56" t="str">
        <f aca="false">IF('02 Glass'!$C$30="","",'02 Glass'!C30)</f>
        <v>Tempered laminated glass</v>
      </c>
      <c r="E96" s="56" t="str">
        <f aca="false">IF('02 Glass'!$C$30="","",'02 Glass'!D30)</f>
        <v>12.76 mm (6T+0.76 PVB+6T)</v>
      </c>
      <c r="F96" s="56" t="str">
        <f aca="false">IF('02 Glass'!$C$30="","",'02 Glass'!E30)</f>
        <v>Clear</v>
      </c>
      <c r="G96" s="56" t="str">
        <f aca="false">IF('02 Glass'!$C$30="","",'02 Glass'!F30)</f>
        <v>Local processor</v>
      </c>
      <c r="H96" s="57" t="str">
        <f aca="false">IF('02 Glass'!$C$30="","",'02 Glass'!G30)</f>
        <v>m2</v>
      </c>
      <c r="I96" s="58" t="n">
        <f aca="false">IF('02 Glass'!$C$30="","",'02 Glass'!J30)</f>
        <v>273</v>
      </c>
      <c r="J96" s="58" t="n">
        <f aca="false">IF('02 Glass'!$C$30="","",'02 Glass'!K30)</f>
        <v>327.6</v>
      </c>
      <c r="K96" s="58" t="n">
        <f aca="false">IF('02 Glass'!$C$30="","",'02 Glass'!L30)</f>
        <v>343.98</v>
      </c>
      <c r="L96" s="57" t="str">
        <f aca="false">IF('02 Glass'!$C$30="","",'02 Glass'!M30)</f>
        <v>Indicative</v>
      </c>
      <c r="M96" s="59" t="str">
        <f aca="false">IF(D96="","",IF(AND(OR(Search!$C$6="All Categories",A96=Search!$C$6),OR(Search!$P$5="",ISNUMBER(SEARCH(" "&amp;Search!$P$5,N96))),OR(Search!$P$6="",ISNUMBER(SEARCH(" "&amp;Search!$P$6,N96))),OR(Search!$P$7="",ISNUMBER(SEARCH(" "&amp;Search!$P$7,N96))),OR(Search!$P$8="",ISNUMBER(SEARCH(" "&amp;Search!$P$8,N96))),OR(Search!$P$9="",ISNUMBER(SEARCH(" "&amp;Search!$P$9,N96))),OR(Search!$P$10="",ISNUMBER(SEARCH(" "&amp;Search!$P$10,N96)))),ROW(),""))</f>
        <v/>
      </c>
      <c r="N96" s="0" t="str">
        <f aca="false">IF(D96="",""," "&amp;SUBSTITUTE(SUBSTITUTE(SUBSTITUTE(SUBSTITUTE(SUBSTITUTE(SUBSTITUTE(SUBSTITUTE(B96&amp;" "&amp;C96&amp;" "&amp;D96&amp;" "&amp;E96&amp;" "&amp;F96&amp;" "&amp;G96&amp;" "&amp;H96&amp;" "&amp;'02 Glass'!R30,"("," "),")"," "),"/"," "),"-"," "),","," "),";"," "),":"," ")&amp;" ")</f>
        <v> GL 026 Laminated Tempered laminated glass 12.76 mm  6T+0.76 PVB+6T  Clear Local processor m2 12.76mm toughened lami stainless steel </v>
      </c>
    </row>
    <row r="97" customFormat="false" ht="22.35" hidden="false" customHeight="false" outlineLevel="0" collapsed="false">
      <c r="A97" s="56" t="str">
        <f aca="false">IF('02 Glass'!$C$31="","","Glass - Float, Tempered, Laminated &amp; DGU")</f>
        <v>Glass - Float, Tempered, Laminated &amp; DGU</v>
      </c>
      <c r="B97" s="57" t="str">
        <f aca="false">IF('02 Glass'!$C$31="","",'02 Glass'!A31)</f>
        <v>GL-027</v>
      </c>
      <c r="C97" s="56" t="str">
        <f aca="false">IF('02 Glass'!$C$31="","",'02 Glass'!B31)</f>
        <v>Laminated</v>
      </c>
      <c r="D97" s="56" t="str">
        <f aca="false">IF('02 Glass'!$C$31="","",'02 Glass'!C31)</f>
        <v>Tempered laminated glass</v>
      </c>
      <c r="E97" s="56" t="str">
        <f aca="false">IF('02 Glass'!$C$31="","",'02 Glass'!D31)</f>
        <v>17.52 mm (8T+1.52 PVB+8T)</v>
      </c>
      <c r="F97" s="56" t="str">
        <f aca="false">IF('02 Glass'!$C$31="","",'02 Glass'!E31)</f>
        <v>Clear</v>
      </c>
      <c r="G97" s="56" t="str">
        <f aca="false">IF('02 Glass'!$C$31="","",'02 Glass'!F31)</f>
        <v>Local processor</v>
      </c>
      <c r="H97" s="57" t="str">
        <f aca="false">IF('02 Glass'!$C$31="","",'02 Glass'!G31)</f>
        <v>m2</v>
      </c>
      <c r="I97" s="58" t="n">
        <f aca="false">IF('02 Glass'!$C$31="","",'02 Glass'!J31)</f>
        <v>378</v>
      </c>
      <c r="J97" s="58" t="n">
        <f aca="false">IF('02 Glass'!$C$31="","",'02 Glass'!K31)</f>
        <v>453.6</v>
      </c>
      <c r="K97" s="58" t="n">
        <f aca="false">IF('02 Glass'!$C$31="","",'02 Glass'!L31)</f>
        <v>476.28</v>
      </c>
      <c r="L97" s="57" t="str">
        <f aca="false">IF('02 Glass'!$C$31="","",'02 Glass'!M31)</f>
        <v>Indicative</v>
      </c>
      <c r="M97" s="59" t="str">
        <f aca="false">IF(D97="","",IF(AND(OR(Search!$C$6="All Categories",A97=Search!$C$6),OR(Search!$P$5="",ISNUMBER(SEARCH(" "&amp;Search!$P$5,N97))),OR(Search!$P$6="",ISNUMBER(SEARCH(" "&amp;Search!$P$6,N97))),OR(Search!$P$7="",ISNUMBER(SEARCH(" "&amp;Search!$P$7,N97))),OR(Search!$P$8="",ISNUMBER(SEARCH(" "&amp;Search!$P$8,N97))),OR(Search!$P$9="",ISNUMBER(SEARCH(" "&amp;Search!$P$9,N97))),OR(Search!$P$10="",ISNUMBER(SEARCH(" "&amp;Search!$P$10,N97)))),ROW(),""))</f>
        <v/>
      </c>
      <c r="N97" s="0" t="str">
        <f aca="false">IF(D97="",""," "&amp;SUBSTITUTE(SUBSTITUTE(SUBSTITUTE(SUBSTITUTE(SUBSTITUTE(SUBSTITUTE(SUBSTITUTE(B97&amp;" "&amp;C97&amp;" "&amp;D97&amp;" "&amp;E97&amp;" "&amp;F97&amp;" "&amp;G97&amp;" "&amp;H97&amp;" "&amp;'02 Glass'!R31,"("," "),")"," "),"/"," "),"-"," "),","," "),";"," "),":"," ")&amp;" ")</f>
        <v> GL 027 Laminated Tempered laminated glass 17.52 mm  8T+1.52 PVB+8T  Clear Local processor m2 17.52mm toughened lami stainless steel </v>
      </c>
    </row>
    <row r="98" customFormat="false" ht="22.35" hidden="false" customHeight="false" outlineLevel="0" collapsed="false">
      <c r="A98" s="56" t="str">
        <f aca="false">IF('02 Glass'!$C$32="","","Glass - Float, Tempered, Laminated &amp; DGU")</f>
        <v>Glass - Float, Tempered, Laminated &amp; DGU</v>
      </c>
      <c r="B98" s="57" t="str">
        <f aca="false">IF('02 Glass'!$C$32="","",'02 Glass'!A32)</f>
        <v>GL-028</v>
      </c>
      <c r="C98" s="56" t="str">
        <f aca="false">IF('02 Glass'!$C$32="","",'02 Glass'!B32)</f>
        <v>Laminated</v>
      </c>
      <c r="D98" s="56" t="str">
        <f aca="false">IF('02 Glass'!$C$32="","",'02 Glass'!C32)</f>
        <v>Tempered laminated glass</v>
      </c>
      <c r="E98" s="56" t="str">
        <f aca="false">IF('02 Glass'!$C$32="","",'02 Glass'!D32)</f>
        <v>21.52 mm (10T+1.52 PVB+10T)</v>
      </c>
      <c r="F98" s="56" t="str">
        <f aca="false">IF('02 Glass'!$C$32="","",'02 Glass'!E32)</f>
        <v>Clear</v>
      </c>
      <c r="G98" s="56" t="str">
        <f aca="false">IF('02 Glass'!$C$32="","",'02 Glass'!F32)</f>
        <v>Local processor</v>
      </c>
      <c r="H98" s="57" t="str">
        <f aca="false">IF('02 Glass'!$C$32="","",'02 Glass'!G32)</f>
        <v>m2</v>
      </c>
      <c r="I98" s="58" t="n">
        <f aca="false">IF('02 Glass'!$C$32="","",'02 Glass'!J32)</f>
        <v>472.5</v>
      </c>
      <c r="J98" s="58" t="n">
        <f aca="false">IF('02 Glass'!$C$32="","",'02 Glass'!K32)</f>
        <v>567</v>
      </c>
      <c r="K98" s="58" t="n">
        <f aca="false">IF('02 Glass'!$C$32="","",'02 Glass'!L32)</f>
        <v>595.35</v>
      </c>
      <c r="L98" s="57" t="str">
        <f aca="false">IF('02 Glass'!$C$32="","",'02 Glass'!M32)</f>
        <v>Indicative</v>
      </c>
      <c r="M98" s="59" t="str">
        <f aca="false">IF(D98="","",IF(AND(OR(Search!$C$6="All Categories",A98=Search!$C$6),OR(Search!$P$5="",ISNUMBER(SEARCH(" "&amp;Search!$P$5,N98))),OR(Search!$P$6="",ISNUMBER(SEARCH(" "&amp;Search!$P$6,N98))),OR(Search!$P$7="",ISNUMBER(SEARCH(" "&amp;Search!$P$7,N98))),OR(Search!$P$8="",ISNUMBER(SEARCH(" "&amp;Search!$P$8,N98))),OR(Search!$P$9="",ISNUMBER(SEARCH(" "&amp;Search!$P$9,N98))),OR(Search!$P$10="",ISNUMBER(SEARCH(" "&amp;Search!$P$10,N98)))),ROW(),""))</f>
        <v/>
      </c>
      <c r="N98" s="0" t="str">
        <f aca="false">IF(D98="",""," "&amp;SUBSTITUTE(SUBSTITUTE(SUBSTITUTE(SUBSTITUTE(SUBSTITUTE(SUBSTITUTE(SUBSTITUTE(B98&amp;" "&amp;C98&amp;" "&amp;D98&amp;" "&amp;E98&amp;" "&amp;F98&amp;" "&amp;G98&amp;" "&amp;H98&amp;" "&amp;'02 Glass'!R32,"("," "),")"," "),"/"," "),"-"," "),","," "),";"," "),":"," ")&amp;" ")</f>
        <v> GL 028 Laminated Tempered laminated glass 21.52 mm  10T+1.52 PVB+10T  Clear Local processor m2 21.52mm toughened lami stainless steel </v>
      </c>
    </row>
    <row r="99" customFormat="false" ht="22.35" hidden="false" customHeight="false" outlineLevel="0" collapsed="false">
      <c r="A99" s="56" t="str">
        <f aca="false">IF('02 Glass'!$C$33="","","Glass - Float, Tempered, Laminated &amp; DGU")</f>
        <v>Glass - Float, Tempered, Laminated &amp; DGU</v>
      </c>
      <c r="B99" s="57" t="str">
        <f aca="false">IF('02 Glass'!$C$33="","",'02 Glass'!A33)</f>
        <v>GL-029</v>
      </c>
      <c r="C99" s="56" t="str">
        <f aca="false">IF('02 Glass'!$C$33="","",'02 Glass'!B33)</f>
        <v>Laminated</v>
      </c>
      <c r="D99" s="56" t="str">
        <f aca="false">IF('02 Glass'!$C$33="","",'02 Glass'!C33)</f>
        <v>Tempered laminated glass - SGP interlayer</v>
      </c>
      <c r="E99" s="56" t="str">
        <f aca="false">IF('02 Glass'!$C$33="","",'02 Glass'!D33)</f>
        <v>21.52 mm (10T+1.52 SGP+10T)</v>
      </c>
      <c r="F99" s="56" t="str">
        <f aca="false">IF('02 Glass'!$C$33="","",'02 Glass'!E33)</f>
        <v>Clear</v>
      </c>
      <c r="G99" s="56" t="str">
        <f aca="false">IF('02 Glass'!$C$33="","",'02 Glass'!F33)</f>
        <v>Local processor</v>
      </c>
      <c r="H99" s="57" t="str">
        <f aca="false">IF('02 Glass'!$C$33="","",'02 Glass'!G33)</f>
        <v>m2</v>
      </c>
      <c r="I99" s="58" t="n">
        <f aca="false">IF('02 Glass'!$C$33="","",'02 Glass'!J33)</f>
        <v>682.5</v>
      </c>
      <c r="J99" s="58" t="n">
        <f aca="false">IF('02 Glass'!$C$33="","",'02 Glass'!K33)</f>
        <v>819</v>
      </c>
      <c r="K99" s="58" t="n">
        <f aca="false">IF('02 Glass'!$C$33="","",'02 Glass'!L33)</f>
        <v>859.95</v>
      </c>
      <c r="L99" s="57" t="str">
        <f aca="false">IF('02 Glass'!$C$33="","",'02 Glass'!M33)</f>
        <v>Indicative</v>
      </c>
      <c r="M99" s="59" t="str">
        <f aca="false">IF(D99="","",IF(AND(OR(Search!$C$6="All Categories",A99=Search!$C$6),OR(Search!$P$5="",ISNUMBER(SEARCH(" "&amp;Search!$P$5,N99))),OR(Search!$P$6="",ISNUMBER(SEARCH(" "&amp;Search!$P$6,N99))),OR(Search!$P$7="",ISNUMBER(SEARCH(" "&amp;Search!$P$7,N99))),OR(Search!$P$8="",ISNUMBER(SEARCH(" "&amp;Search!$P$8,N99))),OR(Search!$P$9="",ISNUMBER(SEARCH(" "&amp;Search!$P$9,N99))),OR(Search!$P$10="",ISNUMBER(SEARCH(" "&amp;Search!$P$10,N99)))),ROW(),""))</f>
        <v/>
      </c>
      <c r="N99" s="0" t="str">
        <f aca="false">IF(D99="",""," "&amp;SUBSTITUTE(SUBSTITUTE(SUBSTITUTE(SUBSTITUTE(SUBSTITUTE(SUBSTITUTE(SUBSTITUTE(B99&amp;" "&amp;C99&amp;" "&amp;D99&amp;" "&amp;E99&amp;" "&amp;F99&amp;" "&amp;G99&amp;" "&amp;H99&amp;" "&amp;'02 Glass'!R33,"("," "),")"," "),"/"," "),"-"," "),","," "),";"," "),":"," ")&amp;" ")</f>
        <v> GL 029 Laminated Tempered laminated glass   SGP interlayer 21.52 mm  10T+1.52 SGP+10T  Clear Local processor m2 21.52mm toughened lami stainless steel </v>
      </c>
    </row>
    <row r="100" customFormat="false" ht="22.35" hidden="false" customHeight="false" outlineLevel="0" collapsed="false">
      <c r="A100" s="56" t="str">
        <f aca="false">IF('02 Glass'!$C$34="","","Glass - Float, Tempered, Laminated &amp; DGU")</f>
        <v>Glass - Float, Tempered, Laminated &amp; DGU</v>
      </c>
      <c r="B100" s="57" t="str">
        <f aca="false">IF('02 Glass'!$C$34="","",'02 Glass'!A34)</f>
        <v>GL-030</v>
      </c>
      <c r="C100" s="56" t="str">
        <f aca="false">IF('02 Glass'!$C$34="","",'02 Glass'!B34)</f>
        <v>Laminated</v>
      </c>
      <c r="D100" s="56" t="str">
        <f aca="false">IF('02 Glass'!$C$34="","",'02 Glass'!C34)</f>
        <v>Laminated glass - frosted / milky PVB</v>
      </c>
      <c r="E100" s="56" t="str">
        <f aca="false">IF('02 Glass'!$C$34="","",'02 Glass'!D34)</f>
        <v>10.76 mm</v>
      </c>
      <c r="F100" s="56" t="str">
        <f aca="false">IF('02 Glass'!$C$34="","",'02 Glass'!E34)</f>
        <v>Milky white</v>
      </c>
      <c r="G100" s="56" t="str">
        <f aca="false">IF('02 Glass'!$C$34="","",'02 Glass'!F34)</f>
        <v>Local processor</v>
      </c>
      <c r="H100" s="57" t="str">
        <f aca="false">IF('02 Glass'!$C$34="","",'02 Glass'!G34)</f>
        <v>m2</v>
      </c>
      <c r="I100" s="58" t="n">
        <f aca="false">IF('02 Glass'!$C$34="","",'02 Glass'!J34)</f>
        <v>183.75</v>
      </c>
      <c r="J100" s="58" t="n">
        <f aca="false">IF('02 Glass'!$C$34="","",'02 Glass'!K34)</f>
        <v>220.5</v>
      </c>
      <c r="K100" s="58" t="n">
        <f aca="false">IF('02 Glass'!$C$34="","",'02 Glass'!L34)</f>
        <v>231.53</v>
      </c>
      <c r="L100" s="57" t="str">
        <f aca="false">IF('02 Glass'!$C$34="","",'02 Glass'!M34)</f>
        <v>Indicative</v>
      </c>
      <c r="M100" s="59" t="str">
        <f aca="false">IF(D100="","",IF(AND(OR(Search!$C$6="All Categories",A100=Search!$C$6),OR(Search!$P$5="",ISNUMBER(SEARCH(" "&amp;Search!$P$5,N100))),OR(Search!$P$6="",ISNUMBER(SEARCH(" "&amp;Search!$P$6,N100))),OR(Search!$P$7="",ISNUMBER(SEARCH(" "&amp;Search!$P$7,N100))),OR(Search!$P$8="",ISNUMBER(SEARCH(" "&amp;Search!$P$8,N100))),OR(Search!$P$9="",ISNUMBER(SEARCH(" "&amp;Search!$P$9,N100))),OR(Search!$P$10="",ISNUMBER(SEARCH(" "&amp;Search!$P$10,N100)))),ROW(),""))</f>
        <v/>
      </c>
      <c r="N100" s="0" t="str">
        <f aca="false">IF(D100="",""," "&amp;SUBSTITUTE(SUBSTITUTE(SUBSTITUTE(SUBSTITUTE(SUBSTITUTE(SUBSTITUTE(SUBSTITUTE(B100&amp;" "&amp;C100&amp;" "&amp;D100&amp;" "&amp;E100&amp;" "&amp;F100&amp;" "&amp;G100&amp;" "&amp;H100&amp;" "&amp;'02 Glass'!R34,"("," "),")"," "),"/"," "),"-"," "),","," "),";"," "),":"," ")&amp;" ")</f>
        <v> GL 030 Laminated Laminated glass   frosted   milky PVB 10.76 mm Milky white Local processor m2 10.76mm lami sandblast stainless steel </v>
      </c>
    </row>
    <row r="101" customFormat="false" ht="22.35" hidden="false" customHeight="false" outlineLevel="0" collapsed="false">
      <c r="A101" s="56" t="str">
        <f aca="false">IF('02 Glass'!$C$35="","","Glass - Float, Tempered, Laminated &amp; DGU")</f>
        <v>Glass - Float, Tempered, Laminated &amp; DGU</v>
      </c>
      <c r="B101" s="57" t="str">
        <f aca="false">IF('02 Glass'!$C$35="","",'02 Glass'!A35)</f>
        <v>GL-031</v>
      </c>
      <c r="C101" s="56" t="str">
        <f aca="false">IF('02 Glass'!$C$35="","",'02 Glass'!B35)</f>
        <v>Insulated (DGU)</v>
      </c>
      <c r="D101" s="56" t="str">
        <f aca="false">IF('02 Glass'!$C$35="","",'02 Glass'!C35)</f>
        <v>Double glazed unit - clear</v>
      </c>
      <c r="E101" s="56" t="str">
        <f aca="false">IF('02 Glass'!$C$35="","",'02 Glass'!D35)</f>
        <v>6 + 12 air + 6 mm</v>
      </c>
      <c r="F101" s="56" t="str">
        <f aca="false">IF('02 Glass'!$C$35="","",'02 Glass'!E35)</f>
        <v>Clear</v>
      </c>
      <c r="G101" s="56" t="str">
        <f aca="false">IF('02 Glass'!$C$35="","",'02 Glass'!F35)</f>
        <v>Local processor</v>
      </c>
      <c r="H101" s="57" t="str">
        <f aca="false">IF('02 Glass'!$C$35="","",'02 Glass'!G35)</f>
        <v>m2</v>
      </c>
      <c r="I101" s="58" t="n">
        <f aca="false">IF('02 Glass'!$C$35="","",'02 Glass'!J35)</f>
        <v>189</v>
      </c>
      <c r="J101" s="58" t="n">
        <f aca="false">IF('02 Glass'!$C$35="","",'02 Glass'!K35)</f>
        <v>226.8</v>
      </c>
      <c r="K101" s="58" t="n">
        <f aca="false">IF('02 Glass'!$C$35="","",'02 Glass'!L35)</f>
        <v>238.14</v>
      </c>
      <c r="L101" s="57" t="str">
        <f aca="false">IF('02 Glass'!$C$35="","",'02 Glass'!M35)</f>
        <v>Indicative</v>
      </c>
      <c r="M101" s="59" t="str">
        <f aca="false">IF(D101="","",IF(AND(OR(Search!$C$6="All Categories",A101=Search!$C$6),OR(Search!$P$5="",ISNUMBER(SEARCH(" "&amp;Search!$P$5,N101))),OR(Search!$P$6="",ISNUMBER(SEARCH(" "&amp;Search!$P$6,N101))),OR(Search!$P$7="",ISNUMBER(SEARCH(" "&amp;Search!$P$7,N101))),OR(Search!$P$8="",ISNUMBER(SEARCH(" "&amp;Search!$P$8,N101))),OR(Search!$P$9="",ISNUMBER(SEARCH(" "&amp;Search!$P$9,N101))),OR(Search!$P$10="",ISNUMBER(SEARCH(" "&amp;Search!$P$10,N101)))),ROW(),""))</f>
        <v/>
      </c>
      <c r="N101" s="0" t="str">
        <f aca="false">IF(D101="",""," "&amp;SUBSTITUTE(SUBSTITUTE(SUBSTITUTE(SUBSTITUTE(SUBSTITUTE(SUBSTITUTE(SUBSTITUTE(B101&amp;" "&amp;C101&amp;" "&amp;D101&amp;" "&amp;E101&amp;" "&amp;F101&amp;" "&amp;G101&amp;" "&amp;H101&amp;" "&amp;'02 Glass'!R35,"("," "),")"," "),"/"," "),"-"," "),","," "),";"," "),":"," ")&amp;" ")</f>
        <v> GL 031 Insulated  DGU  Double glazed unit   clear 6 + 12 air + 6 mm Clear Local processor m2 6mm 6+12 dgu igu insulated </v>
      </c>
    </row>
    <row r="102" customFormat="false" ht="22.35" hidden="false" customHeight="false" outlineLevel="0" collapsed="false">
      <c r="A102" s="56" t="str">
        <f aca="false">IF('02 Glass'!$C$36="","","Glass - Float, Tempered, Laminated &amp; DGU")</f>
        <v>Glass - Float, Tempered, Laminated &amp; DGU</v>
      </c>
      <c r="B102" s="57" t="str">
        <f aca="false">IF('02 Glass'!$C$36="","",'02 Glass'!A36)</f>
        <v>GL-032</v>
      </c>
      <c r="C102" s="56" t="str">
        <f aca="false">IF('02 Glass'!$C$36="","",'02 Glass'!B36)</f>
        <v>Insulated (DGU)</v>
      </c>
      <c r="D102" s="56" t="str">
        <f aca="false">IF('02 Glass'!$C$36="","",'02 Glass'!C36)</f>
        <v>Double glazed unit - tinted</v>
      </c>
      <c r="E102" s="56" t="str">
        <f aca="false">IF('02 Glass'!$C$36="","",'02 Glass'!D36)</f>
        <v>6 tinted + 12 + 6 clear</v>
      </c>
      <c r="F102" s="56" t="str">
        <f aca="false">IF('02 Glass'!$C$36="","",'02 Glass'!E36)</f>
        <v>Tinted</v>
      </c>
      <c r="G102" s="56" t="str">
        <f aca="false">IF('02 Glass'!$C$36="","",'02 Glass'!F36)</f>
        <v>Local processor</v>
      </c>
      <c r="H102" s="57" t="str">
        <f aca="false">IF('02 Glass'!$C$36="","",'02 Glass'!G36)</f>
        <v>m2</v>
      </c>
      <c r="I102" s="58" t="n">
        <f aca="false">IF('02 Glass'!$C$36="","",'02 Glass'!J36)</f>
        <v>220.5</v>
      </c>
      <c r="J102" s="58" t="n">
        <f aca="false">IF('02 Glass'!$C$36="","",'02 Glass'!K36)</f>
        <v>264.6</v>
      </c>
      <c r="K102" s="58" t="n">
        <f aca="false">IF('02 Glass'!$C$36="","",'02 Glass'!L36)</f>
        <v>277.83</v>
      </c>
      <c r="L102" s="57" t="str">
        <f aca="false">IF('02 Glass'!$C$36="","",'02 Glass'!M36)</f>
        <v>Indicative</v>
      </c>
      <c r="M102" s="59" t="str">
        <f aca="false">IF(D102="","",IF(AND(OR(Search!$C$6="All Categories",A102=Search!$C$6),OR(Search!$P$5="",ISNUMBER(SEARCH(" "&amp;Search!$P$5,N102))),OR(Search!$P$6="",ISNUMBER(SEARCH(" "&amp;Search!$P$6,N102))),OR(Search!$P$7="",ISNUMBER(SEARCH(" "&amp;Search!$P$7,N102))),OR(Search!$P$8="",ISNUMBER(SEARCH(" "&amp;Search!$P$8,N102))),OR(Search!$P$9="",ISNUMBER(SEARCH(" "&amp;Search!$P$9,N102))),OR(Search!$P$10="",ISNUMBER(SEARCH(" "&amp;Search!$P$10,N102)))),ROW(),""))</f>
        <v/>
      </c>
      <c r="N102" s="0" t="str">
        <f aca="false">IF(D102="",""," "&amp;SUBSTITUTE(SUBSTITUTE(SUBSTITUTE(SUBSTITUTE(SUBSTITUTE(SUBSTITUTE(SUBSTITUTE(B102&amp;" "&amp;C102&amp;" "&amp;D102&amp;" "&amp;E102&amp;" "&amp;F102&amp;" "&amp;G102&amp;" "&amp;H102&amp;" "&amp;'02 Glass'!R36,"("," "),")"," "),"/"," "),"-"," "),","," "),";"," "),":"," ")&amp;" ")</f>
        <v> GL 032 Insulated  DGU  Double glazed unit   tinted 6 tinted + 12 + 6 clear Tinted Local processor m2 12+6 dgu igu insulated </v>
      </c>
    </row>
    <row r="103" customFormat="false" ht="22.35" hidden="false" customHeight="false" outlineLevel="0" collapsed="false">
      <c r="A103" s="56" t="str">
        <f aca="false">IF('02 Glass'!$C$37="","","Glass - Float, Tempered, Laminated &amp; DGU")</f>
        <v>Glass - Float, Tempered, Laminated &amp; DGU</v>
      </c>
      <c r="B103" s="57" t="str">
        <f aca="false">IF('02 Glass'!$C$37="","",'02 Glass'!A37)</f>
        <v>GL-033</v>
      </c>
      <c r="C103" s="56" t="str">
        <f aca="false">IF('02 Glass'!$C$37="","",'02 Glass'!B37)</f>
        <v>Insulated (DGU)</v>
      </c>
      <c r="D103" s="56" t="str">
        <f aca="false">IF('02 Glass'!$C$37="","",'02 Glass'!C37)</f>
        <v>Double glazed unit - reflective</v>
      </c>
      <c r="E103" s="56" t="str">
        <f aca="false">IF('02 Glass'!$C$37="","",'02 Glass'!D37)</f>
        <v>6 reflective + 12 + 6 clear</v>
      </c>
      <c r="F103" s="56" t="str">
        <f aca="false">IF('02 Glass'!$C$37="","",'02 Glass'!E37)</f>
        <v>Reflective</v>
      </c>
      <c r="G103" s="56" t="str">
        <f aca="false">IF('02 Glass'!$C$37="","",'02 Glass'!F37)</f>
        <v>Local processor</v>
      </c>
      <c r="H103" s="57" t="str">
        <f aca="false">IF('02 Glass'!$C$37="","",'02 Glass'!G37)</f>
        <v>m2</v>
      </c>
      <c r="I103" s="58" t="n">
        <f aca="false">IF('02 Glass'!$C$37="","",'02 Glass'!J37)</f>
        <v>241.5</v>
      </c>
      <c r="J103" s="58" t="n">
        <f aca="false">IF('02 Glass'!$C$37="","",'02 Glass'!K37)</f>
        <v>289.8</v>
      </c>
      <c r="K103" s="58" t="n">
        <f aca="false">IF('02 Glass'!$C$37="","",'02 Glass'!L37)</f>
        <v>304.29</v>
      </c>
      <c r="L103" s="57" t="str">
        <f aca="false">IF('02 Glass'!$C$37="","",'02 Glass'!M37)</f>
        <v>Indicative</v>
      </c>
      <c r="M103" s="59" t="str">
        <f aca="false">IF(D103="","",IF(AND(OR(Search!$C$6="All Categories",A103=Search!$C$6),OR(Search!$P$5="",ISNUMBER(SEARCH(" "&amp;Search!$P$5,N103))),OR(Search!$P$6="",ISNUMBER(SEARCH(" "&amp;Search!$P$6,N103))),OR(Search!$P$7="",ISNUMBER(SEARCH(" "&amp;Search!$P$7,N103))),OR(Search!$P$8="",ISNUMBER(SEARCH(" "&amp;Search!$P$8,N103))),OR(Search!$P$9="",ISNUMBER(SEARCH(" "&amp;Search!$P$9,N103))),OR(Search!$P$10="",ISNUMBER(SEARCH(" "&amp;Search!$P$10,N103)))),ROW(),""))</f>
        <v/>
      </c>
      <c r="N103" s="0" t="str">
        <f aca="false">IF(D103="",""," "&amp;SUBSTITUTE(SUBSTITUTE(SUBSTITUTE(SUBSTITUTE(SUBSTITUTE(SUBSTITUTE(SUBSTITUTE(B103&amp;" "&amp;C103&amp;" "&amp;D103&amp;" "&amp;E103&amp;" "&amp;F103&amp;" "&amp;G103&amp;" "&amp;H103&amp;" "&amp;'02 Glass'!R37,"("," "),")"," "),"/"," "),"-"," "),","," "),";"," "),":"," ")&amp;" ")</f>
        <v> GL 033 Insulated  DGU  Double glazed unit   reflective 6 reflective + 12 + 6 clear Reflective Local processor m2 12+6 dgu igu insulated </v>
      </c>
    </row>
    <row r="104" customFormat="false" ht="22.35" hidden="false" customHeight="false" outlineLevel="0" collapsed="false">
      <c r="A104" s="56" t="str">
        <f aca="false">IF('02 Glass'!$C$38="","","Glass - Float, Tempered, Laminated &amp; DGU")</f>
        <v>Glass - Float, Tempered, Laminated &amp; DGU</v>
      </c>
      <c r="B104" s="57" t="str">
        <f aca="false">IF('02 Glass'!$C$38="","",'02 Glass'!A38)</f>
        <v>GL-034</v>
      </c>
      <c r="C104" s="56" t="str">
        <f aca="false">IF('02 Glass'!$C$38="","",'02 Glass'!B38)</f>
        <v>Insulated (DGU)</v>
      </c>
      <c r="D104" s="56" t="str">
        <f aca="false">IF('02 Glass'!$C$38="","",'02 Glass'!C38)</f>
        <v>Double glazed unit - Low-E</v>
      </c>
      <c r="E104" s="56" t="str">
        <f aca="false">IF('02 Glass'!$C$38="","",'02 Glass'!D38)</f>
        <v>6 HT Low-E + 12 + 6 HT clear</v>
      </c>
      <c r="F104" s="56" t="str">
        <f aca="false">IF('02 Glass'!$C$38="","",'02 Glass'!E38)</f>
        <v>Low-E soft coat</v>
      </c>
      <c r="G104" s="56" t="str">
        <f aca="false">IF('02 Glass'!$C$38="","",'02 Glass'!F38)</f>
        <v>Guardian SunGuard / Equiv.</v>
      </c>
      <c r="H104" s="57" t="str">
        <f aca="false">IF('02 Glass'!$C$38="","",'02 Glass'!G38)</f>
        <v>m2</v>
      </c>
      <c r="I104" s="58" t="n">
        <f aca="false">IF('02 Glass'!$C$38="","",'02 Glass'!J38)</f>
        <v>294</v>
      </c>
      <c r="J104" s="58" t="n">
        <f aca="false">IF('02 Glass'!$C$38="","",'02 Glass'!K38)</f>
        <v>352.8</v>
      </c>
      <c r="K104" s="58" t="n">
        <f aca="false">IF('02 Glass'!$C$38="","",'02 Glass'!L38)</f>
        <v>370.44</v>
      </c>
      <c r="L104" s="57" t="str">
        <f aca="false">IF('02 Glass'!$C$38="","",'02 Glass'!M38)</f>
        <v>Indicative</v>
      </c>
      <c r="M104" s="59" t="str">
        <f aca="false">IF(D104="","",IF(AND(OR(Search!$C$6="All Categories",A104=Search!$C$6),OR(Search!$P$5="",ISNUMBER(SEARCH(" "&amp;Search!$P$5,N104))),OR(Search!$P$6="",ISNUMBER(SEARCH(" "&amp;Search!$P$6,N104))),OR(Search!$P$7="",ISNUMBER(SEARCH(" "&amp;Search!$P$7,N104))),OR(Search!$P$8="",ISNUMBER(SEARCH(" "&amp;Search!$P$8,N104))),OR(Search!$P$9="",ISNUMBER(SEARCH(" "&amp;Search!$P$9,N104))),OR(Search!$P$10="",ISNUMBER(SEARCH(" "&amp;Search!$P$10,N104)))),ROW(),""))</f>
        <v/>
      </c>
      <c r="N104" s="0" t="str">
        <f aca="false">IF(D104="",""," "&amp;SUBSTITUTE(SUBSTITUTE(SUBSTITUTE(SUBSTITUTE(SUBSTITUTE(SUBSTITUTE(SUBSTITUTE(B104&amp;" "&amp;C104&amp;" "&amp;D104&amp;" "&amp;E104&amp;" "&amp;F104&amp;" "&amp;G104&amp;" "&amp;H104&amp;" "&amp;'02 Glass'!R38,"("," "),")"," "),"/"," "),"-"," "),","," "),";"," "),":"," ")&amp;" ")</f>
        <v> GL 034 Insulated  DGU  Double glazed unit   Low E 6 HT Low E + 12 + 6 HT clear Low E soft coat Guardian SunGuard   Equiv. m2 12+6 dgu igu insulated lowe low e </v>
      </c>
    </row>
    <row r="105" customFormat="false" ht="22.35" hidden="false" customHeight="false" outlineLevel="0" collapsed="false">
      <c r="A105" s="56" t="str">
        <f aca="false">IF('02 Glass'!$C$39="","","Glass - Float, Tempered, Laminated &amp; DGU")</f>
        <v>Glass - Float, Tempered, Laminated &amp; DGU</v>
      </c>
      <c r="B105" s="57" t="str">
        <f aca="false">IF('02 Glass'!$C$39="","",'02 Glass'!A39)</f>
        <v>GL-035</v>
      </c>
      <c r="C105" s="56" t="str">
        <f aca="false">IF('02 Glass'!$C$39="","",'02 Glass'!B39)</f>
        <v>Insulated (DGU)</v>
      </c>
      <c r="D105" s="56" t="str">
        <f aca="false">IF('02 Glass'!$C$39="","",'02 Glass'!C39)</f>
        <v>Double glazed unit - Low-E with laminated inner</v>
      </c>
      <c r="E105" s="56" t="str">
        <f aca="false">IF('02 Glass'!$C$39="","",'02 Glass'!D39)</f>
        <v>6 HT Low-E + 12 + 6.38 lam</v>
      </c>
      <c r="F105" s="56" t="str">
        <f aca="false">IF('02 Glass'!$C$39="","",'02 Glass'!E39)</f>
        <v>Low-E soft coat</v>
      </c>
      <c r="G105" s="56" t="str">
        <f aca="false">IF('02 Glass'!$C$39="","",'02 Glass'!F39)</f>
        <v>Guardian SunGuard / Equiv.</v>
      </c>
      <c r="H105" s="57" t="str">
        <f aca="false">IF('02 Glass'!$C$39="","",'02 Glass'!G39)</f>
        <v>m2</v>
      </c>
      <c r="I105" s="58" t="n">
        <f aca="false">IF('02 Glass'!$C$39="","",'02 Glass'!J39)</f>
        <v>378</v>
      </c>
      <c r="J105" s="58" t="n">
        <f aca="false">IF('02 Glass'!$C$39="","",'02 Glass'!K39)</f>
        <v>453.6</v>
      </c>
      <c r="K105" s="58" t="n">
        <f aca="false">IF('02 Glass'!$C$39="","",'02 Glass'!L39)</f>
        <v>476.28</v>
      </c>
      <c r="L105" s="57" t="str">
        <f aca="false">IF('02 Glass'!$C$39="","",'02 Glass'!M39)</f>
        <v>Indicative</v>
      </c>
      <c r="M105" s="59" t="str">
        <f aca="false">IF(D105="","",IF(AND(OR(Search!$C$6="All Categories",A105=Search!$C$6),OR(Search!$P$5="",ISNUMBER(SEARCH(" "&amp;Search!$P$5,N105))),OR(Search!$P$6="",ISNUMBER(SEARCH(" "&amp;Search!$P$6,N105))),OR(Search!$P$7="",ISNUMBER(SEARCH(" "&amp;Search!$P$7,N105))),OR(Search!$P$8="",ISNUMBER(SEARCH(" "&amp;Search!$P$8,N105))),OR(Search!$P$9="",ISNUMBER(SEARCH(" "&amp;Search!$P$9,N105))),OR(Search!$P$10="",ISNUMBER(SEARCH(" "&amp;Search!$P$10,N105)))),ROW(),""))</f>
        <v/>
      </c>
      <c r="N105" s="0" t="str">
        <f aca="false">IF(D105="",""," "&amp;SUBSTITUTE(SUBSTITUTE(SUBSTITUTE(SUBSTITUTE(SUBSTITUTE(SUBSTITUTE(SUBSTITUTE(B105&amp;" "&amp;C105&amp;" "&amp;D105&amp;" "&amp;E105&amp;" "&amp;F105&amp;" "&amp;G105&amp;" "&amp;H105&amp;" "&amp;'02 Glass'!R39,"("," "),")"," "),"/"," "),"-"," "),","," "),";"," "),":"," ")&amp;" ")</f>
        <v> GL 035 Insulated  DGU  Double glazed unit   Low E with laminated inner 6 HT Low E + 12 + 6.38 lam Low E soft coat Guardian SunGuard   Equiv. m2 12+6.38 dgu igu insulated lami lowe low e </v>
      </c>
    </row>
    <row r="106" customFormat="false" ht="22.35" hidden="false" customHeight="false" outlineLevel="0" collapsed="false">
      <c r="A106" s="56" t="str">
        <f aca="false">IF('02 Glass'!$C$40="","","Glass - Float, Tempered, Laminated &amp; DGU")</f>
        <v>Glass - Float, Tempered, Laminated &amp; DGU</v>
      </c>
      <c r="B106" s="57" t="str">
        <f aca="false">IF('02 Glass'!$C$40="","",'02 Glass'!A40)</f>
        <v>GL-036</v>
      </c>
      <c r="C106" s="56" t="str">
        <f aca="false">IF('02 Glass'!$C$40="","",'02 Glass'!B40)</f>
        <v>Insulated (DGU)</v>
      </c>
      <c r="D106" s="56" t="str">
        <f aca="false">IF('02 Glass'!$C$40="","",'02 Glass'!C40)</f>
        <v>Double glazed unit - Low-E, argon filled</v>
      </c>
      <c r="E106" s="56" t="str">
        <f aca="false">IF('02 Glass'!$C$40="","",'02 Glass'!D40)</f>
        <v>8 HT Low-E + 16 argon + 8 HT</v>
      </c>
      <c r="F106" s="56" t="str">
        <f aca="false">IF('02 Glass'!$C$40="","",'02 Glass'!E40)</f>
        <v>Low-E soft coat</v>
      </c>
      <c r="G106" s="56" t="str">
        <f aca="false">IF('02 Glass'!$C$40="","",'02 Glass'!F40)</f>
        <v>Guardian SunGuard / Equiv.</v>
      </c>
      <c r="H106" s="57" t="str">
        <f aca="false">IF('02 Glass'!$C$40="","",'02 Glass'!G40)</f>
        <v>m2</v>
      </c>
      <c r="I106" s="58" t="n">
        <f aca="false">IF('02 Glass'!$C$40="","",'02 Glass'!J40)</f>
        <v>399</v>
      </c>
      <c r="J106" s="58" t="n">
        <f aca="false">IF('02 Glass'!$C$40="","",'02 Glass'!K40)</f>
        <v>478.8</v>
      </c>
      <c r="K106" s="58" t="n">
        <f aca="false">IF('02 Glass'!$C$40="","",'02 Glass'!L40)</f>
        <v>502.74</v>
      </c>
      <c r="L106" s="57" t="str">
        <f aca="false">IF('02 Glass'!$C$40="","",'02 Glass'!M40)</f>
        <v>Indicative</v>
      </c>
      <c r="M106" s="59" t="str">
        <f aca="false">IF(D106="","",IF(AND(OR(Search!$C$6="All Categories",A106=Search!$C$6),OR(Search!$P$5="",ISNUMBER(SEARCH(" "&amp;Search!$P$5,N106))),OR(Search!$P$6="",ISNUMBER(SEARCH(" "&amp;Search!$P$6,N106))),OR(Search!$P$7="",ISNUMBER(SEARCH(" "&amp;Search!$P$7,N106))),OR(Search!$P$8="",ISNUMBER(SEARCH(" "&amp;Search!$P$8,N106))),OR(Search!$P$9="",ISNUMBER(SEARCH(" "&amp;Search!$P$9,N106))),OR(Search!$P$10="",ISNUMBER(SEARCH(" "&amp;Search!$P$10,N106)))),ROW(),""))</f>
        <v/>
      </c>
      <c r="N106" s="0" t="str">
        <f aca="false">IF(D106="",""," "&amp;SUBSTITUTE(SUBSTITUTE(SUBSTITUTE(SUBSTITUTE(SUBSTITUTE(SUBSTITUTE(SUBSTITUTE(B106&amp;" "&amp;C106&amp;" "&amp;D106&amp;" "&amp;E106&amp;" "&amp;F106&amp;" "&amp;G106&amp;" "&amp;H106&amp;" "&amp;'02 Glass'!R40,"("," "),")"," "),"/"," "),"-"," "),","," "),";"," "),":"," ")&amp;" ")</f>
        <v> GL 036 Insulated  DGU  Double glazed unit   Low E  argon filled 8 HT Low E + 16 argon + 8 HT Low E soft coat Guardian SunGuard   Equiv. m2 dgu igu insulated lowe low e </v>
      </c>
    </row>
    <row r="107" customFormat="false" ht="22.35" hidden="false" customHeight="false" outlineLevel="0" collapsed="false">
      <c r="A107" s="56" t="str">
        <f aca="false">IF('02 Glass'!$C$41="","","Glass - Float, Tempered, Laminated &amp; DGU")</f>
        <v>Glass - Float, Tempered, Laminated &amp; DGU</v>
      </c>
      <c r="B107" s="57" t="str">
        <f aca="false">IF('02 Glass'!$C$41="","",'02 Glass'!A41)</f>
        <v>GL-037</v>
      </c>
      <c r="C107" s="56" t="str">
        <f aca="false">IF('02 Glass'!$C$41="","",'02 Glass'!B41)</f>
        <v>Insulated (DGU)</v>
      </c>
      <c r="D107" s="56" t="str">
        <f aca="false">IF('02 Glass'!$C$41="","",'02 Glass'!C41)</f>
        <v>Triple glazed unit</v>
      </c>
      <c r="E107" s="56" t="str">
        <f aca="false">IF('02 Glass'!$C$41="","",'02 Glass'!D41)</f>
        <v>6 + 12 + 6 + 12 + 6 mm</v>
      </c>
      <c r="F107" s="56" t="str">
        <f aca="false">IF('02 Glass'!$C$41="","",'02 Glass'!E41)</f>
        <v>Clear / Low-E</v>
      </c>
      <c r="G107" s="56" t="str">
        <f aca="false">IF('02 Glass'!$C$41="","",'02 Glass'!F41)</f>
        <v>Local processor</v>
      </c>
      <c r="H107" s="57" t="str">
        <f aca="false">IF('02 Glass'!$C$41="","",'02 Glass'!G41)</f>
        <v>m2</v>
      </c>
      <c r="I107" s="58" t="n">
        <f aca="false">IF('02 Glass'!$C$41="","",'02 Glass'!J41)</f>
        <v>441</v>
      </c>
      <c r="J107" s="58" t="n">
        <f aca="false">IF('02 Glass'!$C$41="","",'02 Glass'!K41)</f>
        <v>529.2</v>
      </c>
      <c r="K107" s="58" t="n">
        <f aca="false">IF('02 Glass'!$C$41="","",'02 Glass'!L41)</f>
        <v>555.66</v>
      </c>
      <c r="L107" s="57" t="str">
        <f aca="false">IF('02 Glass'!$C$41="","",'02 Glass'!M41)</f>
        <v>Indicative</v>
      </c>
      <c r="M107" s="59" t="str">
        <f aca="false">IF(D107="","",IF(AND(OR(Search!$C$6="All Categories",A107=Search!$C$6),OR(Search!$P$5="",ISNUMBER(SEARCH(" "&amp;Search!$P$5,N107))),OR(Search!$P$6="",ISNUMBER(SEARCH(" "&amp;Search!$P$6,N107))),OR(Search!$P$7="",ISNUMBER(SEARCH(" "&amp;Search!$P$7,N107))),OR(Search!$P$8="",ISNUMBER(SEARCH(" "&amp;Search!$P$8,N107))),OR(Search!$P$9="",ISNUMBER(SEARCH(" "&amp;Search!$P$9,N107))),OR(Search!$P$10="",ISNUMBER(SEARCH(" "&amp;Search!$P$10,N107)))),ROW(),""))</f>
        <v/>
      </c>
      <c r="N107" s="0" t="str">
        <f aca="false">IF(D107="",""," "&amp;SUBSTITUTE(SUBSTITUTE(SUBSTITUTE(SUBSTITUTE(SUBSTITUTE(SUBSTITUTE(SUBSTITUTE(B107&amp;" "&amp;C107&amp;" "&amp;D107&amp;" "&amp;E107&amp;" "&amp;F107&amp;" "&amp;G107&amp;" "&amp;H107&amp;" "&amp;'02 Glass'!R41,"("," "),")"," "),"/"," "),"-"," "),","," "),";"," "),":"," ")&amp;" ")</f>
        <v> GL 037 Insulated  DGU  Triple glazed unit 6 + 12 + 6 + 12 + 6 mm Clear   Low E Local processor m2 6mm 6+12+6+12+6 tgu insulated lowe low e </v>
      </c>
    </row>
    <row r="108" customFormat="false" ht="22.35" hidden="false" customHeight="false" outlineLevel="0" collapsed="false">
      <c r="A108" s="56" t="str">
        <f aca="false">IF('02 Glass'!$C$42="","","Glass - Float, Tempered, Laminated &amp; DGU")</f>
        <v>Glass - Float, Tempered, Laminated &amp; DGU</v>
      </c>
      <c r="B108" s="57" t="str">
        <f aca="false">IF('02 Glass'!$C$42="","",'02 Glass'!A42)</f>
        <v>GL-038</v>
      </c>
      <c r="C108" s="56" t="str">
        <f aca="false">IF('02 Glass'!$C$42="","",'02 Glass'!B42)</f>
        <v>Insulated (DGU)</v>
      </c>
      <c r="D108" s="56" t="str">
        <f aca="false">IF('02 Glass'!$C$42="","",'02 Glass'!C42)</f>
        <v>Structural silicone (SSG) DGU - extra</v>
      </c>
      <c r="E108" s="56" t="str">
        <f aca="false">IF('02 Glass'!$C$42="","",'02 Glass'!D42)</f>
        <v>Structural edge seal</v>
      </c>
      <c r="F108" s="56" t="str">
        <f aca="false">IF('02 Glass'!$C$42="","",'02 Glass'!E42)</f>
        <v>-</v>
      </c>
      <c r="G108" s="56" t="str">
        <f aca="false">IF('02 Glass'!$C$42="","",'02 Glass'!F42)</f>
        <v>Local processor</v>
      </c>
      <c r="H108" s="57" t="str">
        <f aca="false">IF('02 Glass'!$C$42="","",'02 Glass'!G42)</f>
        <v>m2</v>
      </c>
      <c r="I108" s="58" t="n">
        <f aca="false">IF('02 Glass'!$C$42="","",'02 Glass'!J42)</f>
        <v>36.75</v>
      </c>
      <c r="J108" s="58" t="n">
        <f aca="false">IF('02 Glass'!$C$42="","",'02 Glass'!K42)</f>
        <v>44.1</v>
      </c>
      <c r="K108" s="58" t="n">
        <f aca="false">IF('02 Glass'!$C$42="","",'02 Glass'!L42)</f>
        <v>46.31</v>
      </c>
      <c r="L108" s="57" t="str">
        <f aca="false">IF('02 Glass'!$C$42="","",'02 Glass'!M42)</f>
        <v>Indicative</v>
      </c>
      <c r="M108" s="59" t="str">
        <f aca="false">IF(D108="","",IF(AND(OR(Search!$C$6="All Categories",A108=Search!$C$6),OR(Search!$P$5="",ISNUMBER(SEARCH(" "&amp;Search!$P$5,N108))),OR(Search!$P$6="",ISNUMBER(SEARCH(" "&amp;Search!$P$6,N108))),OR(Search!$P$7="",ISNUMBER(SEARCH(" "&amp;Search!$P$7,N108))),OR(Search!$P$8="",ISNUMBER(SEARCH(" "&amp;Search!$P$8,N108))),OR(Search!$P$9="",ISNUMBER(SEARCH(" "&amp;Search!$P$9,N108))),OR(Search!$P$10="",ISNUMBER(SEARCH(" "&amp;Search!$P$10,N108)))),ROW(),""))</f>
        <v/>
      </c>
      <c r="N108" s="0" t="str">
        <f aca="false">IF(D108="",""," "&amp;SUBSTITUTE(SUBSTITUTE(SUBSTITUTE(SUBSTITUTE(SUBSTITUTE(SUBSTITUTE(SUBSTITUTE(B108&amp;" "&amp;C108&amp;" "&amp;D108&amp;" "&amp;E108&amp;" "&amp;F108&amp;" "&amp;G108&amp;" "&amp;H108&amp;" "&amp;'02 Glass'!R42,"("," "),")"," "),"/"," "),"-"," "),","," "),";"," "),":"," ")&amp;" ")</f>
        <v> GL 038 Insulated  DGU  Structural silicone  SSG  DGU   extra Structural edge seal   Local processor m2 sealant </v>
      </c>
    </row>
    <row r="109" customFormat="false" ht="22.35" hidden="false" customHeight="false" outlineLevel="0" collapsed="false">
      <c r="A109" s="56" t="str">
        <f aca="false">IF('02 Glass'!$C$43="","","Glass - Float, Tempered, Laminated &amp; DGU")</f>
        <v>Glass - Float, Tempered, Laminated &amp; DGU</v>
      </c>
      <c r="B109" s="57" t="str">
        <f aca="false">IF('02 Glass'!$C$43="","",'02 Glass'!A43)</f>
        <v>GL-039</v>
      </c>
      <c r="C109" s="56" t="str">
        <f aca="false">IF('02 Glass'!$C$43="","",'02 Glass'!B43)</f>
        <v>Decorative &amp; Special</v>
      </c>
      <c r="D109" s="56" t="str">
        <f aca="false">IF('02 Glass'!$C$43="","",'02 Glass'!C43)</f>
        <v>Back-painted (lacquered) tempered glass</v>
      </c>
      <c r="E109" s="56" t="str">
        <f aca="false">IF('02 Glass'!$C$43="","",'02 Glass'!D43)</f>
        <v>6 mm</v>
      </c>
      <c r="F109" s="56" t="str">
        <f aca="false">IF('02 Glass'!$C$43="","",'02 Glass'!E43)</f>
        <v>RAL colour</v>
      </c>
      <c r="G109" s="56" t="str">
        <f aca="false">IF('02 Glass'!$C$43="","",'02 Glass'!F43)</f>
        <v>Local processor</v>
      </c>
      <c r="H109" s="57" t="str">
        <f aca="false">IF('02 Glass'!$C$43="","",'02 Glass'!G43)</f>
        <v>m2</v>
      </c>
      <c r="I109" s="58" t="n">
        <f aca="false">IF('02 Glass'!$C$43="","",'02 Glass'!J43)</f>
        <v>147</v>
      </c>
      <c r="J109" s="58" t="n">
        <f aca="false">IF('02 Glass'!$C$43="","",'02 Glass'!K43)</f>
        <v>176.4</v>
      </c>
      <c r="K109" s="58" t="n">
        <f aca="false">IF('02 Glass'!$C$43="","",'02 Glass'!L43)</f>
        <v>185.22</v>
      </c>
      <c r="L109" s="57" t="str">
        <f aca="false">IF('02 Glass'!$C$43="","",'02 Glass'!M43)</f>
        <v>Indicative</v>
      </c>
      <c r="M109" s="59" t="str">
        <f aca="false">IF(D109="","",IF(AND(OR(Search!$C$6="All Categories",A109=Search!$C$6),OR(Search!$P$5="",ISNUMBER(SEARCH(" "&amp;Search!$P$5,N109))),OR(Search!$P$6="",ISNUMBER(SEARCH(" "&amp;Search!$P$6,N109))),OR(Search!$P$7="",ISNUMBER(SEARCH(" "&amp;Search!$P$7,N109))),OR(Search!$P$8="",ISNUMBER(SEARCH(" "&amp;Search!$P$8,N109))),OR(Search!$P$9="",ISNUMBER(SEARCH(" "&amp;Search!$P$9,N109))),OR(Search!$P$10="",ISNUMBER(SEARCH(" "&amp;Search!$P$10,N109)))),ROW(),""))</f>
        <v/>
      </c>
      <c r="N109" s="0" t="str">
        <f aca="false">IF(D109="",""," "&amp;SUBSTITUTE(SUBSTITUTE(SUBSTITUTE(SUBSTITUTE(SUBSTITUTE(SUBSTITUTE(SUBSTITUTE(B109&amp;" "&amp;C109&amp;" "&amp;D109&amp;" "&amp;E109&amp;" "&amp;F109&amp;" "&amp;G109&amp;" "&amp;H109&amp;" "&amp;'02 Glass'!R43,"("," "),")"," "),"/"," "),"-"," "),","," "),";"," "),":"," ")&amp;" ")</f>
        <v> GL 039 Decorative &amp; Special Back painted  lacquered  tempered glass 6 mm RAL colour Local processor m2 6mm toughened lacquered painted stainless steel </v>
      </c>
    </row>
    <row r="110" customFormat="false" ht="22.35" hidden="false" customHeight="false" outlineLevel="0" collapsed="false">
      <c r="A110" s="56" t="str">
        <f aca="false">IF('02 Glass'!$C$44="","","Glass - Float, Tempered, Laminated &amp; DGU")</f>
        <v>Glass - Float, Tempered, Laminated &amp; DGU</v>
      </c>
      <c r="B110" s="57" t="str">
        <f aca="false">IF('02 Glass'!$C$44="","",'02 Glass'!A44)</f>
        <v>GL-040</v>
      </c>
      <c r="C110" s="56" t="str">
        <f aca="false">IF('02 Glass'!$C$44="","",'02 Glass'!B44)</f>
        <v>Decorative &amp; Special</v>
      </c>
      <c r="D110" s="56" t="str">
        <f aca="false">IF('02 Glass'!$C$44="","",'02 Glass'!C44)</f>
        <v>Back-painted (lacquered) tempered glass</v>
      </c>
      <c r="E110" s="56" t="str">
        <f aca="false">IF('02 Glass'!$C$44="","",'02 Glass'!D44)</f>
        <v>10 mm</v>
      </c>
      <c r="F110" s="56" t="str">
        <f aca="false">IF('02 Glass'!$C$44="","",'02 Glass'!E44)</f>
        <v>RAL colour</v>
      </c>
      <c r="G110" s="56" t="str">
        <f aca="false">IF('02 Glass'!$C$44="","",'02 Glass'!F44)</f>
        <v>Local processor</v>
      </c>
      <c r="H110" s="57" t="str">
        <f aca="false">IF('02 Glass'!$C$44="","",'02 Glass'!G44)</f>
        <v>m2</v>
      </c>
      <c r="I110" s="58" t="n">
        <f aca="false">IF('02 Glass'!$C$44="","",'02 Glass'!J44)</f>
        <v>194.25</v>
      </c>
      <c r="J110" s="58" t="n">
        <f aca="false">IF('02 Glass'!$C$44="","",'02 Glass'!K44)</f>
        <v>233.1</v>
      </c>
      <c r="K110" s="58" t="n">
        <f aca="false">IF('02 Glass'!$C$44="","",'02 Glass'!L44)</f>
        <v>244.76</v>
      </c>
      <c r="L110" s="57" t="str">
        <f aca="false">IF('02 Glass'!$C$44="","",'02 Glass'!M44)</f>
        <v>Indicative</v>
      </c>
      <c r="M110" s="59" t="str">
        <f aca="false">IF(D110="","",IF(AND(OR(Search!$C$6="All Categories",A110=Search!$C$6),OR(Search!$P$5="",ISNUMBER(SEARCH(" "&amp;Search!$P$5,N110))),OR(Search!$P$6="",ISNUMBER(SEARCH(" "&amp;Search!$P$6,N110))),OR(Search!$P$7="",ISNUMBER(SEARCH(" "&amp;Search!$P$7,N110))),OR(Search!$P$8="",ISNUMBER(SEARCH(" "&amp;Search!$P$8,N110))),OR(Search!$P$9="",ISNUMBER(SEARCH(" "&amp;Search!$P$9,N110))),OR(Search!$P$10="",ISNUMBER(SEARCH(" "&amp;Search!$P$10,N110)))),ROW(),""))</f>
        <v/>
      </c>
      <c r="N110" s="0" t="str">
        <f aca="false">IF(D110="",""," "&amp;SUBSTITUTE(SUBSTITUTE(SUBSTITUTE(SUBSTITUTE(SUBSTITUTE(SUBSTITUTE(SUBSTITUTE(B110&amp;" "&amp;C110&amp;" "&amp;D110&amp;" "&amp;E110&amp;" "&amp;F110&amp;" "&amp;G110&amp;" "&amp;H110&amp;" "&amp;'02 Glass'!R44,"("," "),")"," "),"/"," "),"-"," "),","," "),";"," "),":"," ")&amp;" ")</f>
        <v> GL 040 Decorative &amp; Special Back painted  lacquered  tempered glass 10 mm RAL colour Local processor m2 10mm toughened lacquered painted stainless steel </v>
      </c>
    </row>
    <row r="111" customFormat="false" ht="22.35" hidden="false" customHeight="false" outlineLevel="0" collapsed="false">
      <c r="A111" s="56" t="str">
        <f aca="false">IF('02 Glass'!$C$45="","","Glass - Float, Tempered, Laminated &amp; DGU")</f>
        <v>Glass - Float, Tempered, Laminated &amp; DGU</v>
      </c>
      <c r="B111" s="57" t="str">
        <f aca="false">IF('02 Glass'!$C$45="","",'02 Glass'!A45)</f>
        <v>GL-041</v>
      </c>
      <c r="C111" s="56" t="str">
        <f aca="false">IF('02 Glass'!$C$45="","",'02 Glass'!B45)</f>
        <v>Decorative &amp; Special</v>
      </c>
      <c r="D111" s="56" t="str">
        <f aca="false">IF('02 Glass'!$C$45="","",'02 Glass'!C45)</f>
        <v>Ceramic frit / spandrel glass</v>
      </c>
      <c r="E111" s="56" t="str">
        <f aca="false">IF('02 Glass'!$C$45="","",'02 Glass'!D45)</f>
        <v>6 mm HT, opaque</v>
      </c>
      <c r="F111" s="56" t="str">
        <f aca="false">IF('02 Glass'!$C$45="","",'02 Glass'!E45)</f>
        <v>RAL colour</v>
      </c>
      <c r="G111" s="56" t="str">
        <f aca="false">IF('02 Glass'!$C$45="","",'02 Glass'!F45)</f>
        <v>Local processor</v>
      </c>
      <c r="H111" s="57" t="str">
        <f aca="false">IF('02 Glass'!$C$45="","",'02 Glass'!G45)</f>
        <v>m2</v>
      </c>
      <c r="I111" s="58" t="n">
        <f aca="false">IF('02 Glass'!$C$45="","",'02 Glass'!J45)</f>
        <v>157.5</v>
      </c>
      <c r="J111" s="58" t="n">
        <f aca="false">IF('02 Glass'!$C$45="","",'02 Glass'!K45)</f>
        <v>189</v>
      </c>
      <c r="K111" s="58" t="n">
        <f aca="false">IF('02 Glass'!$C$45="","",'02 Glass'!L45)</f>
        <v>198.45</v>
      </c>
      <c r="L111" s="57" t="str">
        <f aca="false">IF('02 Glass'!$C$45="","",'02 Glass'!M45)</f>
        <v>Indicative</v>
      </c>
      <c r="M111" s="59" t="str">
        <f aca="false">IF(D111="","",IF(AND(OR(Search!$C$6="All Categories",A111=Search!$C$6),OR(Search!$P$5="",ISNUMBER(SEARCH(" "&amp;Search!$P$5,N111))),OR(Search!$P$6="",ISNUMBER(SEARCH(" "&amp;Search!$P$6,N111))),OR(Search!$P$7="",ISNUMBER(SEARCH(" "&amp;Search!$P$7,N111))),OR(Search!$P$8="",ISNUMBER(SEARCH(" "&amp;Search!$P$8,N111))),OR(Search!$P$9="",ISNUMBER(SEARCH(" "&amp;Search!$P$9,N111))),OR(Search!$P$10="",ISNUMBER(SEARCH(" "&amp;Search!$P$10,N111)))),ROW(),""))</f>
        <v/>
      </c>
      <c r="N111" s="0" t="str">
        <f aca="false">IF(D111="",""," "&amp;SUBSTITUTE(SUBSTITUTE(SUBSTITUTE(SUBSTITUTE(SUBSTITUTE(SUBSTITUTE(SUBSTITUTE(B111&amp;" "&amp;C111&amp;" "&amp;D111&amp;" "&amp;E111&amp;" "&amp;F111&amp;" "&amp;G111&amp;" "&amp;H111&amp;" "&amp;'02 Glass'!R45,"("," "),")"," "),"/"," "),"-"," "),","," "),";"," "),":"," ")&amp;" ")</f>
        <v> GL 041 Decorative &amp; Special Ceramic frit   spandrel glass 6 mm HT  opaque RAL colour Local processor m2 6mm stainless steel </v>
      </c>
    </row>
    <row r="112" customFormat="false" ht="22.35" hidden="false" customHeight="false" outlineLevel="0" collapsed="false">
      <c r="A112" s="56" t="str">
        <f aca="false">IF('02 Glass'!$C$46="","","Glass - Float, Tempered, Laminated &amp; DGU")</f>
        <v>Glass - Float, Tempered, Laminated &amp; DGU</v>
      </c>
      <c r="B112" s="57" t="str">
        <f aca="false">IF('02 Glass'!$C$46="","",'02 Glass'!A46)</f>
        <v>GL-042</v>
      </c>
      <c r="C112" s="56" t="str">
        <f aca="false">IF('02 Glass'!$C$46="","",'02 Glass'!B46)</f>
        <v>Decorative &amp; Special</v>
      </c>
      <c r="D112" s="56" t="str">
        <f aca="false">IF('02 Glass'!$C$46="","",'02 Glass'!C46)</f>
        <v>Digital printed glass</v>
      </c>
      <c r="E112" s="56" t="str">
        <f aca="false">IF('02 Glass'!$C$46="","",'02 Glass'!D46)</f>
        <v>10 mm tempered</v>
      </c>
      <c r="F112" s="56" t="str">
        <f aca="false">IF('02 Glass'!$C$46="","",'02 Glass'!E46)</f>
        <v>Custom print</v>
      </c>
      <c r="G112" s="56" t="str">
        <f aca="false">IF('02 Glass'!$C$46="","",'02 Glass'!F46)</f>
        <v>Local processor</v>
      </c>
      <c r="H112" s="57" t="str">
        <f aca="false">IF('02 Glass'!$C$46="","",'02 Glass'!G46)</f>
        <v>m2</v>
      </c>
      <c r="I112" s="58" t="n">
        <f aca="false">IF('02 Glass'!$C$46="","",'02 Glass'!J46)</f>
        <v>399</v>
      </c>
      <c r="J112" s="58" t="n">
        <f aca="false">IF('02 Glass'!$C$46="","",'02 Glass'!K46)</f>
        <v>478.8</v>
      </c>
      <c r="K112" s="58" t="n">
        <f aca="false">IF('02 Glass'!$C$46="","",'02 Glass'!L46)</f>
        <v>502.74</v>
      </c>
      <c r="L112" s="57" t="str">
        <f aca="false">IF('02 Glass'!$C$46="","",'02 Glass'!M46)</f>
        <v>Indicative</v>
      </c>
      <c r="M112" s="59" t="str">
        <f aca="false">IF(D112="","",IF(AND(OR(Search!$C$6="All Categories",A112=Search!$C$6),OR(Search!$P$5="",ISNUMBER(SEARCH(" "&amp;Search!$P$5,N112))),OR(Search!$P$6="",ISNUMBER(SEARCH(" "&amp;Search!$P$6,N112))),OR(Search!$P$7="",ISNUMBER(SEARCH(" "&amp;Search!$P$7,N112))),OR(Search!$P$8="",ISNUMBER(SEARCH(" "&amp;Search!$P$8,N112))),OR(Search!$P$9="",ISNUMBER(SEARCH(" "&amp;Search!$P$9,N112))),OR(Search!$P$10="",ISNUMBER(SEARCH(" "&amp;Search!$P$10,N112)))),ROW(),""))</f>
        <v/>
      </c>
      <c r="N112" s="0" t="str">
        <f aca="false">IF(D112="",""," "&amp;SUBSTITUTE(SUBSTITUTE(SUBSTITUTE(SUBSTITUTE(SUBSTITUTE(SUBSTITUTE(SUBSTITUTE(B112&amp;" "&amp;C112&amp;" "&amp;D112&amp;" "&amp;E112&amp;" "&amp;F112&amp;" "&amp;G112&amp;" "&amp;H112&amp;" "&amp;'02 Glass'!R46,"("," "),")"," "),"/"," "),"-"," "),","," "),";"," "),":"," ")&amp;" ")</f>
        <v> GL 042 Decorative &amp; Special Digital printed glass 10 mm tempered Custom print Local processor m2 10mm toughened stainless steel </v>
      </c>
    </row>
    <row r="113" customFormat="false" ht="22.35" hidden="false" customHeight="false" outlineLevel="0" collapsed="false">
      <c r="A113" s="56" t="str">
        <f aca="false">IF('02 Glass'!$C$47="","","Glass - Float, Tempered, Laminated &amp; DGU")</f>
        <v>Glass - Float, Tempered, Laminated &amp; DGU</v>
      </c>
      <c r="B113" s="57" t="str">
        <f aca="false">IF('02 Glass'!$C$47="","",'02 Glass'!A47)</f>
        <v>GL-043</v>
      </c>
      <c r="C113" s="56" t="str">
        <f aca="false">IF('02 Glass'!$C$47="","",'02 Glass'!B47)</f>
        <v>Decorative &amp; Special</v>
      </c>
      <c r="D113" s="56" t="str">
        <f aca="false">IF('02 Glass'!$C$47="","",'02 Glass'!C47)</f>
        <v>Smart (switchable PDLC) glass</v>
      </c>
      <c r="E113" s="56" t="str">
        <f aca="false">IF('02 Glass'!$C$47="","",'02 Glass'!D47)</f>
        <v>12.76 mm laminated</v>
      </c>
      <c r="F113" s="56" t="str">
        <f aca="false">IF('02 Glass'!$C$47="","",'02 Glass'!E47)</f>
        <v>Switchable</v>
      </c>
      <c r="G113" s="56" t="str">
        <f aca="false">IF('02 Glass'!$C$47="","",'02 Glass'!F47)</f>
        <v>Imported</v>
      </c>
      <c r="H113" s="57" t="str">
        <f aca="false">IF('02 Glass'!$C$47="","",'02 Glass'!G47)</f>
        <v>m2</v>
      </c>
      <c r="I113" s="58" t="n">
        <f aca="false">IF('02 Glass'!$C$47="","",'02 Glass'!J47)</f>
        <v>1470</v>
      </c>
      <c r="J113" s="58" t="n">
        <f aca="false">IF('02 Glass'!$C$47="","",'02 Glass'!K47)</f>
        <v>1764</v>
      </c>
      <c r="K113" s="58" t="n">
        <f aca="false">IF('02 Glass'!$C$47="","",'02 Glass'!L47)</f>
        <v>1852.2</v>
      </c>
      <c r="L113" s="57" t="str">
        <f aca="false">IF('02 Glass'!$C$47="","",'02 Glass'!M47)</f>
        <v>Indicative</v>
      </c>
      <c r="M113" s="59" t="str">
        <f aca="false">IF(D113="","",IF(AND(OR(Search!$C$6="All Categories",A113=Search!$C$6),OR(Search!$P$5="",ISNUMBER(SEARCH(" "&amp;Search!$P$5,N113))),OR(Search!$P$6="",ISNUMBER(SEARCH(" "&amp;Search!$P$6,N113))),OR(Search!$P$7="",ISNUMBER(SEARCH(" "&amp;Search!$P$7,N113))),OR(Search!$P$8="",ISNUMBER(SEARCH(" "&amp;Search!$P$8,N113))),OR(Search!$P$9="",ISNUMBER(SEARCH(" "&amp;Search!$P$9,N113))),OR(Search!$P$10="",ISNUMBER(SEARCH(" "&amp;Search!$P$10,N113)))),ROW(),""))</f>
        <v/>
      </c>
      <c r="N113" s="0" t="str">
        <f aca="false">IF(D113="",""," "&amp;SUBSTITUTE(SUBSTITUTE(SUBSTITUTE(SUBSTITUTE(SUBSTITUTE(SUBSTITUTE(SUBSTITUTE(B113&amp;" "&amp;C113&amp;" "&amp;D113&amp;" "&amp;E113&amp;" "&amp;F113&amp;" "&amp;G113&amp;" "&amp;H113&amp;" "&amp;'02 Glass'!R47,"("," "),")"," "),"/"," "),"-"," "),","," "),";"," "),":"," ")&amp;" ")</f>
        <v> GL 043 Decorative &amp; Special Smart  switchable PDLC  glass 12.76 mm laminated Switchable Imported m2 12.76mm lami stainless steel </v>
      </c>
    </row>
    <row r="114" customFormat="false" ht="22.35" hidden="false" customHeight="false" outlineLevel="0" collapsed="false">
      <c r="A114" s="56" t="str">
        <f aca="false">IF('02 Glass'!$C$48="","","Glass - Float, Tempered, Laminated &amp; DGU")</f>
        <v>Glass - Float, Tempered, Laminated &amp; DGU</v>
      </c>
      <c r="B114" s="57" t="str">
        <f aca="false">IF('02 Glass'!$C$48="","",'02 Glass'!A48)</f>
        <v>GL-044</v>
      </c>
      <c r="C114" s="56" t="str">
        <f aca="false">IF('02 Glass'!$C$48="","",'02 Glass'!B48)</f>
        <v>Decorative &amp; Special</v>
      </c>
      <c r="D114" s="56" t="str">
        <f aca="false">IF('02 Glass'!$C$48="","",'02 Glass'!C48)</f>
        <v>Wired glass</v>
      </c>
      <c r="E114" s="56" t="str">
        <f aca="false">IF('02 Glass'!$C$48="","",'02 Glass'!D48)</f>
        <v>6.8 mm</v>
      </c>
      <c r="F114" s="56" t="str">
        <f aca="false">IF('02 Glass'!$C$48="","",'02 Glass'!E48)</f>
        <v>Clear</v>
      </c>
      <c r="G114" s="56" t="str">
        <f aca="false">IF('02 Glass'!$C$48="","",'02 Glass'!F48)</f>
        <v>Imported</v>
      </c>
      <c r="H114" s="57" t="str">
        <f aca="false">IF('02 Glass'!$C$48="","",'02 Glass'!G48)</f>
        <v>m2</v>
      </c>
      <c r="I114" s="58" t="n">
        <f aca="false">IF('02 Glass'!$C$48="","",'02 Glass'!J48)</f>
        <v>115.5</v>
      </c>
      <c r="J114" s="58" t="n">
        <f aca="false">IF('02 Glass'!$C$48="","",'02 Glass'!K48)</f>
        <v>138.6</v>
      </c>
      <c r="K114" s="58" t="n">
        <f aca="false">IF('02 Glass'!$C$48="","",'02 Glass'!L48)</f>
        <v>145.53</v>
      </c>
      <c r="L114" s="57" t="str">
        <f aca="false">IF('02 Glass'!$C$48="","",'02 Glass'!M48)</f>
        <v>Indicative</v>
      </c>
      <c r="M114" s="59" t="str">
        <f aca="false">IF(D114="","",IF(AND(OR(Search!$C$6="All Categories",A114=Search!$C$6),OR(Search!$P$5="",ISNUMBER(SEARCH(" "&amp;Search!$P$5,N114))),OR(Search!$P$6="",ISNUMBER(SEARCH(" "&amp;Search!$P$6,N114))),OR(Search!$P$7="",ISNUMBER(SEARCH(" "&amp;Search!$P$7,N114))),OR(Search!$P$8="",ISNUMBER(SEARCH(" "&amp;Search!$P$8,N114))),OR(Search!$P$9="",ISNUMBER(SEARCH(" "&amp;Search!$P$9,N114))),OR(Search!$P$10="",ISNUMBER(SEARCH(" "&amp;Search!$P$10,N114)))),ROW(),""))</f>
        <v/>
      </c>
      <c r="N114" s="0" t="str">
        <f aca="false">IF(D114="",""," "&amp;SUBSTITUTE(SUBSTITUTE(SUBSTITUTE(SUBSTITUTE(SUBSTITUTE(SUBSTITUTE(SUBSTITUTE(B114&amp;" "&amp;C114&amp;" "&amp;D114&amp;" "&amp;E114&amp;" "&amp;F114&amp;" "&amp;G114&amp;" "&amp;H114&amp;" "&amp;'02 Glass'!R48,"("," "),")"," "),"/"," "),"-"," "),","," "),";"," "),":"," ")&amp;" ")</f>
        <v> GL 044 Decorative &amp; Special Wired glass 6.8 mm Clear Imported m2 6.8mm stainless steel </v>
      </c>
    </row>
    <row r="115" customFormat="false" ht="22.35" hidden="false" customHeight="false" outlineLevel="0" collapsed="false">
      <c r="A115" s="56" t="str">
        <f aca="false">IF('02 Glass'!$C$49="","","Glass - Float, Tempered, Laminated &amp; DGU")</f>
        <v>Glass - Float, Tempered, Laminated &amp; DGU</v>
      </c>
      <c r="B115" s="57" t="str">
        <f aca="false">IF('02 Glass'!$C$49="","",'02 Glass'!A49)</f>
        <v>GL-045</v>
      </c>
      <c r="C115" s="56" t="str">
        <f aca="false">IF('02 Glass'!$C$49="","",'02 Glass'!B49)</f>
        <v>Decorative &amp; Special</v>
      </c>
      <c r="D115" s="56" t="str">
        <f aca="false">IF('02 Glass'!$C$49="","",'02 Glass'!C49)</f>
        <v>Anti-slip floor glass (laminated)</v>
      </c>
      <c r="E115" s="56" t="str">
        <f aca="false">IF('02 Glass'!$C$49="","",'02 Glass'!D49)</f>
        <v>21.52 mm, fritted top</v>
      </c>
      <c r="F115" s="56" t="str">
        <f aca="false">IF('02 Glass'!$C$49="","",'02 Glass'!E49)</f>
        <v>Anti-slip frit</v>
      </c>
      <c r="G115" s="56" t="str">
        <f aca="false">IF('02 Glass'!$C$49="","",'02 Glass'!F49)</f>
        <v>Local processor</v>
      </c>
      <c r="H115" s="57" t="str">
        <f aca="false">IF('02 Glass'!$C$49="","",'02 Glass'!G49)</f>
        <v>m2</v>
      </c>
      <c r="I115" s="58" t="n">
        <f aca="false">IF('02 Glass'!$C$49="","",'02 Glass'!J49)</f>
        <v>787.5</v>
      </c>
      <c r="J115" s="58" t="n">
        <f aca="false">IF('02 Glass'!$C$49="","",'02 Glass'!K49)</f>
        <v>945</v>
      </c>
      <c r="K115" s="58" t="n">
        <f aca="false">IF('02 Glass'!$C$49="","",'02 Glass'!L49)</f>
        <v>992.25</v>
      </c>
      <c r="L115" s="57" t="str">
        <f aca="false">IF('02 Glass'!$C$49="","",'02 Glass'!M49)</f>
        <v>Indicative</v>
      </c>
      <c r="M115" s="59" t="str">
        <f aca="false">IF(D115="","",IF(AND(OR(Search!$C$6="All Categories",A115=Search!$C$6),OR(Search!$P$5="",ISNUMBER(SEARCH(" "&amp;Search!$P$5,N115))),OR(Search!$P$6="",ISNUMBER(SEARCH(" "&amp;Search!$P$6,N115))),OR(Search!$P$7="",ISNUMBER(SEARCH(" "&amp;Search!$P$7,N115))),OR(Search!$P$8="",ISNUMBER(SEARCH(" "&amp;Search!$P$8,N115))),OR(Search!$P$9="",ISNUMBER(SEARCH(" "&amp;Search!$P$9,N115))),OR(Search!$P$10="",ISNUMBER(SEARCH(" "&amp;Search!$P$10,N115)))),ROW(),""))</f>
        <v/>
      </c>
      <c r="N115" s="0" t="str">
        <f aca="false">IF(D115="",""," "&amp;SUBSTITUTE(SUBSTITUTE(SUBSTITUTE(SUBSTITUTE(SUBSTITUTE(SUBSTITUTE(SUBSTITUTE(B115&amp;" "&amp;C115&amp;" "&amp;D115&amp;" "&amp;E115&amp;" "&amp;F115&amp;" "&amp;G115&amp;" "&amp;H115&amp;" "&amp;'02 Glass'!R49,"("," "),")"," "),"/"," "),"-"," "),","," "),";"," "),":"," ")&amp;" ")</f>
        <v> GL 045 Decorative &amp; Special Anti slip floor glass  laminated  21.52 mm  fritted top Anti slip frit Local processor m2 21.52mm lami stainless steel </v>
      </c>
    </row>
    <row r="116" customFormat="false" ht="22.35" hidden="false" customHeight="false" outlineLevel="0" collapsed="false">
      <c r="A116" s="56" t="str">
        <f aca="false">IF('02 Glass'!$C$50="","","Glass - Float, Tempered, Laminated &amp; DGU")</f>
        <v>Glass - Float, Tempered, Laminated &amp; DGU</v>
      </c>
      <c r="B116" s="57" t="str">
        <f aca="false">IF('02 Glass'!$C$50="","",'02 Glass'!A50)</f>
        <v>GL-046</v>
      </c>
      <c r="C116" s="56" t="str">
        <f aca="false">IF('02 Glass'!$C$50="","",'02 Glass'!B50)</f>
        <v>Fire-Rated</v>
      </c>
      <c r="D116" s="56" t="str">
        <f aca="false">IF('02 Glass'!$C$50="","",'02 Glass'!C50)</f>
        <v>Fire-rated glass - E30 (integrity)</v>
      </c>
      <c r="E116" s="56" t="str">
        <f aca="false">IF('02 Glass'!$C$50="","",'02 Glass'!D50)</f>
        <v>Approx. 6-8 mm</v>
      </c>
      <c r="F116" s="56" t="str">
        <f aca="false">IF('02 Glass'!$C$50="","",'02 Glass'!E50)</f>
        <v>Clear</v>
      </c>
      <c r="G116" s="56" t="str">
        <f aca="false">IF('02 Glass'!$C$50="","",'02 Glass'!F50)</f>
        <v>Pyrobel / Pyrostop / Equiv.</v>
      </c>
      <c r="H116" s="57" t="str">
        <f aca="false">IF('02 Glass'!$C$50="","",'02 Glass'!G50)</f>
        <v>m2</v>
      </c>
      <c r="I116" s="58" t="n">
        <f aca="false">IF('02 Glass'!$C$50="","",'02 Glass'!J50)</f>
        <v>945</v>
      </c>
      <c r="J116" s="58" t="n">
        <f aca="false">IF('02 Glass'!$C$50="","",'02 Glass'!K50)</f>
        <v>1134</v>
      </c>
      <c r="K116" s="58" t="n">
        <f aca="false">IF('02 Glass'!$C$50="","",'02 Glass'!L50)</f>
        <v>1190.7</v>
      </c>
      <c r="L116" s="57" t="str">
        <f aca="false">IF('02 Glass'!$C$50="","",'02 Glass'!M50)</f>
        <v>Indicative</v>
      </c>
      <c r="M116" s="59" t="str">
        <f aca="false">IF(D116="","",IF(AND(OR(Search!$C$6="All Categories",A116=Search!$C$6),OR(Search!$P$5="",ISNUMBER(SEARCH(" "&amp;Search!$P$5,N116))),OR(Search!$P$6="",ISNUMBER(SEARCH(" "&amp;Search!$P$6,N116))),OR(Search!$P$7="",ISNUMBER(SEARCH(" "&amp;Search!$P$7,N116))),OR(Search!$P$8="",ISNUMBER(SEARCH(" "&amp;Search!$P$8,N116))),OR(Search!$P$9="",ISNUMBER(SEARCH(" "&amp;Search!$P$9,N116))),OR(Search!$P$10="",ISNUMBER(SEARCH(" "&amp;Search!$P$10,N116)))),ROW(),""))</f>
        <v/>
      </c>
      <c r="N116" s="0" t="str">
        <f aca="false">IF(D116="",""," "&amp;SUBSTITUTE(SUBSTITUTE(SUBSTITUTE(SUBSTITUTE(SUBSTITUTE(SUBSTITUTE(SUBSTITUTE(B116&amp;" "&amp;C116&amp;" "&amp;D116&amp;" "&amp;E116&amp;" "&amp;F116&amp;" "&amp;G116&amp;" "&amp;H116&amp;" "&amp;'02 Glass'!R50,"("," "),")"," "),"/"," "),"-"," "),","," "),";"," "),":"," ")&amp;" ")</f>
        <v> GL 046 Fire Rated Fire rated glass   E30  integrity  Approx. 6 8 mm Clear Pyrobel   Pyrostop   Equiv. m2 8mm fire rated resistant stainless steel </v>
      </c>
    </row>
    <row r="117" customFormat="false" ht="22.35" hidden="false" customHeight="false" outlineLevel="0" collapsed="false">
      <c r="A117" s="56" t="str">
        <f aca="false">IF('02 Glass'!$C$51="","","Glass - Float, Tempered, Laminated &amp; DGU")</f>
        <v>Glass - Float, Tempered, Laminated &amp; DGU</v>
      </c>
      <c r="B117" s="57" t="str">
        <f aca="false">IF('02 Glass'!$C$51="","",'02 Glass'!A51)</f>
        <v>GL-047</v>
      </c>
      <c r="C117" s="56" t="str">
        <f aca="false">IF('02 Glass'!$C$51="","",'02 Glass'!B51)</f>
        <v>Fire-Rated</v>
      </c>
      <c r="D117" s="56" t="str">
        <f aca="false">IF('02 Glass'!$C$51="","",'02 Glass'!C51)</f>
        <v>Fire-rated glass - EI30 (insulated)</v>
      </c>
      <c r="E117" s="56" t="str">
        <f aca="false">IF('02 Glass'!$C$51="","",'02 Glass'!D51)</f>
        <v>Approx. 16-18 mm</v>
      </c>
      <c r="F117" s="56" t="str">
        <f aca="false">IF('02 Glass'!$C$51="","",'02 Glass'!E51)</f>
        <v>Clear</v>
      </c>
      <c r="G117" s="56" t="str">
        <f aca="false">IF('02 Glass'!$C$51="","",'02 Glass'!F51)</f>
        <v>Pyrobel / Pyrostop / Equiv.</v>
      </c>
      <c r="H117" s="57" t="str">
        <f aca="false">IF('02 Glass'!$C$51="","",'02 Glass'!G51)</f>
        <v>m2</v>
      </c>
      <c r="I117" s="58" t="n">
        <f aca="false">IF('02 Glass'!$C$51="","",'02 Glass'!J51)</f>
        <v>1680</v>
      </c>
      <c r="J117" s="58" t="n">
        <f aca="false">IF('02 Glass'!$C$51="","",'02 Glass'!K51)</f>
        <v>2016</v>
      </c>
      <c r="K117" s="58" t="n">
        <f aca="false">IF('02 Glass'!$C$51="","",'02 Glass'!L51)</f>
        <v>2116.8</v>
      </c>
      <c r="L117" s="57" t="str">
        <f aca="false">IF('02 Glass'!$C$51="","",'02 Glass'!M51)</f>
        <v>Indicative</v>
      </c>
      <c r="M117" s="59" t="str">
        <f aca="false">IF(D117="","",IF(AND(OR(Search!$C$6="All Categories",A117=Search!$C$6),OR(Search!$P$5="",ISNUMBER(SEARCH(" "&amp;Search!$P$5,N117))),OR(Search!$P$6="",ISNUMBER(SEARCH(" "&amp;Search!$P$6,N117))),OR(Search!$P$7="",ISNUMBER(SEARCH(" "&amp;Search!$P$7,N117))),OR(Search!$P$8="",ISNUMBER(SEARCH(" "&amp;Search!$P$8,N117))),OR(Search!$P$9="",ISNUMBER(SEARCH(" "&amp;Search!$P$9,N117))),OR(Search!$P$10="",ISNUMBER(SEARCH(" "&amp;Search!$P$10,N117)))),ROW(),""))</f>
        <v/>
      </c>
      <c r="N117" s="0" t="str">
        <f aca="false">IF(D117="",""," "&amp;SUBSTITUTE(SUBSTITUTE(SUBSTITUTE(SUBSTITUTE(SUBSTITUTE(SUBSTITUTE(SUBSTITUTE(B117&amp;" "&amp;C117&amp;" "&amp;D117&amp;" "&amp;E117&amp;" "&amp;F117&amp;" "&amp;G117&amp;" "&amp;H117&amp;" "&amp;'02 Glass'!R51,"("," "),")"," "),"/"," "),"-"," "),","," "),";"," "),":"," ")&amp;" ")</f>
        <v> GL 047 Fire Rated Fire rated glass   EI30  insulated  Approx. 16 18 mm Clear Pyrobel   Pyrostop   Equiv. m2 18mm fire rated resistant stainless steel </v>
      </c>
    </row>
    <row r="118" customFormat="false" ht="22.35" hidden="false" customHeight="false" outlineLevel="0" collapsed="false">
      <c r="A118" s="56" t="str">
        <f aca="false">IF('02 Glass'!$C$52="","","Glass - Float, Tempered, Laminated &amp; DGU")</f>
        <v>Glass - Float, Tempered, Laminated &amp; DGU</v>
      </c>
      <c r="B118" s="57" t="str">
        <f aca="false">IF('02 Glass'!$C$52="","",'02 Glass'!A52)</f>
        <v>GL-048</v>
      </c>
      <c r="C118" s="56" t="str">
        <f aca="false">IF('02 Glass'!$C$52="","",'02 Glass'!B52)</f>
        <v>Fire-Rated</v>
      </c>
      <c r="D118" s="56" t="str">
        <f aca="false">IF('02 Glass'!$C$52="","",'02 Glass'!C52)</f>
        <v>Fire-rated glass - EI60 (insulated)</v>
      </c>
      <c r="E118" s="56" t="str">
        <f aca="false">IF('02 Glass'!$C$52="","",'02 Glass'!D52)</f>
        <v>Approx. 23-27 mm</v>
      </c>
      <c r="F118" s="56" t="str">
        <f aca="false">IF('02 Glass'!$C$52="","",'02 Glass'!E52)</f>
        <v>Clear</v>
      </c>
      <c r="G118" s="56" t="str">
        <f aca="false">IF('02 Glass'!$C$52="","",'02 Glass'!F52)</f>
        <v>Pyrobel / Pyrostop / Equiv.</v>
      </c>
      <c r="H118" s="57" t="str">
        <f aca="false">IF('02 Glass'!$C$52="","",'02 Glass'!G52)</f>
        <v>m2</v>
      </c>
      <c r="I118" s="58" t="n">
        <f aca="false">IF('02 Glass'!$C$52="","",'02 Glass'!J52)</f>
        <v>2520</v>
      </c>
      <c r="J118" s="58" t="n">
        <f aca="false">IF('02 Glass'!$C$52="","",'02 Glass'!K52)</f>
        <v>3024</v>
      </c>
      <c r="K118" s="58" t="n">
        <f aca="false">IF('02 Glass'!$C$52="","",'02 Glass'!L52)</f>
        <v>3175.2</v>
      </c>
      <c r="L118" s="57" t="str">
        <f aca="false">IF('02 Glass'!$C$52="","",'02 Glass'!M52)</f>
        <v>Indicative</v>
      </c>
      <c r="M118" s="59" t="str">
        <f aca="false">IF(D118="","",IF(AND(OR(Search!$C$6="All Categories",A118=Search!$C$6),OR(Search!$P$5="",ISNUMBER(SEARCH(" "&amp;Search!$P$5,N118))),OR(Search!$P$6="",ISNUMBER(SEARCH(" "&amp;Search!$P$6,N118))),OR(Search!$P$7="",ISNUMBER(SEARCH(" "&amp;Search!$P$7,N118))),OR(Search!$P$8="",ISNUMBER(SEARCH(" "&amp;Search!$P$8,N118))),OR(Search!$P$9="",ISNUMBER(SEARCH(" "&amp;Search!$P$9,N118))),OR(Search!$P$10="",ISNUMBER(SEARCH(" "&amp;Search!$P$10,N118)))),ROW(),""))</f>
        <v/>
      </c>
      <c r="N118" s="0" t="str">
        <f aca="false">IF(D118="",""," "&amp;SUBSTITUTE(SUBSTITUTE(SUBSTITUTE(SUBSTITUTE(SUBSTITUTE(SUBSTITUTE(SUBSTITUTE(B118&amp;" "&amp;C118&amp;" "&amp;D118&amp;" "&amp;E118&amp;" "&amp;F118&amp;" "&amp;G118&amp;" "&amp;H118&amp;" "&amp;'02 Glass'!R52,"("," "),")"," "),"/"," "),"-"," "),","," "),";"," "),":"," ")&amp;" ")</f>
        <v> GL 048 Fire Rated Fire rated glass   EI60  insulated  Approx. 23 27 mm Clear Pyrobel   Pyrostop   Equiv. m2 27mm fire rated resistant stainless steel </v>
      </c>
    </row>
    <row r="119" customFormat="false" ht="22.35" hidden="false" customHeight="false" outlineLevel="0" collapsed="false">
      <c r="A119" s="56" t="str">
        <f aca="false">IF('02 Glass'!$C$53="","","Glass - Float, Tempered, Laminated &amp; DGU")</f>
        <v>Glass - Float, Tempered, Laminated &amp; DGU</v>
      </c>
      <c r="B119" s="57" t="str">
        <f aca="false">IF('02 Glass'!$C$53="","",'02 Glass'!A53)</f>
        <v>GL-049</v>
      </c>
      <c r="C119" s="56" t="str">
        <f aca="false">IF('02 Glass'!$C$53="","",'02 Glass'!B53)</f>
        <v>Fire-Rated</v>
      </c>
      <c r="D119" s="56" t="str">
        <f aca="false">IF('02 Glass'!$C$53="","",'02 Glass'!C53)</f>
        <v>Fire-rated glass - EI90/120</v>
      </c>
      <c r="E119" s="56" t="str">
        <f aca="false">IF('02 Glass'!$C$53="","",'02 Glass'!D53)</f>
        <v>Approx. 37-50 mm</v>
      </c>
      <c r="F119" s="56" t="str">
        <f aca="false">IF('02 Glass'!$C$53="","",'02 Glass'!E53)</f>
        <v>Clear</v>
      </c>
      <c r="G119" s="56" t="str">
        <f aca="false">IF('02 Glass'!$C$53="","",'02 Glass'!F53)</f>
        <v>Pyrobel / Pyrostop / Equiv.</v>
      </c>
      <c r="H119" s="57" t="str">
        <f aca="false">IF('02 Glass'!$C$53="","",'02 Glass'!G53)</f>
        <v>m2</v>
      </c>
      <c r="I119" s="58" t="n">
        <f aca="false">IF('02 Glass'!$C$53="","",'02 Glass'!J53)</f>
        <v>3990</v>
      </c>
      <c r="J119" s="58" t="n">
        <f aca="false">IF('02 Glass'!$C$53="","",'02 Glass'!K53)</f>
        <v>4788</v>
      </c>
      <c r="K119" s="58" t="n">
        <f aca="false">IF('02 Glass'!$C$53="","",'02 Glass'!L53)</f>
        <v>5027.4</v>
      </c>
      <c r="L119" s="57" t="str">
        <f aca="false">IF('02 Glass'!$C$53="","",'02 Glass'!M53)</f>
        <v>Indicative</v>
      </c>
      <c r="M119" s="59" t="str">
        <f aca="false">IF(D119="","",IF(AND(OR(Search!$C$6="All Categories",A119=Search!$C$6),OR(Search!$P$5="",ISNUMBER(SEARCH(" "&amp;Search!$P$5,N119))),OR(Search!$P$6="",ISNUMBER(SEARCH(" "&amp;Search!$P$6,N119))),OR(Search!$P$7="",ISNUMBER(SEARCH(" "&amp;Search!$P$7,N119))),OR(Search!$P$8="",ISNUMBER(SEARCH(" "&amp;Search!$P$8,N119))),OR(Search!$P$9="",ISNUMBER(SEARCH(" "&amp;Search!$P$9,N119))),OR(Search!$P$10="",ISNUMBER(SEARCH(" "&amp;Search!$P$10,N119)))),ROW(),""))</f>
        <v/>
      </c>
      <c r="N119" s="0" t="str">
        <f aca="false">IF(D119="",""," "&amp;SUBSTITUTE(SUBSTITUTE(SUBSTITUTE(SUBSTITUTE(SUBSTITUTE(SUBSTITUTE(SUBSTITUTE(B119&amp;" "&amp;C119&amp;" "&amp;D119&amp;" "&amp;E119&amp;" "&amp;F119&amp;" "&amp;G119&amp;" "&amp;H119&amp;" "&amp;'02 Glass'!R53,"("," "),")"," "),"/"," "),"-"," "),","," "),";"," "),":"," ")&amp;" ")</f>
        <v> GL 049 Fire Rated Fire rated glass   EI90 120 Approx. 37 50 mm Clear Pyrobel   Pyrostop   Equiv. m2 50mm fire rated resistant stainless steel </v>
      </c>
    </row>
    <row r="120" customFormat="false" ht="22.35" hidden="false" customHeight="false" outlineLevel="0" collapsed="false">
      <c r="A120" s="56" t="str">
        <f aca="false">IF('02 Glass'!$C$54="","","Glass - Float, Tempered, Laminated &amp; DGU")</f>
        <v>Glass - Float, Tempered, Laminated &amp; DGU</v>
      </c>
      <c r="B120" s="57" t="str">
        <f aca="false">IF('02 Glass'!$C$54="","",'02 Glass'!A54)</f>
        <v>GL-050</v>
      </c>
      <c r="C120" s="56" t="str">
        <f aca="false">IF('02 Glass'!$C$54="","",'02 Glass'!B54)</f>
        <v>Polycarbonate &amp; Acrylic</v>
      </c>
      <c r="D120" s="56" t="str">
        <f aca="false">IF('02 Glass'!$C$54="","",'02 Glass'!C54)</f>
        <v>Polycarbonate multiwall sheet</v>
      </c>
      <c r="E120" s="56" t="str">
        <f aca="false">IF('02 Glass'!$C$54="","",'02 Glass'!D54)</f>
        <v>10 mm twin wall</v>
      </c>
      <c r="F120" s="56" t="str">
        <f aca="false">IF('02 Glass'!$C$54="","",'02 Glass'!E54)</f>
        <v>Clear / Opal / Bronze</v>
      </c>
      <c r="G120" s="56" t="str">
        <f aca="false">IF('02 Glass'!$C$54="","",'02 Glass'!F54)</f>
        <v>Imported</v>
      </c>
      <c r="H120" s="57" t="str">
        <f aca="false">IF('02 Glass'!$C$54="","",'02 Glass'!G54)</f>
        <v>m2</v>
      </c>
      <c r="I120" s="58" t="n">
        <f aca="false">IF('02 Glass'!$C$54="","",'02 Glass'!J54)</f>
        <v>57.75</v>
      </c>
      <c r="J120" s="58" t="n">
        <f aca="false">IF('02 Glass'!$C$54="","",'02 Glass'!K54)</f>
        <v>69.3</v>
      </c>
      <c r="K120" s="58" t="n">
        <f aca="false">IF('02 Glass'!$C$54="","",'02 Glass'!L54)</f>
        <v>72.77</v>
      </c>
      <c r="L120" s="57" t="str">
        <f aca="false">IF('02 Glass'!$C$54="","",'02 Glass'!M54)</f>
        <v>Indicative</v>
      </c>
      <c r="M120" s="59" t="str">
        <f aca="false">IF(D120="","",IF(AND(OR(Search!$C$6="All Categories",A120=Search!$C$6),OR(Search!$P$5="",ISNUMBER(SEARCH(" "&amp;Search!$P$5,N120))),OR(Search!$P$6="",ISNUMBER(SEARCH(" "&amp;Search!$P$6,N120))),OR(Search!$P$7="",ISNUMBER(SEARCH(" "&amp;Search!$P$7,N120))),OR(Search!$P$8="",ISNUMBER(SEARCH(" "&amp;Search!$P$8,N120))),OR(Search!$P$9="",ISNUMBER(SEARCH(" "&amp;Search!$P$9,N120))),OR(Search!$P$10="",ISNUMBER(SEARCH(" "&amp;Search!$P$10,N120)))),ROW(),""))</f>
        <v/>
      </c>
      <c r="N120" s="0" t="str">
        <f aca="false">IF(D120="",""," "&amp;SUBSTITUTE(SUBSTITUTE(SUBSTITUTE(SUBSTITUTE(SUBSTITUTE(SUBSTITUTE(SUBSTITUTE(B120&amp;" "&amp;C120&amp;" "&amp;D120&amp;" "&amp;E120&amp;" "&amp;F120&amp;" "&amp;G120&amp;" "&amp;H120&amp;" "&amp;'02 Glass'!R54,"("," "),")"," "),"/"," "),"-"," "),","," "),";"," "),":"," ")&amp;" ")</f>
        <v> GL 050 Polycarbonate &amp; Acrylic Polycarbonate multiwall sheet 10 mm twin wall Clear   Opal   Bronze Imported m2 10mm pc sheet </v>
      </c>
    </row>
    <row r="121" customFormat="false" ht="22.35" hidden="false" customHeight="false" outlineLevel="0" collapsed="false">
      <c r="A121" s="56" t="str">
        <f aca="false">IF('02 Glass'!$C$55="","","Glass - Float, Tempered, Laminated &amp; DGU")</f>
        <v>Glass - Float, Tempered, Laminated &amp; DGU</v>
      </c>
      <c r="B121" s="57" t="str">
        <f aca="false">IF('02 Glass'!$C$55="","",'02 Glass'!A55)</f>
        <v>GL-051</v>
      </c>
      <c r="C121" s="56" t="str">
        <f aca="false">IF('02 Glass'!$C$55="","",'02 Glass'!B55)</f>
        <v>Polycarbonate &amp; Acrylic</v>
      </c>
      <c r="D121" s="56" t="str">
        <f aca="false">IF('02 Glass'!$C$55="","",'02 Glass'!C55)</f>
        <v>Polycarbonate multiwall sheet</v>
      </c>
      <c r="E121" s="56" t="str">
        <f aca="false">IF('02 Glass'!$C$55="","",'02 Glass'!D55)</f>
        <v>16 mm multiwall</v>
      </c>
      <c r="F121" s="56" t="str">
        <f aca="false">IF('02 Glass'!$C$55="","",'02 Glass'!E55)</f>
        <v>Clear / Opal</v>
      </c>
      <c r="G121" s="56" t="str">
        <f aca="false">IF('02 Glass'!$C$55="","",'02 Glass'!F55)</f>
        <v>Imported</v>
      </c>
      <c r="H121" s="57" t="str">
        <f aca="false">IF('02 Glass'!$C$55="","",'02 Glass'!G55)</f>
        <v>m2</v>
      </c>
      <c r="I121" s="58" t="n">
        <f aca="false">IF('02 Glass'!$C$55="","",'02 Glass'!J55)</f>
        <v>89.25</v>
      </c>
      <c r="J121" s="58" t="n">
        <f aca="false">IF('02 Glass'!$C$55="","",'02 Glass'!K55)</f>
        <v>107.1</v>
      </c>
      <c r="K121" s="58" t="n">
        <f aca="false">IF('02 Glass'!$C$55="","",'02 Glass'!L55)</f>
        <v>112.46</v>
      </c>
      <c r="L121" s="57" t="str">
        <f aca="false">IF('02 Glass'!$C$55="","",'02 Glass'!M55)</f>
        <v>Indicative</v>
      </c>
      <c r="M121" s="59" t="str">
        <f aca="false">IF(D121="","",IF(AND(OR(Search!$C$6="All Categories",A121=Search!$C$6),OR(Search!$P$5="",ISNUMBER(SEARCH(" "&amp;Search!$P$5,N121))),OR(Search!$P$6="",ISNUMBER(SEARCH(" "&amp;Search!$P$6,N121))),OR(Search!$P$7="",ISNUMBER(SEARCH(" "&amp;Search!$P$7,N121))),OR(Search!$P$8="",ISNUMBER(SEARCH(" "&amp;Search!$P$8,N121))),OR(Search!$P$9="",ISNUMBER(SEARCH(" "&amp;Search!$P$9,N121))),OR(Search!$P$10="",ISNUMBER(SEARCH(" "&amp;Search!$P$10,N121)))),ROW(),""))</f>
        <v/>
      </c>
      <c r="N121" s="0" t="str">
        <f aca="false">IF(D121="",""," "&amp;SUBSTITUTE(SUBSTITUTE(SUBSTITUTE(SUBSTITUTE(SUBSTITUTE(SUBSTITUTE(SUBSTITUTE(B121&amp;" "&amp;C121&amp;" "&amp;D121&amp;" "&amp;E121&amp;" "&amp;F121&amp;" "&amp;G121&amp;" "&amp;H121&amp;" "&amp;'02 Glass'!R55,"("," "),")"," "),"/"," "),"-"," "),","," "),";"," "),":"," ")&amp;" ")</f>
        <v> GL 051 Polycarbonate &amp; Acrylic Polycarbonate multiwall sheet 16 mm multiwall Clear   Opal Imported m2 16mm pc sheet </v>
      </c>
    </row>
    <row r="122" customFormat="false" ht="22.35" hidden="false" customHeight="false" outlineLevel="0" collapsed="false">
      <c r="A122" s="56" t="str">
        <f aca="false">IF('02 Glass'!$C$56="","","Glass - Float, Tempered, Laminated &amp; DGU")</f>
        <v>Glass - Float, Tempered, Laminated &amp; DGU</v>
      </c>
      <c r="B122" s="57" t="str">
        <f aca="false">IF('02 Glass'!$C$56="","",'02 Glass'!A56)</f>
        <v>GL-052</v>
      </c>
      <c r="C122" s="56" t="str">
        <f aca="false">IF('02 Glass'!$C$56="","",'02 Glass'!B56)</f>
        <v>Polycarbonate &amp; Acrylic</v>
      </c>
      <c r="D122" s="56" t="str">
        <f aca="false">IF('02 Glass'!$C$56="","",'02 Glass'!C56)</f>
        <v>Polycarbonate solid sheet</v>
      </c>
      <c r="E122" s="56" t="str">
        <f aca="false">IF('02 Glass'!$C$56="","",'02 Glass'!D56)</f>
        <v>6 mm</v>
      </c>
      <c r="F122" s="56" t="str">
        <f aca="false">IF('02 Glass'!$C$56="","",'02 Glass'!E56)</f>
        <v>Clear / Bronze</v>
      </c>
      <c r="G122" s="56" t="str">
        <f aca="false">IF('02 Glass'!$C$56="","",'02 Glass'!F56)</f>
        <v>Imported</v>
      </c>
      <c r="H122" s="57" t="str">
        <f aca="false">IF('02 Glass'!$C$56="","",'02 Glass'!G56)</f>
        <v>m2</v>
      </c>
      <c r="I122" s="58" t="n">
        <f aca="false">IF('02 Glass'!$C$56="","",'02 Glass'!J56)</f>
        <v>168</v>
      </c>
      <c r="J122" s="58" t="n">
        <f aca="false">IF('02 Glass'!$C$56="","",'02 Glass'!K56)</f>
        <v>201.6</v>
      </c>
      <c r="K122" s="58" t="n">
        <f aca="false">IF('02 Glass'!$C$56="","",'02 Glass'!L56)</f>
        <v>211.68</v>
      </c>
      <c r="L122" s="57" t="str">
        <f aca="false">IF('02 Glass'!$C$56="","",'02 Glass'!M56)</f>
        <v>Indicative</v>
      </c>
      <c r="M122" s="59" t="str">
        <f aca="false">IF(D122="","",IF(AND(OR(Search!$C$6="All Categories",A122=Search!$C$6),OR(Search!$P$5="",ISNUMBER(SEARCH(" "&amp;Search!$P$5,N122))),OR(Search!$P$6="",ISNUMBER(SEARCH(" "&amp;Search!$P$6,N122))),OR(Search!$P$7="",ISNUMBER(SEARCH(" "&amp;Search!$P$7,N122))),OR(Search!$P$8="",ISNUMBER(SEARCH(" "&amp;Search!$P$8,N122))),OR(Search!$P$9="",ISNUMBER(SEARCH(" "&amp;Search!$P$9,N122))),OR(Search!$P$10="",ISNUMBER(SEARCH(" "&amp;Search!$P$10,N122)))),ROW(),""))</f>
        <v/>
      </c>
      <c r="N122" s="0" t="str">
        <f aca="false">IF(D122="",""," "&amp;SUBSTITUTE(SUBSTITUTE(SUBSTITUTE(SUBSTITUTE(SUBSTITUTE(SUBSTITUTE(SUBSTITUTE(B122&amp;" "&amp;C122&amp;" "&amp;D122&amp;" "&amp;E122&amp;" "&amp;F122&amp;" "&amp;G122&amp;" "&amp;H122&amp;" "&amp;'02 Glass'!R56,"("," "),")"," "),"/"," "),"-"," "),","," "),";"," "),":"," ")&amp;" ")</f>
        <v> GL 052 Polycarbonate &amp; Acrylic Polycarbonate solid sheet 6 mm Clear   Bronze Imported m2 6mm pc sheet </v>
      </c>
    </row>
    <row r="123" customFormat="false" ht="22.35" hidden="false" customHeight="false" outlineLevel="0" collapsed="false">
      <c r="A123" s="56" t="str">
        <f aca="false">IF('02 Glass'!$C$57="","","Glass - Float, Tempered, Laminated &amp; DGU")</f>
        <v>Glass - Float, Tempered, Laminated &amp; DGU</v>
      </c>
      <c r="B123" s="57" t="str">
        <f aca="false">IF('02 Glass'!$C$57="","",'02 Glass'!A57)</f>
        <v>GL-053</v>
      </c>
      <c r="C123" s="56" t="str">
        <f aca="false">IF('02 Glass'!$C$57="","",'02 Glass'!B57)</f>
        <v>Polycarbonate &amp; Acrylic</v>
      </c>
      <c r="D123" s="56" t="str">
        <f aca="false">IF('02 Glass'!$C$57="","",'02 Glass'!C57)</f>
        <v>Polycarbonate solid sheet</v>
      </c>
      <c r="E123" s="56" t="str">
        <f aca="false">IF('02 Glass'!$C$57="","",'02 Glass'!D57)</f>
        <v>10 mm</v>
      </c>
      <c r="F123" s="56" t="str">
        <f aca="false">IF('02 Glass'!$C$57="","",'02 Glass'!E57)</f>
        <v>Clear</v>
      </c>
      <c r="G123" s="56" t="str">
        <f aca="false">IF('02 Glass'!$C$57="","",'02 Glass'!F57)</f>
        <v>Imported</v>
      </c>
      <c r="H123" s="57" t="str">
        <f aca="false">IF('02 Glass'!$C$57="","",'02 Glass'!G57)</f>
        <v>m2</v>
      </c>
      <c r="I123" s="58" t="n">
        <f aca="false">IF('02 Glass'!$C$57="","",'02 Glass'!J57)</f>
        <v>273</v>
      </c>
      <c r="J123" s="58" t="n">
        <f aca="false">IF('02 Glass'!$C$57="","",'02 Glass'!K57)</f>
        <v>327.6</v>
      </c>
      <c r="K123" s="58" t="n">
        <f aca="false">IF('02 Glass'!$C$57="","",'02 Glass'!L57)</f>
        <v>343.98</v>
      </c>
      <c r="L123" s="57" t="str">
        <f aca="false">IF('02 Glass'!$C$57="","",'02 Glass'!M57)</f>
        <v>Indicative</v>
      </c>
      <c r="M123" s="59" t="str">
        <f aca="false">IF(D123="","",IF(AND(OR(Search!$C$6="All Categories",A123=Search!$C$6),OR(Search!$P$5="",ISNUMBER(SEARCH(" "&amp;Search!$P$5,N123))),OR(Search!$P$6="",ISNUMBER(SEARCH(" "&amp;Search!$P$6,N123))),OR(Search!$P$7="",ISNUMBER(SEARCH(" "&amp;Search!$P$7,N123))),OR(Search!$P$8="",ISNUMBER(SEARCH(" "&amp;Search!$P$8,N123))),OR(Search!$P$9="",ISNUMBER(SEARCH(" "&amp;Search!$P$9,N123))),OR(Search!$P$10="",ISNUMBER(SEARCH(" "&amp;Search!$P$10,N123)))),ROW(),""))</f>
        <v/>
      </c>
      <c r="N123" s="0" t="str">
        <f aca="false">IF(D123="",""," "&amp;SUBSTITUTE(SUBSTITUTE(SUBSTITUTE(SUBSTITUTE(SUBSTITUTE(SUBSTITUTE(SUBSTITUTE(B123&amp;" "&amp;C123&amp;" "&amp;D123&amp;" "&amp;E123&amp;" "&amp;F123&amp;" "&amp;G123&amp;" "&amp;H123&amp;" "&amp;'02 Glass'!R57,"("," "),")"," "),"/"," "),"-"," "),","," "),";"," "),":"," ")&amp;" ")</f>
        <v> GL 053 Polycarbonate &amp; Acrylic Polycarbonate solid sheet 10 mm Clear Imported m2 10mm pc sheet </v>
      </c>
    </row>
    <row r="124" customFormat="false" ht="22.35" hidden="false" customHeight="false" outlineLevel="0" collapsed="false">
      <c r="A124" s="56" t="str">
        <f aca="false">IF('02 Glass'!$C$58="","","Glass - Float, Tempered, Laminated &amp; DGU")</f>
        <v>Glass - Float, Tempered, Laminated &amp; DGU</v>
      </c>
      <c r="B124" s="57" t="str">
        <f aca="false">IF('02 Glass'!$C$58="","",'02 Glass'!A58)</f>
        <v>GL-054</v>
      </c>
      <c r="C124" s="56" t="str">
        <f aca="false">IF('02 Glass'!$C$58="","",'02 Glass'!B58)</f>
        <v>Polycarbonate &amp; Acrylic</v>
      </c>
      <c r="D124" s="56" t="str">
        <f aca="false">IF('02 Glass'!$C$58="","",'02 Glass'!C58)</f>
        <v>Acrylic (PMMA) sheet</v>
      </c>
      <c r="E124" s="56" t="str">
        <f aca="false">IF('02 Glass'!$C$58="","",'02 Glass'!D58)</f>
        <v>5 mm</v>
      </c>
      <c r="F124" s="56" t="str">
        <f aca="false">IF('02 Glass'!$C$58="","",'02 Glass'!E58)</f>
        <v>Clear / Opal</v>
      </c>
      <c r="G124" s="56" t="str">
        <f aca="false">IF('02 Glass'!$C$58="","",'02 Glass'!F58)</f>
        <v>Imported</v>
      </c>
      <c r="H124" s="57" t="str">
        <f aca="false">IF('02 Glass'!$C$58="","",'02 Glass'!G58)</f>
        <v>m2</v>
      </c>
      <c r="I124" s="58" t="n">
        <f aca="false">IF('02 Glass'!$C$58="","",'02 Glass'!J58)</f>
        <v>147</v>
      </c>
      <c r="J124" s="58" t="n">
        <f aca="false">IF('02 Glass'!$C$58="","",'02 Glass'!K58)</f>
        <v>176.4</v>
      </c>
      <c r="K124" s="58" t="n">
        <f aca="false">IF('02 Glass'!$C$58="","",'02 Glass'!L58)</f>
        <v>185.22</v>
      </c>
      <c r="L124" s="57" t="str">
        <f aca="false">IF('02 Glass'!$C$58="","",'02 Glass'!M58)</f>
        <v>Indicative</v>
      </c>
      <c r="M124" s="59" t="str">
        <f aca="false">IF(D124="","",IF(AND(OR(Search!$C$6="All Categories",A124=Search!$C$6),OR(Search!$P$5="",ISNUMBER(SEARCH(" "&amp;Search!$P$5,N124))),OR(Search!$P$6="",ISNUMBER(SEARCH(" "&amp;Search!$P$6,N124))),OR(Search!$P$7="",ISNUMBER(SEARCH(" "&amp;Search!$P$7,N124))),OR(Search!$P$8="",ISNUMBER(SEARCH(" "&amp;Search!$P$8,N124))),OR(Search!$P$9="",ISNUMBER(SEARCH(" "&amp;Search!$P$9,N124))),OR(Search!$P$10="",ISNUMBER(SEARCH(" "&amp;Search!$P$10,N124)))),ROW(),""))</f>
        <v/>
      </c>
      <c r="N124" s="0" t="str">
        <f aca="false">IF(D124="",""," "&amp;SUBSTITUTE(SUBSTITUTE(SUBSTITUTE(SUBSTITUTE(SUBSTITUTE(SUBSTITUTE(SUBSTITUTE(B124&amp;" "&amp;C124&amp;" "&amp;D124&amp;" "&amp;E124&amp;" "&amp;F124&amp;" "&amp;G124&amp;" "&amp;H124&amp;" "&amp;'02 Glass'!R58,"("," "),")"," "),"/"," "),"-"," "),","," "),";"," "),":"," ")&amp;" ")</f>
        <v> GL 054 Polycarbonate &amp; Acrylic Acrylic  PMMA  sheet 5 mm Clear   Opal Imported m2 5mm pc sheet </v>
      </c>
    </row>
    <row r="125" customFormat="false" ht="15" hidden="false" customHeight="false" outlineLevel="0" collapsed="false">
      <c r="A125" s="56" t="str">
        <f aca="false">IF('02 Glass'!$C$59="","","Glass - Float, Tempered, Laminated &amp; DGU")</f>
        <v/>
      </c>
      <c r="B125" s="57" t="str">
        <f aca="false">IF('02 Glass'!$C$59="","",'02 Glass'!A59)</f>
        <v/>
      </c>
      <c r="C125" s="56" t="str">
        <f aca="false">IF('02 Glass'!$C$59="","",'02 Glass'!B59)</f>
        <v/>
      </c>
      <c r="D125" s="56" t="str">
        <f aca="false">IF('02 Glass'!$C$59="","",'02 Glass'!C59)</f>
        <v/>
      </c>
      <c r="E125" s="56" t="str">
        <f aca="false">IF('02 Glass'!$C$59="","",'02 Glass'!D59)</f>
        <v/>
      </c>
      <c r="F125" s="56" t="str">
        <f aca="false">IF('02 Glass'!$C$59="","",'02 Glass'!E59)</f>
        <v/>
      </c>
      <c r="G125" s="56" t="str">
        <f aca="false">IF('02 Glass'!$C$59="","",'02 Glass'!F59)</f>
        <v/>
      </c>
      <c r="H125" s="57" t="str">
        <f aca="false">IF('02 Glass'!$C$59="","",'02 Glass'!G59)</f>
        <v/>
      </c>
      <c r="I125" s="58" t="str">
        <f aca="false">IF('02 Glass'!$C$59="","",'02 Glass'!J59)</f>
        <v/>
      </c>
      <c r="J125" s="58" t="str">
        <f aca="false">IF('02 Glass'!$C$59="","",'02 Glass'!K59)</f>
        <v/>
      </c>
      <c r="K125" s="58" t="str">
        <f aca="false">IF('02 Glass'!$C$59="","",'02 Glass'!L59)</f>
        <v/>
      </c>
      <c r="L125" s="57" t="str">
        <f aca="false">IF('02 Glass'!$C$59="","",'02 Glass'!M59)</f>
        <v/>
      </c>
      <c r="M125" s="59" t="str">
        <f aca="false">IF(D125="","",IF(AND(OR(Search!$C$6="All Categories",A125=Search!$C$6),OR(Search!$P$5="",ISNUMBER(SEARCH(" "&amp;Search!$P$5,N125))),OR(Search!$P$6="",ISNUMBER(SEARCH(" "&amp;Search!$P$6,N125))),OR(Search!$P$7="",ISNUMBER(SEARCH(" "&amp;Search!$P$7,N125))),OR(Search!$P$8="",ISNUMBER(SEARCH(" "&amp;Search!$P$8,N125))),OR(Search!$P$9="",ISNUMBER(SEARCH(" "&amp;Search!$P$9,N125))),OR(Search!$P$10="",ISNUMBER(SEARCH(" "&amp;Search!$P$10,N125)))),ROW(),""))</f>
        <v/>
      </c>
      <c r="N125" s="0" t="str">
        <f aca="false">IF(D125="",""," "&amp;SUBSTITUTE(SUBSTITUTE(SUBSTITUTE(SUBSTITUTE(SUBSTITUTE(SUBSTITUTE(SUBSTITUTE(B125&amp;" "&amp;C125&amp;" "&amp;D125&amp;" "&amp;E125&amp;" "&amp;F125&amp;" "&amp;G125&amp;" "&amp;H125&amp;" "&amp;'02 Glass'!R59,"("," "),")"," "),"/"," "),"-"," "),","," "),";"," "),":"," ")&amp;" ")</f>
        <v/>
      </c>
    </row>
    <row r="126" customFormat="false" ht="15" hidden="false" customHeight="false" outlineLevel="0" collapsed="false">
      <c r="A126" s="56" t="str">
        <f aca="false">IF('02 Glass'!$C$60="","","Glass - Float, Tempered, Laminated &amp; DGU")</f>
        <v/>
      </c>
      <c r="B126" s="57" t="str">
        <f aca="false">IF('02 Glass'!$C$60="","",'02 Glass'!A60)</f>
        <v/>
      </c>
      <c r="C126" s="56" t="str">
        <f aca="false">IF('02 Glass'!$C$60="","",'02 Glass'!B60)</f>
        <v/>
      </c>
      <c r="D126" s="56" t="str">
        <f aca="false">IF('02 Glass'!$C$60="","",'02 Glass'!C60)</f>
        <v/>
      </c>
      <c r="E126" s="56" t="str">
        <f aca="false">IF('02 Glass'!$C$60="","",'02 Glass'!D60)</f>
        <v/>
      </c>
      <c r="F126" s="56" t="str">
        <f aca="false">IF('02 Glass'!$C$60="","",'02 Glass'!E60)</f>
        <v/>
      </c>
      <c r="G126" s="56" t="str">
        <f aca="false">IF('02 Glass'!$C$60="","",'02 Glass'!F60)</f>
        <v/>
      </c>
      <c r="H126" s="57" t="str">
        <f aca="false">IF('02 Glass'!$C$60="","",'02 Glass'!G60)</f>
        <v/>
      </c>
      <c r="I126" s="58" t="str">
        <f aca="false">IF('02 Glass'!$C$60="","",'02 Glass'!J60)</f>
        <v/>
      </c>
      <c r="J126" s="58" t="str">
        <f aca="false">IF('02 Glass'!$C$60="","",'02 Glass'!K60)</f>
        <v/>
      </c>
      <c r="K126" s="58" t="str">
        <f aca="false">IF('02 Glass'!$C$60="","",'02 Glass'!L60)</f>
        <v/>
      </c>
      <c r="L126" s="57" t="str">
        <f aca="false">IF('02 Glass'!$C$60="","",'02 Glass'!M60)</f>
        <v/>
      </c>
      <c r="M126" s="59" t="str">
        <f aca="false">IF(D126="","",IF(AND(OR(Search!$C$6="All Categories",A126=Search!$C$6),OR(Search!$P$5="",ISNUMBER(SEARCH(" "&amp;Search!$P$5,N126))),OR(Search!$P$6="",ISNUMBER(SEARCH(" "&amp;Search!$P$6,N126))),OR(Search!$P$7="",ISNUMBER(SEARCH(" "&amp;Search!$P$7,N126))),OR(Search!$P$8="",ISNUMBER(SEARCH(" "&amp;Search!$P$8,N126))),OR(Search!$P$9="",ISNUMBER(SEARCH(" "&amp;Search!$P$9,N126))),OR(Search!$P$10="",ISNUMBER(SEARCH(" "&amp;Search!$P$10,N126)))),ROW(),""))</f>
        <v/>
      </c>
      <c r="N126" s="0" t="str">
        <f aca="false">IF(D126="",""," "&amp;SUBSTITUTE(SUBSTITUTE(SUBSTITUTE(SUBSTITUTE(SUBSTITUTE(SUBSTITUTE(SUBSTITUTE(B126&amp;" "&amp;C126&amp;" "&amp;D126&amp;" "&amp;E126&amp;" "&amp;F126&amp;" "&amp;G126&amp;" "&amp;H126&amp;" "&amp;'02 Glass'!R60,"("," "),")"," "),"/"," "),"-"," "),","," "),";"," "),":"," ")&amp;" ")</f>
        <v/>
      </c>
    </row>
    <row r="127" customFormat="false" ht="15" hidden="false" customHeight="false" outlineLevel="0" collapsed="false">
      <c r="A127" s="56" t="str">
        <f aca="false">IF('02 Glass'!$C$61="","","Glass - Float, Tempered, Laminated &amp; DGU")</f>
        <v/>
      </c>
      <c r="B127" s="57" t="str">
        <f aca="false">IF('02 Glass'!$C$61="","",'02 Glass'!A61)</f>
        <v/>
      </c>
      <c r="C127" s="56" t="str">
        <f aca="false">IF('02 Glass'!$C$61="","",'02 Glass'!B61)</f>
        <v/>
      </c>
      <c r="D127" s="56" t="str">
        <f aca="false">IF('02 Glass'!$C$61="","",'02 Glass'!C61)</f>
        <v/>
      </c>
      <c r="E127" s="56" t="str">
        <f aca="false">IF('02 Glass'!$C$61="","",'02 Glass'!D61)</f>
        <v/>
      </c>
      <c r="F127" s="56" t="str">
        <f aca="false">IF('02 Glass'!$C$61="","",'02 Glass'!E61)</f>
        <v/>
      </c>
      <c r="G127" s="56" t="str">
        <f aca="false">IF('02 Glass'!$C$61="","",'02 Glass'!F61)</f>
        <v/>
      </c>
      <c r="H127" s="57" t="str">
        <f aca="false">IF('02 Glass'!$C$61="","",'02 Glass'!G61)</f>
        <v/>
      </c>
      <c r="I127" s="58" t="str">
        <f aca="false">IF('02 Glass'!$C$61="","",'02 Glass'!J61)</f>
        <v/>
      </c>
      <c r="J127" s="58" t="str">
        <f aca="false">IF('02 Glass'!$C$61="","",'02 Glass'!K61)</f>
        <v/>
      </c>
      <c r="K127" s="58" t="str">
        <f aca="false">IF('02 Glass'!$C$61="","",'02 Glass'!L61)</f>
        <v/>
      </c>
      <c r="L127" s="57" t="str">
        <f aca="false">IF('02 Glass'!$C$61="","",'02 Glass'!M61)</f>
        <v/>
      </c>
      <c r="M127" s="59" t="str">
        <f aca="false">IF(D127="","",IF(AND(OR(Search!$C$6="All Categories",A127=Search!$C$6),OR(Search!$P$5="",ISNUMBER(SEARCH(" "&amp;Search!$P$5,N127))),OR(Search!$P$6="",ISNUMBER(SEARCH(" "&amp;Search!$P$6,N127))),OR(Search!$P$7="",ISNUMBER(SEARCH(" "&amp;Search!$P$7,N127))),OR(Search!$P$8="",ISNUMBER(SEARCH(" "&amp;Search!$P$8,N127))),OR(Search!$P$9="",ISNUMBER(SEARCH(" "&amp;Search!$P$9,N127))),OR(Search!$P$10="",ISNUMBER(SEARCH(" "&amp;Search!$P$10,N127)))),ROW(),""))</f>
        <v/>
      </c>
      <c r="N127" s="0" t="str">
        <f aca="false">IF(D127="",""," "&amp;SUBSTITUTE(SUBSTITUTE(SUBSTITUTE(SUBSTITUTE(SUBSTITUTE(SUBSTITUTE(SUBSTITUTE(B127&amp;" "&amp;C127&amp;" "&amp;D127&amp;" "&amp;E127&amp;" "&amp;F127&amp;" "&amp;G127&amp;" "&amp;H127&amp;" "&amp;'02 Glass'!R61,"("," "),")"," "),"/"," "),"-"," "),","," "),";"," "),":"," ")&amp;" ")</f>
        <v/>
      </c>
    </row>
    <row r="128" customFormat="false" ht="15" hidden="false" customHeight="false" outlineLevel="0" collapsed="false">
      <c r="A128" s="56" t="str">
        <f aca="false">IF('02 Glass'!$C$62="","","Glass - Float, Tempered, Laminated &amp; DGU")</f>
        <v/>
      </c>
      <c r="B128" s="57" t="str">
        <f aca="false">IF('02 Glass'!$C$62="","",'02 Glass'!A62)</f>
        <v/>
      </c>
      <c r="C128" s="56" t="str">
        <f aca="false">IF('02 Glass'!$C$62="","",'02 Glass'!B62)</f>
        <v/>
      </c>
      <c r="D128" s="56" t="str">
        <f aca="false">IF('02 Glass'!$C$62="","",'02 Glass'!C62)</f>
        <v/>
      </c>
      <c r="E128" s="56" t="str">
        <f aca="false">IF('02 Glass'!$C$62="","",'02 Glass'!D62)</f>
        <v/>
      </c>
      <c r="F128" s="56" t="str">
        <f aca="false">IF('02 Glass'!$C$62="","",'02 Glass'!E62)</f>
        <v/>
      </c>
      <c r="G128" s="56" t="str">
        <f aca="false">IF('02 Glass'!$C$62="","",'02 Glass'!F62)</f>
        <v/>
      </c>
      <c r="H128" s="57" t="str">
        <f aca="false">IF('02 Glass'!$C$62="","",'02 Glass'!G62)</f>
        <v/>
      </c>
      <c r="I128" s="58" t="str">
        <f aca="false">IF('02 Glass'!$C$62="","",'02 Glass'!J62)</f>
        <v/>
      </c>
      <c r="J128" s="58" t="str">
        <f aca="false">IF('02 Glass'!$C$62="","",'02 Glass'!K62)</f>
        <v/>
      </c>
      <c r="K128" s="58" t="str">
        <f aca="false">IF('02 Glass'!$C$62="","",'02 Glass'!L62)</f>
        <v/>
      </c>
      <c r="L128" s="57" t="str">
        <f aca="false">IF('02 Glass'!$C$62="","",'02 Glass'!M62)</f>
        <v/>
      </c>
      <c r="M128" s="59" t="str">
        <f aca="false">IF(D128="","",IF(AND(OR(Search!$C$6="All Categories",A128=Search!$C$6),OR(Search!$P$5="",ISNUMBER(SEARCH(" "&amp;Search!$P$5,N128))),OR(Search!$P$6="",ISNUMBER(SEARCH(" "&amp;Search!$P$6,N128))),OR(Search!$P$7="",ISNUMBER(SEARCH(" "&amp;Search!$P$7,N128))),OR(Search!$P$8="",ISNUMBER(SEARCH(" "&amp;Search!$P$8,N128))),OR(Search!$P$9="",ISNUMBER(SEARCH(" "&amp;Search!$P$9,N128))),OR(Search!$P$10="",ISNUMBER(SEARCH(" "&amp;Search!$P$10,N128)))),ROW(),""))</f>
        <v/>
      </c>
      <c r="N128" s="0" t="str">
        <f aca="false">IF(D128="",""," "&amp;SUBSTITUTE(SUBSTITUTE(SUBSTITUTE(SUBSTITUTE(SUBSTITUTE(SUBSTITUTE(SUBSTITUTE(B128&amp;" "&amp;C128&amp;" "&amp;D128&amp;" "&amp;E128&amp;" "&amp;F128&amp;" "&amp;G128&amp;" "&amp;H128&amp;" "&amp;'02 Glass'!R62,"("," "),")"," "),"/"," "),"-"," "),","," "),";"," "),":"," ")&amp;" ")</f>
        <v/>
      </c>
    </row>
    <row r="129" customFormat="false" ht="15" hidden="false" customHeight="false" outlineLevel="0" collapsed="false">
      <c r="A129" s="56" t="str">
        <f aca="false">IF('02 Glass'!$C$63="","","Glass - Float, Tempered, Laminated &amp; DGU")</f>
        <v/>
      </c>
      <c r="B129" s="57" t="str">
        <f aca="false">IF('02 Glass'!$C$63="","",'02 Glass'!A63)</f>
        <v/>
      </c>
      <c r="C129" s="56" t="str">
        <f aca="false">IF('02 Glass'!$C$63="","",'02 Glass'!B63)</f>
        <v/>
      </c>
      <c r="D129" s="56" t="str">
        <f aca="false">IF('02 Glass'!$C$63="","",'02 Glass'!C63)</f>
        <v/>
      </c>
      <c r="E129" s="56" t="str">
        <f aca="false">IF('02 Glass'!$C$63="","",'02 Glass'!D63)</f>
        <v/>
      </c>
      <c r="F129" s="56" t="str">
        <f aca="false">IF('02 Glass'!$C$63="","",'02 Glass'!E63)</f>
        <v/>
      </c>
      <c r="G129" s="56" t="str">
        <f aca="false">IF('02 Glass'!$C$63="","",'02 Glass'!F63)</f>
        <v/>
      </c>
      <c r="H129" s="57" t="str">
        <f aca="false">IF('02 Glass'!$C$63="","",'02 Glass'!G63)</f>
        <v/>
      </c>
      <c r="I129" s="58" t="str">
        <f aca="false">IF('02 Glass'!$C$63="","",'02 Glass'!J63)</f>
        <v/>
      </c>
      <c r="J129" s="58" t="str">
        <f aca="false">IF('02 Glass'!$C$63="","",'02 Glass'!K63)</f>
        <v/>
      </c>
      <c r="K129" s="58" t="str">
        <f aca="false">IF('02 Glass'!$C$63="","",'02 Glass'!L63)</f>
        <v/>
      </c>
      <c r="L129" s="57" t="str">
        <f aca="false">IF('02 Glass'!$C$63="","",'02 Glass'!M63)</f>
        <v/>
      </c>
      <c r="M129" s="59" t="str">
        <f aca="false">IF(D129="","",IF(AND(OR(Search!$C$6="All Categories",A129=Search!$C$6),OR(Search!$P$5="",ISNUMBER(SEARCH(" "&amp;Search!$P$5,N129))),OR(Search!$P$6="",ISNUMBER(SEARCH(" "&amp;Search!$P$6,N129))),OR(Search!$P$7="",ISNUMBER(SEARCH(" "&amp;Search!$P$7,N129))),OR(Search!$P$8="",ISNUMBER(SEARCH(" "&amp;Search!$P$8,N129))),OR(Search!$P$9="",ISNUMBER(SEARCH(" "&amp;Search!$P$9,N129))),OR(Search!$P$10="",ISNUMBER(SEARCH(" "&amp;Search!$P$10,N129)))),ROW(),""))</f>
        <v/>
      </c>
      <c r="N129" s="0" t="str">
        <f aca="false">IF(D129="",""," "&amp;SUBSTITUTE(SUBSTITUTE(SUBSTITUTE(SUBSTITUTE(SUBSTITUTE(SUBSTITUTE(SUBSTITUTE(B129&amp;" "&amp;C129&amp;" "&amp;D129&amp;" "&amp;E129&amp;" "&amp;F129&amp;" "&amp;G129&amp;" "&amp;H129&amp;" "&amp;'02 Glass'!R63,"("," "),")"," "),"/"," "),"-"," "),","," "),";"," "),":"," ")&amp;" ")</f>
        <v/>
      </c>
    </row>
    <row r="130" customFormat="false" ht="15" hidden="false" customHeight="false" outlineLevel="0" collapsed="false">
      <c r="A130" s="56" t="str">
        <f aca="false">IF('02 Glass'!$C$64="","","Glass - Float, Tempered, Laminated &amp; DGU")</f>
        <v/>
      </c>
      <c r="B130" s="57" t="str">
        <f aca="false">IF('02 Glass'!$C$64="","",'02 Glass'!A64)</f>
        <v/>
      </c>
      <c r="C130" s="56" t="str">
        <f aca="false">IF('02 Glass'!$C$64="","",'02 Glass'!B64)</f>
        <v/>
      </c>
      <c r="D130" s="56" t="str">
        <f aca="false">IF('02 Glass'!$C$64="","",'02 Glass'!C64)</f>
        <v/>
      </c>
      <c r="E130" s="56" t="str">
        <f aca="false">IF('02 Glass'!$C$64="","",'02 Glass'!D64)</f>
        <v/>
      </c>
      <c r="F130" s="56" t="str">
        <f aca="false">IF('02 Glass'!$C$64="","",'02 Glass'!E64)</f>
        <v/>
      </c>
      <c r="G130" s="56" t="str">
        <f aca="false">IF('02 Glass'!$C$64="","",'02 Glass'!F64)</f>
        <v/>
      </c>
      <c r="H130" s="57" t="str">
        <f aca="false">IF('02 Glass'!$C$64="","",'02 Glass'!G64)</f>
        <v/>
      </c>
      <c r="I130" s="58" t="str">
        <f aca="false">IF('02 Glass'!$C$64="","",'02 Glass'!J64)</f>
        <v/>
      </c>
      <c r="J130" s="58" t="str">
        <f aca="false">IF('02 Glass'!$C$64="","",'02 Glass'!K64)</f>
        <v/>
      </c>
      <c r="K130" s="58" t="str">
        <f aca="false">IF('02 Glass'!$C$64="","",'02 Glass'!L64)</f>
        <v/>
      </c>
      <c r="L130" s="57" t="str">
        <f aca="false">IF('02 Glass'!$C$64="","",'02 Glass'!M64)</f>
        <v/>
      </c>
      <c r="M130" s="59" t="str">
        <f aca="false">IF(D130="","",IF(AND(OR(Search!$C$6="All Categories",A130=Search!$C$6),OR(Search!$P$5="",ISNUMBER(SEARCH(" "&amp;Search!$P$5,N130))),OR(Search!$P$6="",ISNUMBER(SEARCH(" "&amp;Search!$P$6,N130))),OR(Search!$P$7="",ISNUMBER(SEARCH(" "&amp;Search!$P$7,N130))),OR(Search!$P$8="",ISNUMBER(SEARCH(" "&amp;Search!$P$8,N130))),OR(Search!$P$9="",ISNUMBER(SEARCH(" "&amp;Search!$P$9,N130))),OR(Search!$P$10="",ISNUMBER(SEARCH(" "&amp;Search!$P$10,N130)))),ROW(),""))</f>
        <v/>
      </c>
      <c r="N130" s="0" t="str">
        <f aca="false">IF(D130="",""," "&amp;SUBSTITUTE(SUBSTITUTE(SUBSTITUTE(SUBSTITUTE(SUBSTITUTE(SUBSTITUTE(SUBSTITUTE(B130&amp;" "&amp;C130&amp;" "&amp;D130&amp;" "&amp;E130&amp;" "&amp;F130&amp;" "&amp;G130&amp;" "&amp;H130&amp;" "&amp;'02 Glass'!R64,"("," "),")"," "),"/"," "),"-"," "),","," "),";"," "),":"," ")&amp;" ")</f>
        <v/>
      </c>
    </row>
    <row r="131" customFormat="false" ht="15" hidden="false" customHeight="false" outlineLevel="0" collapsed="false">
      <c r="A131" s="56" t="str">
        <f aca="false">IF('02 Glass'!$C$65="","","Glass - Float, Tempered, Laminated &amp; DGU")</f>
        <v/>
      </c>
      <c r="B131" s="57" t="str">
        <f aca="false">IF('02 Glass'!$C$65="","",'02 Glass'!A65)</f>
        <v/>
      </c>
      <c r="C131" s="56" t="str">
        <f aca="false">IF('02 Glass'!$C$65="","",'02 Glass'!B65)</f>
        <v/>
      </c>
      <c r="D131" s="56" t="str">
        <f aca="false">IF('02 Glass'!$C$65="","",'02 Glass'!C65)</f>
        <v/>
      </c>
      <c r="E131" s="56" t="str">
        <f aca="false">IF('02 Glass'!$C$65="","",'02 Glass'!D65)</f>
        <v/>
      </c>
      <c r="F131" s="56" t="str">
        <f aca="false">IF('02 Glass'!$C$65="","",'02 Glass'!E65)</f>
        <v/>
      </c>
      <c r="G131" s="56" t="str">
        <f aca="false">IF('02 Glass'!$C$65="","",'02 Glass'!F65)</f>
        <v/>
      </c>
      <c r="H131" s="57" t="str">
        <f aca="false">IF('02 Glass'!$C$65="","",'02 Glass'!G65)</f>
        <v/>
      </c>
      <c r="I131" s="58" t="str">
        <f aca="false">IF('02 Glass'!$C$65="","",'02 Glass'!J65)</f>
        <v/>
      </c>
      <c r="J131" s="58" t="str">
        <f aca="false">IF('02 Glass'!$C$65="","",'02 Glass'!K65)</f>
        <v/>
      </c>
      <c r="K131" s="58" t="str">
        <f aca="false">IF('02 Glass'!$C$65="","",'02 Glass'!L65)</f>
        <v/>
      </c>
      <c r="L131" s="57" t="str">
        <f aca="false">IF('02 Glass'!$C$65="","",'02 Glass'!M65)</f>
        <v/>
      </c>
      <c r="M131" s="59" t="str">
        <f aca="false">IF(D131="","",IF(AND(OR(Search!$C$6="All Categories",A131=Search!$C$6),OR(Search!$P$5="",ISNUMBER(SEARCH(" "&amp;Search!$P$5,N131))),OR(Search!$P$6="",ISNUMBER(SEARCH(" "&amp;Search!$P$6,N131))),OR(Search!$P$7="",ISNUMBER(SEARCH(" "&amp;Search!$P$7,N131))),OR(Search!$P$8="",ISNUMBER(SEARCH(" "&amp;Search!$P$8,N131))),OR(Search!$P$9="",ISNUMBER(SEARCH(" "&amp;Search!$P$9,N131))),OR(Search!$P$10="",ISNUMBER(SEARCH(" "&amp;Search!$P$10,N131)))),ROW(),""))</f>
        <v/>
      </c>
      <c r="N131" s="0" t="str">
        <f aca="false">IF(D131="",""," "&amp;SUBSTITUTE(SUBSTITUTE(SUBSTITUTE(SUBSTITUTE(SUBSTITUTE(SUBSTITUTE(SUBSTITUTE(B131&amp;" "&amp;C131&amp;" "&amp;D131&amp;" "&amp;E131&amp;" "&amp;F131&amp;" "&amp;G131&amp;" "&amp;H131&amp;" "&amp;'02 Glass'!R65,"("," "),")"," "),"/"," "),"-"," "),","," "),";"," "),":"," ")&amp;" ")</f>
        <v/>
      </c>
    </row>
    <row r="132" customFormat="false" ht="15" hidden="false" customHeight="false" outlineLevel="0" collapsed="false">
      <c r="A132" s="56" t="str">
        <f aca="false">IF('02 Glass'!$C$66="","","Glass - Float, Tempered, Laminated &amp; DGU")</f>
        <v/>
      </c>
      <c r="B132" s="57" t="str">
        <f aca="false">IF('02 Glass'!$C$66="","",'02 Glass'!A66)</f>
        <v/>
      </c>
      <c r="C132" s="56" t="str">
        <f aca="false">IF('02 Glass'!$C$66="","",'02 Glass'!B66)</f>
        <v/>
      </c>
      <c r="D132" s="56" t="str">
        <f aca="false">IF('02 Glass'!$C$66="","",'02 Glass'!C66)</f>
        <v/>
      </c>
      <c r="E132" s="56" t="str">
        <f aca="false">IF('02 Glass'!$C$66="","",'02 Glass'!D66)</f>
        <v/>
      </c>
      <c r="F132" s="56" t="str">
        <f aca="false">IF('02 Glass'!$C$66="","",'02 Glass'!E66)</f>
        <v/>
      </c>
      <c r="G132" s="56" t="str">
        <f aca="false">IF('02 Glass'!$C$66="","",'02 Glass'!F66)</f>
        <v/>
      </c>
      <c r="H132" s="57" t="str">
        <f aca="false">IF('02 Glass'!$C$66="","",'02 Glass'!G66)</f>
        <v/>
      </c>
      <c r="I132" s="58" t="str">
        <f aca="false">IF('02 Glass'!$C$66="","",'02 Glass'!J66)</f>
        <v/>
      </c>
      <c r="J132" s="58" t="str">
        <f aca="false">IF('02 Glass'!$C$66="","",'02 Glass'!K66)</f>
        <v/>
      </c>
      <c r="K132" s="58" t="str">
        <f aca="false">IF('02 Glass'!$C$66="","",'02 Glass'!L66)</f>
        <v/>
      </c>
      <c r="L132" s="57" t="str">
        <f aca="false">IF('02 Glass'!$C$66="","",'02 Glass'!M66)</f>
        <v/>
      </c>
      <c r="M132" s="59" t="str">
        <f aca="false">IF(D132="","",IF(AND(OR(Search!$C$6="All Categories",A132=Search!$C$6),OR(Search!$P$5="",ISNUMBER(SEARCH(" "&amp;Search!$P$5,N132))),OR(Search!$P$6="",ISNUMBER(SEARCH(" "&amp;Search!$P$6,N132))),OR(Search!$P$7="",ISNUMBER(SEARCH(" "&amp;Search!$P$7,N132))),OR(Search!$P$8="",ISNUMBER(SEARCH(" "&amp;Search!$P$8,N132))),OR(Search!$P$9="",ISNUMBER(SEARCH(" "&amp;Search!$P$9,N132))),OR(Search!$P$10="",ISNUMBER(SEARCH(" "&amp;Search!$P$10,N132)))),ROW(),""))</f>
        <v/>
      </c>
      <c r="N132" s="0" t="str">
        <f aca="false">IF(D132="",""," "&amp;SUBSTITUTE(SUBSTITUTE(SUBSTITUTE(SUBSTITUTE(SUBSTITUTE(SUBSTITUTE(SUBSTITUTE(B132&amp;" "&amp;C132&amp;" "&amp;D132&amp;" "&amp;E132&amp;" "&amp;F132&amp;" "&amp;G132&amp;" "&amp;H132&amp;" "&amp;'02 Glass'!R66,"("," "),")"," "),"/"," "),"-"," "),","," "),";"," "),":"," ")&amp;" ")</f>
        <v/>
      </c>
    </row>
    <row r="133" customFormat="false" ht="15" hidden="false" customHeight="false" outlineLevel="0" collapsed="false">
      <c r="A133" s="56" t="str">
        <f aca="false">IF('02 Glass'!$C$67="","","Glass - Float, Tempered, Laminated &amp; DGU")</f>
        <v/>
      </c>
      <c r="B133" s="57" t="str">
        <f aca="false">IF('02 Glass'!$C$67="","",'02 Glass'!A67)</f>
        <v/>
      </c>
      <c r="C133" s="56" t="str">
        <f aca="false">IF('02 Glass'!$C$67="","",'02 Glass'!B67)</f>
        <v/>
      </c>
      <c r="D133" s="56" t="str">
        <f aca="false">IF('02 Glass'!$C$67="","",'02 Glass'!C67)</f>
        <v/>
      </c>
      <c r="E133" s="56" t="str">
        <f aca="false">IF('02 Glass'!$C$67="","",'02 Glass'!D67)</f>
        <v/>
      </c>
      <c r="F133" s="56" t="str">
        <f aca="false">IF('02 Glass'!$C$67="","",'02 Glass'!E67)</f>
        <v/>
      </c>
      <c r="G133" s="56" t="str">
        <f aca="false">IF('02 Glass'!$C$67="","",'02 Glass'!F67)</f>
        <v/>
      </c>
      <c r="H133" s="57" t="str">
        <f aca="false">IF('02 Glass'!$C$67="","",'02 Glass'!G67)</f>
        <v/>
      </c>
      <c r="I133" s="58" t="str">
        <f aca="false">IF('02 Glass'!$C$67="","",'02 Glass'!J67)</f>
        <v/>
      </c>
      <c r="J133" s="58" t="str">
        <f aca="false">IF('02 Glass'!$C$67="","",'02 Glass'!K67)</f>
        <v/>
      </c>
      <c r="K133" s="58" t="str">
        <f aca="false">IF('02 Glass'!$C$67="","",'02 Glass'!L67)</f>
        <v/>
      </c>
      <c r="L133" s="57" t="str">
        <f aca="false">IF('02 Glass'!$C$67="","",'02 Glass'!M67)</f>
        <v/>
      </c>
      <c r="M133" s="59" t="str">
        <f aca="false">IF(D133="","",IF(AND(OR(Search!$C$6="All Categories",A133=Search!$C$6),OR(Search!$P$5="",ISNUMBER(SEARCH(" "&amp;Search!$P$5,N133))),OR(Search!$P$6="",ISNUMBER(SEARCH(" "&amp;Search!$P$6,N133))),OR(Search!$P$7="",ISNUMBER(SEARCH(" "&amp;Search!$P$7,N133))),OR(Search!$P$8="",ISNUMBER(SEARCH(" "&amp;Search!$P$8,N133))),OR(Search!$P$9="",ISNUMBER(SEARCH(" "&amp;Search!$P$9,N133))),OR(Search!$P$10="",ISNUMBER(SEARCH(" "&amp;Search!$P$10,N133)))),ROW(),""))</f>
        <v/>
      </c>
      <c r="N133" s="0" t="str">
        <f aca="false">IF(D133="",""," "&amp;SUBSTITUTE(SUBSTITUTE(SUBSTITUTE(SUBSTITUTE(SUBSTITUTE(SUBSTITUTE(SUBSTITUTE(B133&amp;" "&amp;C133&amp;" "&amp;D133&amp;" "&amp;E133&amp;" "&amp;F133&amp;" "&amp;G133&amp;" "&amp;H133&amp;" "&amp;'02 Glass'!R67,"("," "),")"," "),"/"," "),"-"," "),","," "),";"," "),":"," ")&amp;" ")</f>
        <v/>
      </c>
    </row>
    <row r="134" customFormat="false" ht="15" hidden="false" customHeight="false" outlineLevel="0" collapsed="false">
      <c r="A134" s="56" t="str">
        <f aca="false">IF('02 Glass'!$C$68="","","Glass - Float, Tempered, Laminated &amp; DGU")</f>
        <v/>
      </c>
      <c r="B134" s="57" t="str">
        <f aca="false">IF('02 Glass'!$C$68="","",'02 Glass'!A68)</f>
        <v/>
      </c>
      <c r="C134" s="56" t="str">
        <f aca="false">IF('02 Glass'!$C$68="","",'02 Glass'!B68)</f>
        <v/>
      </c>
      <c r="D134" s="56" t="str">
        <f aca="false">IF('02 Glass'!$C$68="","",'02 Glass'!C68)</f>
        <v/>
      </c>
      <c r="E134" s="56" t="str">
        <f aca="false">IF('02 Glass'!$C$68="","",'02 Glass'!D68)</f>
        <v/>
      </c>
      <c r="F134" s="56" t="str">
        <f aca="false">IF('02 Glass'!$C$68="","",'02 Glass'!E68)</f>
        <v/>
      </c>
      <c r="G134" s="56" t="str">
        <f aca="false">IF('02 Glass'!$C$68="","",'02 Glass'!F68)</f>
        <v/>
      </c>
      <c r="H134" s="57" t="str">
        <f aca="false">IF('02 Glass'!$C$68="","",'02 Glass'!G68)</f>
        <v/>
      </c>
      <c r="I134" s="58" t="str">
        <f aca="false">IF('02 Glass'!$C$68="","",'02 Glass'!J68)</f>
        <v/>
      </c>
      <c r="J134" s="58" t="str">
        <f aca="false">IF('02 Glass'!$C$68="","",'02 Glass'!K68)</f>
        <v/>
      </c>
      <c r="K134" s="58" t="str">
        <f aca="false">IF('02 Glass'!$C$68="","",'02 Glass'!L68)</f>
        <v/>
      </c>
      <c r="L134" s="57" t="str">
        <f aca="false">IF('02 Glass'!$C$68="","",'02 Glass'!M68)</f>
        <v/>
      </c>
      <c r="M134" s="59" t="str">
        <f aca="false">IF(D134="","",IF(AND(OR(Search!$C$6="All Categories",A134=Search!$C$6),OR(Search!$P$5="",ISNUMBER(SEARCH(" "&amp;Search!$P$5,N134))),OR(Search!$P$6="",ISNUMBER(SEARCH(" "&amp;Search!$P$6,N134))),OR(Search!$P$7="",ISNUMBER(SEARCH(" "&amp;Search!$P$7,N134))),OR(Search!$P$8="",ISNUMBER(SEARCH(" "&amp;Search!$P$8,N134))),OR(Search!$P$9="",ISNUMBER(SEARCH(" "&amp;Search!$P$9,N134))),OR(Search!$P$10="",ISNUMBER(SEARCH(" "&amp;Search!$P$10,N134)))),ROW(),""))</f>
        <v/>
      </c>
      <c r="N134" s="0" t="str">
        <f aca="false">IF(D134="",""," "&amp;SUBSTITUTE(SUBSTITUTE(SUBSTITUTE(SUBSTITUTE(SUBSTITUTE(SUBSTITUTE(SUBSTITUTE(B134&amp;" "&amp;C134&amp;" "&amp;D134&amp;" "&amp;E134&amp;" "&amp;F134&amp;" "&amp;G134&amp;" "&amp;H134&amp;" "&amp;'02 Glass'!R68,"("," "),")"," "),"/"," "),"-"," "),","," "),";"," "),":"," ")&amp;" ")</f>
        <v/>
      </c>
    </row>
    <row r="135" customFormat="false" ht="15" hidden="false" customHeight="false" outlineLevel="0" collapsed="false">
      <c r="A135" s="56" t="str">
        <f aca="false">IF('02 Glass'!$C$69="","","Glass - Float, Tempered, Laminated &amp; DGU")</f>
        <v/>
      </c>
      <c r="B135" s="57" t="str">
        <f aca="false">IF('02 Glass'!$C$69="","",'02 Glass'!A69)</f>
        <v/>
      </c>
      <c r="C135" s="56" t="str">
        <f aca="false">IF('02 Glass'!$C$69="","",'02 Glass'!B69)</f>
        <v/>
      </c>
      <c r="D135" s="56" t="str">
        <f aca="false">IF('02 Glass'!$C$69="","",'02 Glass'!C69)</f>
        <v/>
      </c>
      <c r="E135" s="56" t="str">
        <f aca="false">IF('02 Glass'!$C$69="","",'02 Glass'!D69)</f>
        <v/>
      </c>
      <c r="F135" s="56" t="str">
        <f aca="false">IF('02 Glass'!$C$69="","",'02 Glass'!E69)</f>
        <v/>
      </c>
      <c r="G135" s="56" t="str">
        <f aca="false">IF('02 Glass'!$C$69="","",'02 Glass'!F69)</f>
        <v/>
      </c>
      <c r="H135" s="57" t="str">
        <f aca="false">IF('02 Glass'!$C$69="","",'02 Glass'!G69)</f>
        <v/>
      </c>
      <c r="I135" s="58" t="str">
        <f aca="false">IF('02 Glass'!$C$69="","",'02 Glass'!J69)</f>
        <v/>
      </c>
      <c r="J135" s="58" t="str">
        <f aca="false">IF('02 Glass'!$C$69="","",'02 Glass'!K69)</f>
        <v/>
      </c>
      <c r="K135" s="58" t="str">
        <f aca="false">IF('02 Glass'!$C$69="","",'02 Glass'!L69)</f>
        <v/>
      </c>
      <c r="L135" s="57" t="str">
        <f aca="false">IF('02 Glass'!$C$69="","",'02 Glass'!M69)</f>
        <v/>
      </c>
      <c r="M135" s="59" t="str">
        <f aca="false">IF(D135="","",IF(AND(OR(Search!$C$6="All Categories",A135=Search!$C$6),OR(Search!$P$5="",ISNUMBER(SEARCH(" "&amp;Search!$P$5,N135))),OR(Search!$P$6="",ISNUMBER(SEARCH(" "&amp;Search!$P$6,N135))),OR(Search!$P$7="",ISNUMBER(SEARCH(" "&amp;Search!$P$7,N135))),OR(Search!$P$8="",ISNUMBER(SEARCH(" "&amp;Search!$P$8,N135))),OR(Search!$P$9="",ISNUMBER(SEARCH(" "&amp;Search!$P$9,N135))),OR(Search!$P$10="",ISNUMBER(SEARCH(" "&amp;Search!$P$10,N135)))),ROW(),""))</f>
        <v/>
      </c>
      <c r="N135" s="0" t="str">
        <f aca="false">IF(D135="",""," "&amp;SUBSTITUTE(SUBSTITUTE(SUBSTITUTE(SUBSTITUTE(SUBSTITUTE(SUBSTITUTE(SUBSTITUTE(B135&amp;" "&amp;C135&amp;" "&amp;D135&amp;" "&amp;E135&amp;" "&amp;F135&amp;" "&amp;G135&amp;" "&amp;H135&amp;" "&amp;'02 Glass'!R69,"("," "),")"," "),"/"," "),"-"," "),","," "),";"," "),":"," ")&amp;" ")</f>
        <v/>
      </c>
    </row>
    <row r="136" customFormat="false" ht="15" hidden="false" customHeight="false" outlineLevel="0" collapsed="false">
      <c r="A136" s="56" t="str">
        <f aca="false">IF('02 Glass'!$C$70="","","Glass - Float, Tempered, Laminated &amp; DGU")</f>
        <v/>
      </c>
      <c r="B136" s="57" t="str">
        <f aca="false">IF('02 Glass'!$C$70="","",'02 Glass'!A70)</f>
        <v/>
      </c>
      <c r="C136" s="56" t="str">
        <f aca="false">IF('02 Glass'!$C$70="","",'02 Glass'!B70)</f>
        <v/>
      </c>
      <c r="D136" s="56" t="str">
        <f aca="false">IF('02 Glass'!$C$70="","",'02 Glass'!C70)</f>
        <v/>
      </c>
      <c r="E136" s="56" t="str">
        <f aca="false">IF('02 Glass'!$C$70="","",'02 Glass'!D70)</f>
        <v/>
      </c>
      <c r="F136" s="56" t="str">
        <f aca="false">IF('02 Glass'!$C$70="","",'02 Glass'!E70)</f>
        <v/>
      </c>
      <c r="G136" s="56" t="str">
        <f aca="false">IF('02 Glass'!$C$70="","",'02 Glass'!F70)</f>
        <v/>
      </c>
      <c r="H136" s="57" t="str">
        <f aca="false">IF('02 Glass'!$C$70="","",'02 Glass'!G70)</f>
        <v/>
      </c>
      <c r="I136" s="58" t="str">
        <f aca="false">IF('02 Glass'!$C$70="","",'02 Glass'!J70)</f>
        <v/>
      </c>
      <c r="J136" s="58" t="str">
        <f aca="false">IF('02 Glass'!$C$70="","",'02 Glass'!K70)</f>
        <v/>
      </c>
      <c r="K136" s="58" t="str">
        <f aca="false">IF('02 Glass'!$C$70="","",'02 Glass'!L70)</f>
        <v/>
      </c>
      <c r="L136" s="57" t="str">
        <f aca="false">IF('02 Glass'!$C$70="","",'02 Glass'!M70)</f>
        <v/>
      </c>
      <c r="M136" s="59" t="str">
        <f aca="false">IF(D136="","",IF(AND(OR(Search!$C$6="All Categories",A136=Search!$C$6),OR(Search!$P$5="",ISNUMBER(SEARCH(" "&amp;Search!$P$5,N136))),OR(Search!$P$6="",ISNUMBER(SEARCH(" "&amp;Search!$P$6,N136))),OR(Search!$P$7="",ISNUMBER(SEARCH(" "&amp;Search!$P$7,N136))),OR(Search!$P$8="",ISNUMBER(SEARCH(" "&amp;Search!$P$8,N136))),OR(Search!$P$9="",ISNUMBER(SEARCH(" "&amp;Search!$P$9,N136))),OR(Search!$P$10="",ISNUMBER(SEARCH(" "&amp;Search!$P$10,N136)))),ROW(),""))</f>
        <v/>
      </c>
      <c r="N136" s="0" t="str">
        <f aca="false">IF(D136="",""," "&amp;SUBSTITUTE(SUBSTITUTE(SUBSTITUTE(SUBSTITUTE(SUBSTITUTE(SUBSTITUTE(SUBSTITUTE(B136&amp;" "&amp;C136&amp;" "&amp;D136&amp;" "&amp;E136&amp;" "&amp;F136&amp;" "&amp;G136&amp;" "&amp;H136&amp;" "&amp;'02 Glass'!R70,"("," "),")"," "),"/"," "),"-"," "),","," "),";"," "),":"," ")&amp;" ")</f>
        <v/>
      </c>
    </row>
    <row r="137" customFormat="false" ht="15" hidden="false" customHeight="false" outlineLevel="0" collapsed="false">
      <c r="A137" s="56" t="str">
        <f aca="false">IF('02 Glass'!$C$71="","","Glass - Float, Tempered, Laminated &amp; DGU")</f>
        <v/>
      </c>
      <c r="B137" s="57" t="str">
        <f aca="false">IF('02 Glass'!$C$71="","",'02 Glass'!A71)</f>
        <v/>
      </c>
      <c r="C137" s="56" t="str">
        <f aca="false">IF('02 Glass'!$C$71="","",'02 Glass'!B71)</f>
        <v/>
      </c>
      <c r="D137" s="56" t="str">
        <f aca="false">IF('02 Glass'!$C$71="","",'02 Glass'!C71)</f>
        <v/>
      </c>
      <c r="E137" s="56" t="str">
        <f aca="false">IF('02 Glass'!$C$71="","",'02 Glass'!D71)</f>
        <v/>
      </c>
      <c r="F137" s="56" t="str">
        <f aca="false">IF('02 Glass'!$C$71="","",'02 Glass'!E71)</f>
        <v/>
      </c>
      <c r="G137" s="56" t="str">
        <f aca="false">IF('02 Glass'!$C$71="","",'02 Glass'!F71)</f>
        <v/>
      </c>
      <c r="H137" s="57" t="str">
        <f aca="false">IF('02 Glass'!$C$71="","",'02 Glass'!G71)</f>
        <v/>
      </c>
      <c r="I137" s="58" t="str">
        <f aca="false">IF('02 Glass'!$C$71="","",'02 Glass'!J71)</f>
        <v/>
      </c>
      <c r="J137" s="58" t="str">
        <f aca="false">IF('02 Glass'!$C$71="","",'02 Glass'!K71)</f>
        <v/>
      </c>
      <c r="K137" s="58" t="str">
        <f aca="false">IF('02 Glass'!$C$71="","",'02 Glass'!L71)</f>
        <v/>
      </c>
      <c r="L137" s="57" t="str">
        <f aca="false">IF('02 Glass'!$C$71="","",'02 Glass'!M71)</f>
        <v/>
      </c>
      <c r="M137" s="59" t="str">
        <f aca="false">IF(D137="","",IF(AND(OR(Search!$C$6="All Categories",A137=Search!$C$6),OR(Search!$P$5="",ISNUMBER(SEARCH(" "&amp;Search!$P$5,N137))),OR(Search!$P$6="",ISNUMBER(SEARCH(" "&amp;Search!$P$6,N137))),OR(Search!$P$7="",ISNUMBER(SEARCH(" "&amp;Search!$P$7,N137))),OR(Search!$P$8="",ISNUMBER(SEARCH(" "&amp;Search!$P$8,N137))),OR(Search!$P$9="",ISNUMBER(SEARCH(" "&amp;Search!$P$9,N137))),OR(Search!$P$10="",ISNUMBER(SEARCH(" "&amp;Search!$P$10,N137)))),ROW(),""))</f>
        <v/>
      </c>
      <c r="N137" s="0" t="str">
        <f aca="false">IF(D137="",""," "&amp;SUBSTITUTE(SUBSTITUTE(SUBSTITUTE(SUBSTITUTE(SUBSTITUTE(SUBSTITUTE(SUBSTITUTE(B137&amp;" "&amp;C137&amp;" "&amp;D137&amp;" "&amp;E137&amp;" "&amp;F137&amp;" "&amp;G137&amp;" "&amp;H137&amp;" "&amp;'02 Glass'!R71,"("," "),")"," "),"/"," "),"-"," "),","," "),";"," "),":"," ")&amp;" ")</f>
        <v/>
      </c>
    </row>
    <row r="138" customFormat="false" ht="15" hidden="false" customHeight="false" outlineLevel="0" collapsed="false">
      <c r="A138" s="56" t="str">
        <f aca="false">IF('02 Glass'!$C$72="","","Glass - Float, Tempered, Laminated &amp; DGU")</f>
        <v/>
      </c>
      <c r="B138" s="57" t="str">
        <f aca="false">IF('02 Glass'!$C$72="","",'02 Glass'!A72)</f>
        <v/>
      </c>
      <c r="C138" s="56" t="str">
        <f aca="false">IF('02 Glass'!$C$72="","",'02 Glass'!B72)</f>
        <v/>
      </c>
      <c r="D138" s="56" t="str">
        <f aca="false">IF('02 Glass'!$C$72="","",'02 Glass'!C72)</f>
        <v/>
      </c>
      <c r="E138" s="56" t="str">
        <f aca="false">IF('02 Glass'!$C$72="","",'02 Glass'!D72)</f>
        <v/>
      </c>
      <c r="F138" s="56" t="str">
        <f aca="false">IF('02 Glass'!$C$72="","",'02 Glass'!E72)</f>
        <v/>
      </c>
      <c r="G138" s="56" t="str">
        <f aca="false">IF('02 Glass'!$C$72="","",'02 Glass'!F72)</f>
        <v/>
      </c>
      <c r="H138" s="57" t="str">
        <f aca="false">IF('02 Glass'!$C$72="","",'02 Glass'!G72)</f>
        <v/>
      </c>
      <c r="I138" s="58" t="str">
        <f aca="false">IF('02 Glass'!$C$72="","",'02 Glass'!J72)</f>
        <v/>
      </c>
      <c r="J138" s="58" t="str">
        <f aca="false">IF('02 Glass'!$C$72="","",'02 Glass'!K72)</f>
        <v/>
      </c>
      <c r="K138" s="58" t="str">
        <f aca="false">IF('02 Glass'!$C$72="","",'02 Glass'!L72)</f>
        <v/>
      </c>
      <c r="L138" s="57" t="str">
        <f aca="false">IF('02 Glass'!$C$72="","",'02 Glass'!M72)</f>
        <v/>
      </c>
      <c r="M138" s="59" t="str">
        <f aca="false">IF(D138="","",IF(AND(OR(Search!$C$6="All Categories",A138=Search!$C$6),OR(Search!$P$5="",ISNUMBER(SEARCH(" "&amp;Search!$P$5,N138))),OR(Search!$P$6="",ISNUMBER(SEARCH(" "&amp;Search!$P$6,N138))),OR(Search!$P$7="",ISNUMBER(SEARCH(" "&amp;Search!$P$7,N138))),OR(Search!$P$8="",ISNUMBER(SEARCH(" "&amp;Search!$P$8,N138))),OR(Search!$P$9="",ISNUMBER(SEARCH(" "&amp;Search!$P$9,N138))),OR(Search!$P$10="",ISNUMBER(SEARCH(" "&amp;Search!$P$10,N138)))),ROW(),""))</f>
        <v/>
      </c>
      <c r="N138" s="0" t="str">
        <f aca="false">IF(D138="",""," "&amp;SUBSTITUTE(SUBSTITUTE(SUBSTITUTE(SUBSTITUTE(SUBSTITUTE(SUBSTITUTE(SUBSTITUTE(B138&amp;" "&amp;C138&amp;" "&amp;D138&amp;" "&amp;E138&amp;" "&amp;F138&amp;" "&amp;G138&amp;" "&amp;H138&amp;" "&amp;'02 Glass'!R72,"("," "),")"," "),"/"," "),"-"," "),","," "),";"," "),":"," ")&amp;" ")</f>
        <v/>
      </c>
    </row>
    <row r="139" customFormat="false" ht="15" hidden="false" customHeight="false" outlineLevel="0" collapsed="false">
      <c r="A139" s="56" t="str">
        <f aca="false">IF('02 Glass'!$C$73="","","Glass - Float, Tempered, Laminated &amp; DGU")</f>
        <v/>
      </c>
      <c r="B139" s="57" t="str">
        <f aca="false">IF('02 Glass'!$C$73="","",'02 Glass'!A73)</f>
        <v/>
      </c>
      <c r="C139" s="56" t="str">
        <f aca="false">IF('02 Glass'!$C$73="","",'02 Glass'!B73)</f>
        <v/>
      </c>
      <c r="D139" s="56" t="str">
        <f aca="false">IF('02 Glass'!$C$73="","",'02 Glass'!C73)</f>
        <v/>
      </c>
      <c r="E139" s="56" t="str">
        <f aca="false">IF('02 Glass'!$C$73="","",'02 Glass'!D73)</f>
        <v/>
      </c>
      <c r="F139" s="56" t="str">
        <f aca="false">IF('02 Glass'!$C$73="","",'02 Glass'!E73)</f>
        <v/>
      </c>
      <c r="G139" s="56" t="str">
        <f aca="false">IF('02 Glass'!$C$73="","",'02 Glass'!F73)</f>
        <v/>
      </c>
      <c r="H139" s="57" t="str">
        <f aca="false">IF('02 Glass'!$C$73="","",'02 Glass'!G73)</f>
        <v/>
      </c>
      <c r="I139" s="58" t="str">
        <f aca="false">IF('02 Glass'!$C$73="","",'02 Glass'!J73)</f>
        <v/>
      </c>
      <c r="J139" s="58" t="str">
        <f aca="false">IF('02 Glass'!$C$73="","",'02 Glass'!K73)</f>
        <v/>
      </c>
      <c r="K139" s="58" t="str">
        <f aca="false">IF('02 Glass'!$C$73="","",'02 Glass'!L73)</f>
        <v/>
      </c>
      <c r="L139" s="57" t="str">
        <f aca="false">IF('02 Glass'!$C$73="","",'02 Glass'!M73)</f>
        <v/>
      </c>
      <c r="M139" s="59" t="str">
        <f aca="false">IF(D139="","",IF(AND(OR(Search!$C$6="All Categories",A139=Search!$C$6),OR(Search!$P$5="",ISNUMBER(SEARCH(" "&amp;Search!$P$5,N139))),OR(Search!$P$6="",ISNUMBER(SEARCH(" "&amp;Search!$P$6,N139))),OR(Search!$P$7="",ISNUMBER(SEARCH(" "&amp;Search!$P$7,N139))),OR(Search!$P$8="",ISNUMBER(SEARCH(" "&amp;Search!$P$8,N139))),OR(Search!$P$9="",ISNUMBER(SEARCH(" "&amp;Search!$P$9,N139))),OR(Search!$P$10="",ISNUMBER(SEARCH(" "&amp;Search!$P$10,N139)))),ROW(),""))</f>
        <v/>
      </c>
      <c r="N139" s="0" t="str">
        <f aca="false">IF(D139="",""," "&amp;SUBSTITUTE(SUBSTITUTE(SUBSTITUTE(SUBSTITUTE(SUBSTITUTE(SUBSTITUTE(SUBSTITUTE(B139&amp;" "&amp;C139&amp;" "&amp;D139&amp;" "&amp;E139&amp;" "&amp;F139&amp;" "&amp;G139&amp;" "&amp;H139&amp;" "&amp;'02 Glass'!R73,"("," "),")"," "),"/"," "),"-"," "),","," "),";"," "),":"," ")&amp;" ")</f>
        <v/>
      </c>
    </row>
    <row r="140" customFormat="false" ht="22.35" hidden="false" customHeight="false" outlineLevel="0" collapsed="false">
      <c r="A140" s="56" t="str">
        <f aca="false">IF('03 Glass Processing'!$C$5="","","Glass Processing &amp; Fabrication Charges")</f>
        <v>Glass Processing &amp; Fabrication Charges</v>
      </c>
      <c r="B140" s="57" t="str">
        <f aca="false">IF('03 Glass Processing'!$C$5="","",'03 Glass Processing'!A5)</f>
        <v>GP-001</v>
      </c>
      <c r="C140" s="56" t="str">
        <f aca="false">IF('03 Glass Processing'!$C$5="","",'03 Glass Processing'!B5)</f>
        <v>Edge Work</v>
      </c>
      <c r="D140" s="56" t="str">
        <f aca="false">IF('03 Glass Processing'!$C$5="","",'03 Glass Processing'!C5)</f>
        <v>Edge grinding (arris / seamed)</v>
      </c>
      <c r="E140" s="56" t="str">
        <f aca="false">IF('03 Glass Processing'!$C$5="","",'03 Glass Processing'!D5)</f>
        <v>Up to 12 mm</v>
      </c>
      <c r="F140" s="56" t="str">
        <f aca="false">IF('03 Glass Processing'!$C$5="","",'03 Glass Processing'!E5)</f>
        <v>-</v>
      </c>
      <c r="G140" s="56" t="str">
        <f aca="false">IF('03 Glass Processing'!$C$5="","",'03 Glass Processing'!F5)</f>
        <v>Local processor</v>
      </c>
      <c r="H140" s="57" t="str">
        <f aca="false">IF('03 Glass Processing'!$C$5="","",'03 Glass Processing'!G5)</f>
        <v>lm</v>
      </c>
      <c r="I140" s="58" t="n">
        <f aca="false">IF('03 Glass Processing'!$C$5="","",'03 Glass Processing'!J5)</f>
        <v>4</v>
      </c>
      <c r="J140" s="58" t="n">
        <f aca="false">IF('03 Glass Processing'!$C$5="","",'03 Glass Processing'!K5)</f>
        <v>4.8</v>
      </c>
      <c r="K140" s="58" t="n">
        <f aca="false">IF('03 Glass Processing'!$C$5="","",'03 Glass Processing'!L5)</f>
        <v>5.04</v>
      </c>
      <c r="L140" s="57" t="str">
        <f aca="false">IF('03 Glass Processing'!$C$5="","",'03 Glass Processing'!M5)</f>
        <v>Indicative</v>
      </c>
      <c r="M140" s="59" t="str">
        <f aca="false">IF(D140="","",IF(AND(OR(Search!$C$6="All Categories",A140=Search!$C$6),OR(Search!$P$5="",ISNUMBER(SEARCH(" "&amp;Search!$P$5,N140))),OR(Search!$P$6="",ISNUMBER(SEARCH(" "&amp;Search!$P$6,N140))),OR(Search!$P$7="",ISNUMBER(SEARCH(" "&amp;Search!$P$7,N140))),OR(Search!$P$8="",ISNUMBER(SEARCH(" "&amp;Search!$P$8,N140))),OR(Search!$P$9="",ISNUMBER(SEARCH(" "&amp;Search!$P$9,N140))),OR(Search!$P$10="",ISNUMBER(SEARCH(" "&amp;Search!$P$10,N140)))),ROW(),""))</f>
        <v/>
      </c>
      <c r="N140" s="0" t="str">
        <f aca="false">IF(D140="",""," "&amp;SUBSTITUTE(SUBSTITUTE(SUBSTITUTE(SUBSTITUTE(SUBSTITUTE(SUBSTITUTE(SUBSTITUTE(B140&amp;" "&amp;C140&amp;" "&amp;D140&amp;" "&amp;E140&amp;" "&amp;F140&amp;" "&amp;G140&amp;" "&amp;H140&amp;" "&amp;'03 Glass Processing'!R5,"("," "),")"," "),"/"," "),"-"," "),","," "),";"," "),":"," ")&amp;" ")</f>
        <v> GP 001 Edge Work Edge grinding  arris   seamed  Up to 12 mm   Local processor lm 12mm </v>
      </c>
    </row>
    <row r="141" customFormat="false" ht="22.35" hidden="false" customHeight="false" outlineLevel="0" collapsed="false">
      <c r="A141" s="56" t="str">
        <f aca="false">IF('03 Glass Processing'!$C$6="","","Glass Processing &amp; Fabrication Charges")</f>
        <v>Glass Processing &amp; Fabrication Charges</v>
      </c>
      <c r="B141" s="57" t="str">
        <f aca="false">IF('03 Glass Processing'!$C$6="","",'03 Glass Processing'!A6)</f>
        <v>GP-002</v>
      </c>
      <c r="C141" s="56" t="str">
        <f aca="false">IF('03 Glass Processing'!$C$6="","",'03 Glass Processing'!B6)</f>
        <v>Edge Work</v>
      </c>
      <c r="D141" s="56" t="str">
        <f aca="false">IF('03 Glass Processing'!$C$6="","",'03 Glass Processing'!C6)</f>
        <v>Flat polished edge</v>
      </c>
      <c r="E141" s="56" t="str">
        <f aca="false">IF('03 Glass Processing'!$C$6="","",'03 Glass Processing'!D6)</f>
        <v>Up to 12 mm</v>
      </c>
      <c r="F141" s="56" t="str">
        <f aca="false">IF('03 Glass Processing'!$C$6="","",'03 Glass Processing'!E6)</f>
        <v>-</v>
      </c>
      <c r="G141" s="56" t="str">
        <f aca="false">IF('03 Glass Processing'!$C$6="","",'03 Glass Processing'!F6)</f>
        <v>Local processor</v>
      </c>
      <c r="H141" s="57" t="str">
        <f aca="false">IF('03 Glass Processing'!$C$6="","",'03 Glass Processing'!G6)</f>
        <v>lm</v>
      </c>
      <c r="I141" s="58" t="n">
        <f aca="false">IF('03 Glass Processing'!$C$6="","",'03 Glass Processing'!J6)</f>
        <v>7</v>
      </c>
      <c r="J141" s="58" t="n">
        <f aca="false">IF('03 Glass Processing'!$C$6="","",'03 Glass Processing'!K6)</f>
        <v>8.4</v>
      </c>
      <c r="K141" s="58" t="n">
        <f aca="false">IF('03 Glass Processing'!$C$6="","",'03 Glass Processing'!L6)</f>
        <v>8.82</v>
      </c>
      <c r="L141" s="57" t="str">
        <f aca="false">IF('03 Glass Processing'!$C$6="","",'03 Glass Processing'!M6)</f>
        <v>Indicative</v>
      </c>
      <c r="M141" s="59" t="str">
        <f aca="false">IF(D141="","",IF(AND(OR(Search!$C$6="All Categories",A141=Search!$C$6),OR(Search!$P$5="",ISNUMBER(SEARCH(" "&amp;Search!$P$5,N141))),OR(Search!$P$6="",ISNUMBER(SEARCH(" "&amp;Search!$P$6,N141))),OR(Search!$P$7="",ISNUMBER(SEARCH(" "&amp;Search!$P$7,N141))),OR(Search!$P$8="",ISNUMBER(SEARCH(" "&amp;Search!$P$8,N141))),OR(Search!$P$9="",ISNUMBER(SEARCH(" "&amp;Search!$P$9,N141))),OR(Search!$P$10="",ISNUMBER(SEARCH(" "&amp;Search!$P$10,N141)))),ROW(),""))</f>
        <v/>
      </c>
      <c r="N141" s="0" t="str">
        <f aca="false">IF(D141="",""," "&amp;SUBSTITUTE(SUBSTITUTE(SUBSTITUTE(SUBSTITUTE(SUBSTITUTE(SUBSTITUTE(SUBSTITUTE(B141&amp;" "&amp;C141&amp;" "&amp;D141&amp;" "&amp;E141&amp;" "&amp;F141&amp;" "&amp;G141&amp;" "&amp;H141&amp;" "&amp;'03 Glass Processing'!R6,"("," "),")"," "),"/"," "),"-"," "),","," "),";"," "),":"," ")&amp;" ")</f>
        <v> GP 002 Edge Work Flat polished edge Up to 12 mm   Local processor lm 12mm </v>
      </c>
    </row>
    <row r="142" customFormat="false" ht="22.35" hidden="false" customHeight="false" outlineLevel="0" collapsed="false">
      <c r="A142" s="56" t="str">
        <f aca="false">IF('03 Glass Processing'!$C$7="","","Glass Processing &amp; Fabrication Charges")</f>
        <v>Glass Processing &amp; Fabrication Charges</v>
      </c>
      <c r="B142" s="57" t="str">
        <f aca="false">IF('03 Glass Processing'!$C$7="","",'03 Glass Processing'!A7)</f>
        <v>GP-003</v>
      </c>
      <c r="C142" s="56" t="str">
        <f aca="false">IF('03 Glass Processing'!$C$7="","",'03 Glass Processing'!B7)</f>
        <v>Edge Work</v>
      </c>
      <c r="D142" s="56" t="str">
        <f aca="false">IF('03 Glass Processing'!$C$7="","",'03 Glass Processing'!C7)</f>
        <v>Flat polished edge</v>
      </c>
      <c r="E142" s="56" t="str">
        <f aca="false">IF('03 Glass Processing'!$C$7="","",'03 Glass Processing'!D7)</f>
        <v>15-19 mm</v>
      </c>
      <c r="F142" s="56" t="str">
        <f aca="false">IF('03 Glass Processing'!$C$7="","",'03 Glass Processing'!E7)</f>
        <v>-</v>
      </c>
      <c r="G142" s="56" t="str">
        <f aca="false">IF('03 Glass Processing'!$C$7="","",'03 Glass Processing'!F7)</f>
        <v>Local processor</v>
      </c>
      <c r="H142" s="57" t="str">
        <f aca="false">IF('03 Glass Processing'!$C$7="","",'03 Glass Processing'!G7)</f>
        <v>lm</v>
      </c>
      <c r="I142" s="58" t="n">
        <f aca="false">IF('03 Glass Processing'!$C$7="","",'03 Glass Processing'!J7)</f>
        <v>12</v>
      </c>
      <c r="J142" s="58" t="n">
        <f aca="false">IF('03 Glass Processing'!$C$7="","",'03 Glass Processing'!K7)</f>
        <v>14.4</v>
      </c>
      <c r="K142" s="58" t="n">
        <f aca="false">IF('03 Glass Processing'!$C$7="","",'03 Glass Processing'!L7)</f>
        <v>15.12</v>
      </c>
      <c r="L142" s="57" t="str">
        <f aca="false">IF('03 Glass Processing'!$C$7="","",'03 Glass Processing'!M7)</f>
        <v>Indicative</v>
      </c>
      <c r="M142" s="59" t="str">
        <f aca="false">IF(D142="","",IF(AND(OR(Search!$C$6="All Categories",A142=Search!$C$6),OR(Search!$P$5="",ISNUMBER(SEARCH(" "&amp;Search!$P$5,N142))),OR(Search!$P$6="",ISNUMBER(SEARCH(" "&amp;Search!$P$6,N142))),OR(Search!$P$7="",ISNUMBER(SEARCH(" "&amp;Search!$P$7,N142))),OR(Search!$P$8="",ISNUMBER(SEARCH(" "&amp;Search!$P$8,N142))),OR(Search!$P$9="",ISNUMBER(SEARCH(" "&amp;Search!$P$9,N142))),OR(Search!$P$10="",ISNUMBER(SEARCH(" "&amp;Search!$P$10,N142)))),ROW(),""))</f>
        <v/>
      </c>
      <c r="N142" s="0" t="str">
        <f aca="false">IF(D142="",""," "&amp;SUBSTITUTE(SUBSTITUTE(SUBSTITUTE(SUBSTITUTE(SUBSTITUTE(SUBSTITUTE(SUBSTITUTE(B142&amp;" "&amp;C142&amp;" "&amp;D142&amp;" "&amp;E142&amp;" "&amp;F142&amp;" "&amp;G142&amp;" "&amp;H142&amp;" "&amp;'03 Glass Processing'!R7,"("," "),")"," "),"/"," "),"-"," "),","," "),";"," "),":"," ")&amp;" ")</f>
        <v> GP 003 Edge Work Flat polished edge 15 19 mm   Local processor lm 19mm </v>
      </c>
    </row>
    <row r="143" customFormat="false" ht="22.35" hidden="false" customHeight="false" outlineLevel="0" collapsed="false">
      <c r="A143" s="56" t="str">
        <f aca="false">IF('03 Glass Processing'!$C$8="","","Glass Processing &amp; Fabrication Charges")</f>
        <v>Glass Processing &amp; Fabrication Charges</v>
      </c>
      <c r="B143" s="57" t="str">
        <f aca="false">IF('03 Glass Processing'!$C$8="","",'03 Glass Processing'!A8)</f>
        <v>GP-004</v>
      </c>
      <c r="C143" s="56" t="str">
        <f aca="false">IF('03 Glass Processing'!$C$8="","",'03 Glass Processing'!B8)</f>
        <v>Edge Work</v>
      </c>
      <c r="D143" s="56" t="str">
        <f aca="false">IF('03 Glass Processing'!$C$8="","",'03 Glass Processing'!C8)</f>
        <v>Bevelled edge - 10 mm width</v>
      </c>
      <c r="E143" s="56" t="str">
        <f aca="false">IF('03 Glass Processing'!$C$8="","",'03 Glass Processing'!D8)</f>
        <v>Up to 6 mm mirror / glass</v>
      </c>
      <c r="F143" s="56" t="str">
        <f aca="false">IF('03 Glass Processing'!$C$8="","",'03 Glass Processing'!E8)</f>
        <v>-</v>
      </c>
      <c r="G143" s="56" t="str">
        <f aca="false">IF('03 Glass Processing'!$C$8="","",'03 Glass Processing'!F8)</f>
        <v>Local processor</v>
      </c>
      <c r="H143" s="57" t="str">
        <f aca="false">IF('03 Glass Processing'!$C$8="","",'03 Glass Processing'!G8)</f>
        <v>lm</v>
      </c>
      <c r="I143" s="58" t="n">
        <f aca="false">IF('03 Glass Processing'!$C$8="","",'03 Glass Processing'!J8)</f>
        <v>12</v>
      </c>
      <c r="J143" s="58" t="n">
        <f aca="false">IF('03 Glass Processing'!$C$8="","",'03 Glass Processing'!K8)</f>
        <v>14.4</v>
      </c>
      <c r="K143" s="58" t="n">
        <f aca="false">IF('03 Glass Processing'!$C$8="","",'03 Glass Processing'!L8)</f>
        <v>15.12</v>
      </c>
      <c r="L143" s="57" t="str">
        <f aca="false">IF('03 Glass Processing'!$C$8="","",'03 Glass Processing'!M8)</f>
        <v>Indicative</v>
      </c>
      <c r="M143" s="59" t="str">
        <f aca="false">IF(D143="","",IF(AND(OR(Search!$C$6="All Categories",A143=Search!$C$6),OR(Search!$P$5="",ISNUMBER(SEARCH(" "&amp;Search!$P$5,N143))),OR(Search!$P$6="",ISNUMBER(SEARCH(" "&amp;Search!$P$6,N143))),OR(Search!$P$7="",ISNUMBER(SEARCH(" "&amp;Search!$P$7,N143))),OR(Search!$P$8="",ISNUMBER(SEARCH(" "&amp;Search!$P$8,N143))),OR(Search!$P$9="",ISNUMBER(SEARCH(" "&amp;Search!$P$9,N143))),OR(Search!$P$10="",ISNUMBER(SEARCH(" "&amp;Search!$P$10,N143)))),ROW(),""))</f>
        <v/>
      </c>
      <c r="N143" s="0" t="str">
        <f aca="false">IF(D143="",""," "&amp;SUBSTITUTE(SUBSTITUTE(SUBSTITUTE(SUBSTITUTE(SUBSTITUTE(SUBSTITUTE(SUBSTITUTE(B143&amp;" "&amp;C143&amp;" "&amp;D143&amp;" "&amp;E143&amp;" "&amp;F143&amp;" "&amp;G143&amp;" "&amp;H143&amp;" "&amp;'03 Glass Processing'!R8,"("," "),")"," "),"/"," "),"-"," "),","," "),";"," "),":"," ")&amp;" ")</f>
        <v> GP 004 Edge Work Bevelled edge   10 mm width Up to 6 mm mirror   glass   Local processor lm 10mm 6mm glass stainless steel </v>
      </c>
    </row>
    <row r="144" customFormat="false" ht="22.35" hidden="false" customHeight="false" outlineLevel="0" collapsed="false">
      <c r="A144" s="56" t="str">
        <f aca="false">IF('03 Glass Processing'!$C$9="","","Glass Processing &amp; Fabrication Charges")</f>
        <v>Glass Processing &amp; Fabrication Charges</v>
      </c>
      <c r="B144" s="57" t="str">
        <f aca="false">IF('03 Glass Processing'!$C$9="","",'03 Glass Processing'!A9)</f>
        <v>GP-005</v>
      </c>
      <c r="C144" s="56" t="str">
        <f aca="false">IF('03 Glass Processing'!$C$9="","",'03 Glass Processing'!B9)</f>
        <v>Edge Work</v>
      </c>
      <c r="D144" s="56" t="str">
        <f aca="false">IF('03 Glass Processing'!$C$9="","",'03 Glass Processing'!C9)</f>
        <v>Bevelled edge - 25 mm width</v>
      </c>
      <c r="E144" s="56" t="str">
        <f aca="false">IF('03 Glass Processing'!$C$9="","",'03 Glass Processing'!D9)</f>
        <v>Up to 6 mm mirror / glass</v>
      </c>
      <c r="F144" s="56" t="str">
        <f aca="false">IF('03 Glass Processing'!$C$9="","",'03 Glass Processing'!E9)</f>
        <v>-</v>
      </c>
      <c r="G144" s="56" t="str">
        <f aca="false">IF('03 Glass Processing'!$C$9="","",'03 Glass Processing'!F9)</f>
        <v>Local processor</v>
      </c>
      <c r="H144" s="57" t="str">
        <f aca="false">IF('03 Glass Processing'!$C$9="","",'03 Glass Processing'!G9)</f>
        <v>lm</v>
      </c>
      <c r="I144" s="58" t="n">
        <f aca="false">IF('03 Glass Processing'!$C$9="","",'03 Glass Processing'!J9)</f>
        <v>20</v>
      </c>
      <c r="J144" s="58" t="n">
        <f aca="false">IF('03 Glass Processing'!$C$9="","",'03 Glass Processing'!K9)</f>
        <v>24</v>
      </c>
      <c r="K144" s="58" t="n">
        <f aca="false">IF('03 Glass Processing'!$C$9="","",'03 Glass Processing'!L9)</f>
        <v>25.2</v>
      </c>
      <c r="L144" s="57" t="str">
        <f aca="false">IF('03 Glass Processing'!$C$9="","",'03 Glass Processing'!M9)</f>
        <v>Indicative</v>
      </c>
      <c r="M144" s="59" t="str">
        <f aca="false">IF(D144="","",IF(AND(OR(Search!$C$6="All Categories",A144=Search!$C$6),OR(Search!$P$5="",ISNUMBER(SEARCH(" "&amp;Search!$P$5,N144))),OR(Search!$P$6="",ISNUMBER(SEARCH(" "&amp;Search!$P$6,N144))),OR(Search!$P$7="",ISNUMBER(SEARCH(" "&amp;Search!$P$7,N144))),OR(Search!$P$8="",ISNUMBER(SEARCH(" "&amp;Search!$P$8,N144))),OR(Search!$P$9="",ISNUMBER(SEARCH(" "&amp;Search!$P$9,N144))),OR(Search!$P$10="",ISNUMBER(SEARCH(" "&amp;Search!$P$10,N144)))),ROW(),""))</f>
        <v/>
      </c>
      <c r="N144" s="0" t="str">
        <f aca="false">IF(D144="",""," "&amp;SUBSTITUTE(SUBSTITUTE(SUBSTITUTE(SUBSTITUTE(SUBSTITUTE(SUBSTITUTE(SUBSTITUTE(B144&amp;" "&amp;C144&amp;" "&amp;D144&amp;" "&amp;E144&amp;" "&amp;F144&amp;" "&amp;G144&amp;" "&amp;H144&amp;" "&amp;'03 Glass Processing'!R9,"("," "),")"," "),"/"," "),"-"," "),","," "),";"," "),":"," ")&amp;" ")</f>
        <v> GP 005 Edge Work Bevelled edge   25 mm width Up to 6 mm mirror   glass   Local processor lm 25mm 6mm glass stainless steel </v>
      </c>
    </row>
    <row r="145" customFormat="false" ht="22.35" hidden="false" customHeight="false" outlineLevel="0" collapsed="false">
      <c r="A145" s="56" t="str">
        <f aca="false">IF('03 Glass Processing'!$C$10="","","Glass Processing &amp; Fabrication Charges")</f>
        <v>Glass Processing &amp; Fabrication Charges</v>
      </c>
      <c r="B145" s="57" t="str">
        <f aca="false">IF('03 Glass Processing'!$C$10="","",'03 Glass Processing'!A10)</f>
        <v>GP-006</v>
      </c>
      <c r="C145" s="56" t="str">
        <f aca="false">IF('03 Glass Processing'!$C$10="","",'03 Glass Processing'!B10)</f>
        <v>Edge Work</v>
      </c>
      <c r="D145" s="56" t="str">
        <f aca="false">IF('03 Glass Processing'!$C$10="","",'03 Glass Processing'!C10)</f>
        <v>Pencil / round edge</v>
      </c>
      <c r="E145" s="56" t="str">
        <f aca="false">IF('03 Glass Processing'!$C$10="","",'03 Glass Processing'!D10)</f>
        <v>Up to 12 mm</v>
      </c>
      <c r="F145" s="56" t="str">
        <f aca="false">IF('03 Glass Processing'!$C$10="","",'03 Glass Processing'!E10)</f>
        <v>-</v>
      </c>
      <c r="G145" s="56" t="str">
        <f aca="false">IF('03 Glass Processing'!$C$10="","",'03 Glass Processing'!F10)</f>
        <v>Local processor</v>
      </c>
      <c r="H145" s="57" t="str">
        <f aca="false">IF('03 Glass Processing'!$C$10="","",'03 Glass Processing'!G10)</f>
        <v>lm</v>
      </c>
      <c r="I145" s="58" t="n">
        <f aca="false">IF('03 Glass Processing'!$C$10="","",'03 Glass Processing'!J10)</f>
        <v>10</v>
      </c>
      <c r="J145" s="58" t="n">
        <f aca="false">IF('03 Glass Processing'!$C$10="","",'03 Glass Processing'!K10)</f>
        <v>12</v>
      </c>
      <c r="K145" s="58" t="n">
        <f aca="false">IF('03 Glass Processing'!$C$10="","",'03 Glass Processing'!L10)</f>
        <v>12.6</v>
      </c>
      <c r="L145" s="57" t="str">
        <f aca="false">IF('03 Glass Processing'!$C$10="","",'03 Glass Processing'!M10)</f>
        <v>Indicative</v>
      </c>
      <c r="M145" s="59" t="str">
        <f aca="false">IF(D145="","",IF(AND(OR(Search!$C$6="All Categories",A145=Search!$C$6),OR(Search!$P$5="",ISNUMBER(SEARCH(" "&amp;Search!$P$5,N145))),OR(Search!$P$6="",ISNUMBER(SEARCH(" "&amp;Search!$P$6,N145))),OR(Search!$P$7="",ISNUMBER(SEARCH(" "&amp;Search!$P$7,N145))),OR(Search!$P$8="",ISNUMBER(SEARCH(" "&amp;Search!$P$8,N145))),OR(Search!$P$9="",ISNUMBER(SEARCH(" "&amp;Search!$P$9,N145))),OR(Search!$P$10="",ISNUMBER(SEARCH(" "&amp;Search!$P$10,N145)))),ROW(),""))</f>
        <v/>
      </c>
      <c r="N145" s="0" t="str">
        <f aca="false">IF(D145="",""," "&amp;SUBSTITUTE(SUBSTITUTE(SUBSTITUTE(SUBSTITUTE(SUBSTITUTE(SUBSTITUTE(SUBSTITUTE(B145&amp;" "&amp;C145&amp;" "&amp;D145&amp;" "&amp;E145&amp;" "&amp;F145&amp;" "&amp;G145&amp;" "&amp;H145&amp;" "&amp;'03 Glass Processing'!R10,"("," "),")"," "),"/"," "),"-"," "),","," "),";"," "),":"," ")&amp;" ")</f>
        <v> GP 006 Edge Work Pencil   round edge Up to 12 mm   Local processor lm 12mm </v>
      </c>
    </row>
    <row r="146" customFormat="false" ht="22.35" hidden="false" customHeight="false" outlineLevel="0" collapsed="false">
      <c r="A146" s="56" t="str">
        <f aca="false">IF('03 Glass Processing'!$C$11="","","Glass Processing &amp; Fabrication Charges")</f>
        <v>Glass Processing &amp; Fabrication Charges</v>
      </c>
      <c r="B146" s="57" t="str">
        <f aca="false">IF('03 Glass Processing'!$C$11="","",'03 Glass Processing'!A11)</f>
        <v>GP-007</v>
      </c>
      <c r="C146" s="56" t="str">
        <f aca="false">IF('03 Glass Processing'!$C$11="","",'03 Glass Processing'!B11)</f>
        <v>Edge Work</v>
      </c>
      <c r="D146" s="56" t="str">
        <f aca="false">IF('03 Glass Processing'!$C$11="","",'03 Glass Processing'!C11)</f>
        <v>Mitre edge (45 degree)</v>
      </c>
      <c r="E146" s="56" t="str">
        <f aca="false">IF('03 Glass Processing'!$C$11="","",'03 Glass Processing'!D11)</f>
        <v>Up to 12 mm</v>
      </c>
      <c r="F146" s="56" t="str">
        <f aca="false">IF('03 Glass Processing'!$C$11="","",'03 Glass Processing'!E11)</f>
        <v>-</v>
      </c>
      <c r="G146" s="56" t="str">
        <f aca="false">IF('03 Glass Processing'!$C$11="","",'03 Glass Processing'!F11)</f>
        <v>Local processor</v>
      </c>
      <c r="H146" s="57" t="str">
        <f aca="false">IF('03 Glass Processing'!$C$11="","",'03 Glass Processing'!G11)</f>
        <v>lm</v>
      </c>
      <c r="I146" s="58" t="n">
        <f aca="false">IF('03 Glass Processing'!$C$11="","",'03 Glass Processing'!J11)</f>
        <v>18</v>
      </c>
      <c r="J146" s="58" t="n">
        <f aca="false">IF('03 Glass Processing'!$C$11="","",'03 Glass Processing'!K11)</f>
        <v>21.6</v>
      </c>
      <c r="K146" s="58" t="n">
        <f aca="false">IF('03 Glass Processing'!$C$11="","",'03 Glass Processing'!L11)</f>
        <v>22.68</v>
      </c>
      <c r="L146" s="57" t="str">
        <f aca="false">IF('03 Glass Processing'!$C$11="","",'03 Glass Processing'!M11)</f>
        <v>Indicative</v>
      </c>
      <c r="M146" s="59" t="str">
        <f aca="false">IF(D146="","",IF(AND(OR(Search!$C$6="All Categories",A146=Search!$C$6),OR(Search!$P$5="",ISNUMBER(SEARCH(" "&amp;Search!$P$5,N146))),OR(Search!$P$6="",ISNUMBER(SEARCH(" "&amp;Search!$P$6,N146))),OR(Search!$P$7="",ISNUMBER(SEARCH(" "&amp;Search!$P$7,N146))),OR(Search!$P$8="",ISNUMBER(SEARCH(" "&amp;Search!$P$8,N146))),OR(Search!$P$9="",ISNUMBER(SEARCH(" "&amp;Search!$P$9,N146))),OR(Search!$P$10="",ISNUMBER(SEARCH(" "&amp;Search!$P$10,N146)))),ROW(),""))</f>
        <v/>
      </c>
      <c r="N146" s="0" t="str">
        <f aca="false">IF(D146="",""," "&amp;SUBSTITUTE(SUBSTITUTE(SUBSTITUTE(SUBSTITUTE(SUBSTITUTE(SUBSTITUTE(SUBSTITUTE(B146&amp;" "&amp;C146&amp;" "&amp;D146&amp;" "&amp;E146&amp;" "&amp;F146&amp;" "&amp;G146&amp;" "&amp;H146&amp;" "&amp;'03 Glass Processing'!R11,"("," "),")"," "),"/"," "),"-"," "),","," "),";"," "),":"," ")&amp;" ")</f>
        <v> GP 007 Edge Work Mitre edge  45 degree  Up to 12 mm   Local processor lm 12mm </v>
      </c>
    </row>
    <row r="147" customFormat="false" ht="22.35" hidden="false" customHeight="false" outlineLevel="0" collapsed="false">
      <c r="A147" s="56" t="str">
        <f aca="false">IF('03 Glass Processing'!$C$12="","","Glass Processing &amp; Fabrication Charges")</f>
        <v>Glass Processing &amp; Fabrication Charges</v>
      </c>
      <c r="B147" s="57" t="str">
        <f aca="false">IF('03 Glass Processing'!$C$12="","",'03 Glass Processing'!A12)</f>
        <v>GP-008</v>
      </c>
      <c r="C147" s="56" t="str">
        <f aca="false">IF('03 Glass Processing'!$C$12="","",'03 Glass Processing'!B12)</f>
        <v>Holes &amp; Cut-outs</v>
      </c>
      <c r="D147" s="56" t="str">
        <f aca="false">IF('03 Glass Processing'!$C$12="","",'03 Glass Processing'!C12)</f>
        <v>Hole drilling</v>
      </c>
      <c r="E147" s="56" t="str">
        <f aca="false">IF('03 Glass Processing'!$C$12="","",'03 Glass Processing'!D12)</f>
        <v>Up to 12 mm glass, dia up to 20 mm</v>
      </c>
      <c r="F147" s="56" t="str">
        <f aca="false">IF('03 Glass Processing'!$C$12="","",'03 Glass Processing'!E12)</f>
        <v>-</v>
      </c>
      <c r="G147" s="56" t="str">
        <f aca="false">IF('03 Glass Processing'!$C$12="","",'03 Glass Processing'!F12)</f>
        <v>Local processor</v>
      </c>
      <c r="H147" s="57" t="str">
        <f aca="false">IF('03 Glass Processing'!$C$12="","",'03 Glass Processing'!G12)</f>
        <v>nos</v>
      </c>
      <c r="I147" s="58" t="n">
        <f aca="false">IF('03 Glass Processing'!$C$12="","",'03 Glass Processing'!J12)</f>
        <v>10</v>
      </c>
      <c r="J147" s="58" t="n">
        <f aca="false">IF('03 Glass Processing'!$C$12="","",'03 Glass Processing'!K12)</f>
        <v>12</v>
      </c>
      <c r="K147" s="58" t="n">
        <f aca="false">IF('03 Glass Processing'!$C$12="","",'03 Glass Processing'!L12)</f>
        <v>12.6</v>
      </c>
      <c r="L147" s="57" t="str">
        <f aca="false">IF('03 Glass Processing'!$C$12="","",'03 Glass Processing'!M12)</f>
        <v>Indicative</v>
      </c>
      <c r="M147" s="59" t="str">
        <f aca="false">IF(D147="","",IF(AND(OR(Search!$C$6="All Categories",A147=Search!$C$6),OR(Search!$P$5="",ISNUMBER(SEARCH(" "&amp;Search!$P$5,N147))),OR(Search!$P$6="",ISNUMBER(SEARCH(" "&amp;Search!$P$6,N147))),OR(Search!$P$7="",ISNUMBER(SEARCH(" "&amp;Search!$P$7,N147))),OR(Search!$P$8="",ISNUMBER(SEARCH(" "&amp;Search!$P$8,N147))),OR(Search!$P$9="",ISNUMBER(SEARCH(" "&amp;Search!$P$9,N147))),OR(Search!$P$10="",ISNUMBER(SEARCH(" "&amp;Search!$P$10,N147)))),ROW(),""))</f>
        <v/>
      </c>
      <c r="N147" s="0" t="str">
        <f aca="false">IF(D147="",""," "&amp;SUBSTITUTE(SUBSTITUTE(SUBSTITUTE(SUBSTITUTE(SUBSTITUTE(SUBSTITUTE(SUBSTITUTE(B147&amp;" "&amp;C147&amp;" "&amp;D147&amp;" "&amp;E147&amp;" "&amp;F147&amp;" "&amp;G147&amp;" "&amp;H147&amp;" "&amp;'03 Glass Processing'!R12,"("," "),")"," "),"/"," "),"-"," "),","," "),";"," "),":"," ")&amp;" ")</f>
        <v> GP 008 Holes &amp; Cut outs Hole drilling Up to 12 mm glass  dia up to 20 mm   Local processor nos 12mm 20mm </v>
      </c>
    </row>
    <row r="148" customFormat="false" ht="22.35" hidden="false" customHeight="false" outlineLevel="0" collapsed="false">
      <c r="A148" s="56" t="str">
        <f aca="false">IF('03 Glass Processing'!$C$13="","","Glass Processing &amp; Fabrication Charges")</f>
        <v>Glass Processing &amp; Fabrication Charges</v>
      </c>
      <c r="B148" s="57" t="str">
        <f aca="false">IF('03 Glass Processing'!$C$13="","",'03 Glass Processing'!A13)</f>
        <v>GP-009</v>
      </c>
      <c r="C148" s="56" t="str">
        <f aca="false">IF('03 Glass Processing'!$C$13="","",'03 Glass Processing'!B13)</f>
        <v>Holes &amp; Cut-outs</v>
      </c>
      <c r="D148" s="56" t="str">
        <f aca="false">IF('03 Glass Processing'!$C$13="","",'03 Glass Processing'!C13)</f>
        <v>Hole drilling</v>
      </c>
      <c r="E148" s="56" t="str">
        <f aca="false">IF('03 Glass Processing'!$C$13="","",'03 Glass Processing'!D13)</f>
        <v>Up to 12 mm glass, dia 21-50 mm</v>
      </c>
      <c r="F148" s="56" t="str">
        <f aca="false">IF('03 Glass Processing'!$C$13="","",'03 Glass Processing'!E13)</f>
        <v>-</v>
      </c>
      <c r="G148" s="56" t="str">
        <f aca="false">IF('03 Glass Processing'!$C$13="","",'03 Glass Processing'!F13)</f>
        <v>Local processor</v>
      </c>
      <c r="H148" s="57" t="str">
        <f aca="false">IF('03 Glass Processing'!$C$13="","",'03 Glass Processing'!G13)</f>
        <v>nos</v>
      </c>
      <c r="I148" s="58" t="n">
        <f aca="false">IF('03 Glass Processing'!$C$13="","",'03 Glass Processing'!J13)</f>
        <v>18</v>
      </c>
      <c r="J148" s="58" t="n">
        <f aca="false">IF('03 Glass Processing'!$C$13="","",'03 Glass Processing'!K13)</f>
        <v>21.6</v>
      </c>
      <c r="K148" s="58" t="n">
        <f aca="false">IF('03 Glass Processing'!$C$13="","",'03 Glass Processing'!L13)</f>
        <v>22.68</v>
      </c>
      <c r="L148" s="57" t="str">
        <f aca="false">IF('03 Glass Processing'!$C$13="","",'03 Glass Processing'!M13)</f>
        <v>Indicative</v>
      </c>
      <c r="M148" s="59" t="str">
        <f aca="false">IF(D148="","",IF(AND(OR(Search!$C$6="All Categories",A148=Search!$C$6),OR(Search!$P$5="",ISNUMBER(SEARCH(" "&amp;Search!$P$5,N148))),OR(Search!$P$6="",ISNUMBER(SEARCH(" "&amp;Search!$P$6,N148))),OR(Search!$P$7="",ISNUMBER(SEARCH(" "&amp;Search!$P$7,N148))),OR(Search!$P$8="",ISNUMBER(SEARCH(" "&amp;Search!$P$8,N148))),OR(Search!$P$9="",ISNUMBER(SEARCH(" "&amp;Search!$P$9,N148))),OR(Search!$P$10="",ISNUMBER(SEARCH(" "&amp;Search!$P$10,N148)))),ROW(),""))</f>
        <v/>
      </c>
      <c r="N148" s="0" t="str">
        <f aca="false">IF(D148="",""," "&amp;SUBSTITUTE(SUBSTITUTE(SUBSTITUTE(SUBSTITUTE(SUBSTITUTE(SUBSTITUTE(SUBSTITUTE(B148&amp;" "&amp;C148&amp;" "&amp;D148&amp;" "&amp;E148&amp;" "&amp;F148&amp;" "&amp;G148&amp;" "&amp;H148&amp;" "&amp;'03 Glass Processing'!R13,"("," "),")"," "),"/"," "),"-"," "),","," "),";"," "),":"," ")&amp;" ")</f>
        <v> GP 009 Holes &amp; Cut outs Hole drilling Up to 12 mm glass  dia 21 50 mm   Local processor nos 12mm 50mm </v>
      </c>
    </row>
    <row r="149" customFormat="false" ht="22.35" hidden="false" customHeight="false" outlineLevel="0" collapsed="false">
      <c r="A149" s="56" t="str">
        <f aca="false">IF('03 Glass Processing'!$C$14="","","Glass Processing &amp; Fabrication Charges")</f>
        <v>Glass Processing &amp; Fabrication Charges</v>
      </c>
      <c r="B149" s="57" t="str">
        <f aca="false">IF('03 Glass Processing'!$C$14="","",'03 Glass Processing'!A14)</f>
        <v>GP-010</v>
      </c>
      <c r="C149" s="56" t="str">
        <f aca="false">IF('03 Glass Processing'!$C$14="","",'03 Glass Processing'!B14)</f>
        <v>Holes &amp; Cut-outs</v>
      </c>
      <c r="D149" s="56" t="str">
        <f aca="false">IF('03 Glass Processing'!$C$14="","",'03 Glass Processing'!C14)</f>
        <v>Countersunk hole</v>
      </c>
      <c r="E149" s="56" t="str">
        <f aca="false">IF('03 Glass Processing'!$C$14="","",'03 Glass Processing'!D14)</f>
        <v>For spider / routel fittings</v>
      </c>
      <c r="F149" s="56" t="str">
        <f aca="false">IF('03 Glass Processing'!$C$14="","",'03 Glass Processing'!E14)</f>
        <v>-</v>
      </c>
      <c r="G149" s="56" t="str">
        <f aca="false">IF('03 Glass Processing'!$C$14="","",'03 Glass Processing'!F14)</f>
        <v>Local processor</v>
      </c>
      <c r="H149" s="57" t="str">
        <f aca="false">IF('03 Glass Processing'!$C$14="","",'03 Glass Processing'!G14)</f>
        <v>nos</v>
      </c>
      <c r="I149" s="58" t="n">
        <f aca="false">IF('03 Glass Processing'!$C$14="","",'03 Glass Processing'!J14)</f>
        <v>30</v>
      </c>
      <c r="J149" s="58" t="n">
        <f aca="false">IF('03 Glass Processing'!$C$14="","",'03 Glass Processing'!K14)</f>
        <v>36</v>
      </c>
      <c r="K149" s="58" t="n">
        <f aca="false">IF('03 Glass Processing'!$C$14="","",'03 Glass Processing'!L14)</f>
        <v>37.8</v>
      </c>
      <c r="L149" s="57" t="str">
        <f aca="false">IF('03 Glass Processing'!$C$14="","",'03 Glass Processing'!M14)</f>
        <v>Indicative</v>
      </c>
      <c r="M149" s="59" t="str">
        <f aca="false">IF(D149="","",IF(AND(OR(Search!$C$6="All Categories",A149=Search!$C$6),OR(Search!$P$5="",ISNUMBER(SEARCH(" "&amp;Search!$P$5,N149))),OR(Search!$P$6="",ISNUMBER(SEARCH(" "&amp;Search!$P$6,N149))),OR(Search!$P$7="",ISNUMBER(SEARCH(" "&amp;Search!$P$7,N149))),OR(Search!$P$8="",ISNUMBER(SEARCH(" "&amp;Search!$P$8,N149))),OR(Search!$P$9="",ISNUMBER(SEARCH(" "&amp;Search!$P$9,N149))),OR(Search!$P$10="",ISNUMBER(SEARCH(" "&amp;Search!$P$10,N149)))),ROW(),""))</f>
        <v/>
      </c>
      <c r="N149" s="0" t="str">
        <f aca="false">IF(D149="",""," "&amp;SUBSTITUTE(SUBSTITUTE(SUBSTITUTE(SUBSTITUTE(SUBSTITUTE(SUBSTITUTE(SUBSTITUTE(B149&amp;" "&amp;C149&amp;" "&amp;D149&amp;" "&amp;E149&amp;" "&amp;F149&amp;" "&amp;G149&amp;" "&amp;H149&amp;" "&amp;'03 Glass Processing'!R14,"("," "),")"," "),"/"," "),"-"," "),","," "),";"," "),":"," ")&amp;" ")</f>
        <v> GP 010 Holes &amp; Cut outs Countersunk hole For spider   routel fittings   Local processor nos  </v>
      </c>
    </row>
    <row r="150" customFormat="false" ht="22.35" hidden="false" customHeight="false" outlineLevel="0" collapsed="false">
      <c r="A150" s="56" t="str">
        <f aca="false">IF('03 Glass Processing'!$C$15="","","Glass Processing &amp; Fabrication Charges")</f>
        <v>Glass Processing &amp; Fabrication Charges</v>
      </c>
      <c r="B150" s="57" t="str">
        <f aca="false">IF('03 Glass Processing'!$C$15="","",'03 Glass Processing'!A15)</f>
        <v>GP-011</v>
      </c>
      <c r="C150" s="56" t="str">
        <f aca="false">IF('03 Glass Processing'!$C$15="","",'03 Glass Processing'!B15)</f>
        <v>Holes &amp; Cut-outs</v>
      </c>
      <c r="D150" s="56" t="str">
        <f aca="false">IF('03 Glass Processing'!$C$15="","",'03 Glass Processing'!C15)</f>
        <v>Hinge / patch notch cut-out</v>
      </c>
      <c r="E150" s="56" t="str">
        <f aca="false">IF('03 Glass Processing'!$C$15="","",'03 Glass Processing'!D15)</f>
        <v>Up to 12 mm glass</v>
      </c>
      <c r="F150" s="56" t="str">
        <f aca="false">IF('03 Glass Processing'!$C$15="","",'03 Glass Processing'!E15)</f>
        <v>-</v>
      </c>
      <c r="G150" s="56" t="str">
        <f aca="false">IF('03 Glass Processing'!$C$15="","",'03 Glass Processing'!F15)</f>
        <v>Local processor</v>
      </c>
      <c r="H150" s="57" t="str">
        <f aca="false">IF('03 Glass Processing'!$C$15="","",'03 Glass Processing'!G15)</f>
        <v>nos</v>
      </c>
      <c r="I150" s="58" t="n">
        <f aca="false">IF('03 Glass Processing'!$C$15="","",'03 Glass Processing'!J15)</f>
        <v>30</v>
      </c>
      <c r="J150" s="58" t="n">
        <f aca="false">IF('03 Glass Processing'!$C$15="","",'03 Glass Processing'!K15)</f>
        <v>36</v>
      </c>
      <c r="K150" s="58" t="n">
        <f aca="false">IF('03 Glass Processing'!$C$15="","",'03 Glass Processing'!L15)</f>
        <v>37.8</v>
      </c>
      <c r="L150" s="57" t="str">
        <f aca="false">IF('03 Glass Processing'!$C$15="","",'03 Glass Processing'!M15)</f>
        <v>Indicative</v>
      </c>
      <c r="M150" s="59" t="str">
        <f aca="false">IF(D150="","",IF(AND(OR(Search!$C$6="All Categories",A150=Search!$C$6),OR(Search!$P$5="",ISNUMBER(SEARCH(" "&amp;Search!$P$5,N150))),OR(Search!$P$6="",ISNUMBER(SEARCH(" "&amp;Search!$P$6,N150))),OR(Search!$P$7="",ISNUMBER(SEARCH(" "&amp;Search!$P$7,N150))),OR(Search!$P$8="",ISNUMBER(SEARCH(" "&amp;Search!$P$8,N150))),OR(Search!$P$9="",ISNUMBER(SEARCH(" "&amp;Search!$P$9,N150))),OR(Search!$P$10="",ISNUMBER(SEARCH(" "&amp;Search!$P$10,N150)))),ROW(),""))</f>
        <v/>
      </c>
      <c r="N150" s="0" t="str">
        <f aca="false">IF(D150="",""," "&amp;SUBSTITUTE(SUBSTITUTE(SUBSTITUTE(SUBSTITUTE(SUBSTITUTE(SUBSTITUTE(SUBSTITUTE(B150&amp;" "&amp;C150&amp;" "&amp;D150&amp;" "&amp;E150&amp;" "&amp;F150&amp;" "&amp;G150&amp;" "&amp;H150&amp;" "&amp;'03 Glass Processing'!R15,"("," "),")"," "),"/"," "),"-"," "),","," "),";"," "),":"," ")&amp;" ")</f>
        <v> GP 011 Holes &amp; Cut outs Hinge   patch notch cut out Up to 12 mm glass   Local processor nos 12mm stainless steel </v>
      </c>
    </row>
    <row r="151" customFormat="false" ht="22.35" hidden="false" customHeight="false" outlineLevel="0" collapsed="false">
      <c r="A151" s="56" t="str">
        <f aca="false">IF('03 Glass Processing'!$C$16="","","Glass Processing &amp; Fabrication Charges")</f>
        <v>Glass Processing &amp; Fabrication Charges</v>
      </c>
      <c r="B151" s="57" t="str">
        <f aca="false">IF('03 Glass Processing'!$C$16="","",'03 Glass Processing'!A16)</f>
        <v>GP-012</v>
      </c>
      <c r="C151" s="56" t="str">
        <f aca="false">IF('03 Glass Processing'!$C$16="","",'03 Glass Processing'!B16)</f>
        <v>Holes &amp; Cut-outs</v>
      </c>
      <c r="D151" s="56" t="str">
        <f aca="false">IF('03 Glass Processing'!$C$16="","",'03 Glass Processing'!C16)</f>
        <v>Lock / handle cut-out</v>
      </c>
      <c r="E151" s="56" t="str">
        <f aca="false">IF('03 Glass Processing'!$C$16="","",'03 Glass Processing'!D16)</f>
        <v>Up to 12 mm glass</v>
      </c>
      <c r="F151" s="56" t="str">
        <f aca="false">IF('03 Glass Processing'!$C$16="","",'03 Glass Processing'!E16)</f>
        <v>-</v>
      </c>
      <c r="G151" s="56" t="str">
        <f aca="false">IF('03 Glass Processing'!$C$16="","",'03 Glass Processing'!F16)</f>
        <v>Local processor</v>
      </c>
      <c r="H151" s="57" t="str">
        <f aca="false">IF('03 Glass Processing'!$C$16="","",'03 Glass Processing'!G16)</f>
        <v>nos</v>
      </c>
      <c r="I151" s="58" t="n">
        <f aca="false">IF('03 Glass Processing'!$C$16="","",'03 Glass Processing'!J16)</f>
        <v>40</v>
      </c>
      <c r="J151" s="58" t="n">
        <f aca="false">IF('03 Glass Processing'!$C$16="","",'03 Glass Processing'!K16)</f>
        <v>48</v>
      </c>
      <c r="K151" s="58" t="n">
        <f aca="false">IF('03 Glass Processing'!$C$16="","",'03 Glass Processing'!L16)</f>
        <v>50.4</v>
      </c>
      <c r="L151" s="57" t="str">
        <f aca="false">IF('03 Glass Processing'!$C$16="","",'03 Glass Processing'!M16)</f>
        <v>Indicative</v>
      </c>
      <c r="M151" s="59" t="str">
        <f aca="false">IF(D151="","",IF(AND(OR(Search!$C$6="All Categories",A151=Search!$C$6),OR(Search!$P$5="",ISNUMBER(SEARCH(" "&amp;Search!$P$5,N151))),OR(Search!$P$6="",ISNUMBER(SEARCH(" "&amp;Search!$P$6,N151))),OR(Search!$P$7="",ISNUMBER(SEARCH(" "&amp;Search!$P$7,N151))),OR(Search!$P$8="",ISNUMBER(SEARCH(" "&amp;Search!$P$8,N151))),OR(Search!$P$9="",ISNUMBER(SEARCH(" "&amp;Search!$P$9,N151))),OR(Search!$P$10="",ISNUMBER(SEARCH(" "&amp;Search!$P$10,N151)))),ROW(),""))</f>
        <v/>
      </c>
      <c r="N151" s="0" t="str">
        <f aca="false">IF(D151="",""," "&amp;SUBSTITUTE(SUBSTITUTE(SUBSTITUTE(SUBSTITUTE(SUBSTITUTE(SUBSTITUTE(SUBSTITUTE(B151&amp;" "&amp;C151&amp;" "&amp;D151&amp;" "&amp;E151&amp;" "&amp;F151&amp;" "&amp;G151&amp;" "&amp;H151&amp;" "&amp;'03 Glass Processing'!R16,"("," "),")"," "),"/"," "),"-"," "),","," "),";"," "),":"," ")&amp;" ")</f>
        <v> GP 012 Holes &amp; Cut outs Lock   handle cut out Up to 12 mm glass   Local processor nos 12mm door stainless steel </v>
      </c>
    </row>
    <row r="152" customFormat="false" ht="22.35" hidden="false" customHeight="false" outlineLevel="0" collapsed="false">
      <c r="A152" s="56" t="str">
        <f aca="false">IF('03 Glass Processing'!$C$17="","","Glass Processing &amp; Fabrication Charges")</f>
        <v>Glass Processing &amp; Fabrication Charges</v>
      </c>
      <c r="B152" s="57" t="str">
        <f aca="false">IF('03 Glass Processing'!$C$17="","",'03 Glass Processing'!A17)</f>
        <v>GP-013</v>
      </c>
      <c r="C152" s="56" t="str">
        <f aca="false">IF('03 Glass Processing'!$C$17="","",'03 Glass Processing'!B17)</f>
        <v>Holes &amp; Cut-outs</v>
      </c>
      <c r="D152" s="56" t="str">
        <f aca="false">IF('03 Glass Processing'!$C$17="","",'03 Glass Processing'!C17)</f>
        <v>Socket / switch cut-out</v>
      </c>
      <c r="E152" s="56" t="str">
        <f aca="false">IF('03 Glass Processing'!$C$17="","",'03 Glass Processing'!D17)</f>
        <v>Up to 6 mm (splash back)</v>
      </c>
      <c r="F152" s="56" t="str">
        <f aca="false">IF('03 Glass Processing'!$C$17="","",'03 Glass Processing'!E17)</f>
        <v>-</v>
      </c>
      <c r="G152" s="56" t="str">
        <f aca="false">IF('03 Glass Processing'!$C$17="","",'03 Glass Processing'!F17)</f>
        <v>Local processor</v>
      </c>
      <c r="H152" s="57" t="str">
        <f aca="false">IF('03 Glass Processing'!$C$17="","",'03 Glass Processing'!G17)</f>
        <v>nos</v>
      </c>
      <c r="I152" s="58" t="n">
        <f aca="false">IF('03 Glass Processing'!$C$17="","",'03 Glass Processing'!J17)</f>
        <v>25</v>
      </c>
      <c r="J152" s="58" t="n">
        <f aca="false">IF('03 Glass Processing'!$C$17="","",'03 Glass Processing'!K17)</f>
        <v>30</v>
      </c>
      <c r="K152" s="58" t="n">
        <f aca="false">IF('03 Glass Processing'!$C$17="","",'03 Glass Processing'!L17)</f>
        <v>31.5</v>
      </c>
      <c r="L152" s="57" t="str">
        <f aca="false">IF('03 Glass Processing'!$C$17="","",'03 Glass Processing'!M17)</f>
        <v>Indicative</v>
      </c>
      <c r="M152" s="59" t="str">
        <f aca="false">IF(D152="","",IF(AND(OR(Search!$C$6="All Categories",A152=Search!$C$6),OR(Search!$P$5="",ISNUMBER(SEARCH(" "&amp;Search!$P$5,N152))),OR(Search!$P$6="",ISNUMBER(SEARCH(" "&amp;Search!$P$6,N152))),OR(Search!$P$7="",ISNUMBER(SEARCH(" "&amp;Search!$P$7,N152))),OR(Search!$P$8="",ISNUMBER(SEARCH(" "&amp;Search!$P$8,N152))),OR(Search!$P$9="",ISNUMBER(SEARCH(" "&amp;Search!$P$9,N152))),OR(Search!$P$10="",ISNUMBER(SEARCH(" "&amp;Search!$P$10,N152)))),ROW(),""))</f>
        <v/>
      </c>
      <c r="N152" s="0" t="str">
        <f aca="false">IF(D152="",""," "&amp;SUBSTITUTE(SUBSTITUTE(SUBSTITUTE(SUBSTITUTE(SUBSTITUTE(SUBSTITUTE(SUBSTITUTE(B152&amp;" "&amp;C152&amp;" "&amp;D152&amp;" "&amp;E152&amp;" "&amp;F152&amp;" "&amp;G152&amp;" "&amp;H152&amp;" "&amp;'03 Glass Processing'!R17,"("," "),")"," "),"/"," "),"-"," "),","," "),";"," "),":"," ")&amp;" ")</f>
        <v> GP 013 Holes &amp; Cut outs Socket   switch cut out Up to 6 mm  splash back    Local processor nos 6mm </v>
      </c>
    </row>
    <row r="153" customFormat="false" ht="22.35" hidden="false" customHeight="false" outlineLevel="0" collapsed="false">
      <c r="A153" s="56" t="str">
        <f aca="false">IF('03 Glass Processing'!$C$18="","","Glass Processing &amp; Fabrication Charges")</f>
        <v>Glass Processing &amp; Fabrication Charges</v>
      </c>
      <c r="B153" s="57" t="str">
        <f aca="false">IF('03 Glass Processing'!$C$18="","",'03 Glass Processing'!A18)</f>
        <v>GP-014</v>
      </c>
      <c r="C153" s="56" t="str">
        <f aca="false">IF('03 Glass Processing'!$C$18="","",'03 Glass Processing'!B18)</f>
        <v>Holes &amp; Cut-outs</v>
      </c>
      <c r="D153" s="56" t="str">
        <f aca="false">IF('03 Glass Processing'!$C$18="","",'03 Glass Processing'!C18)</f>
        <v>Corner radius / shaped cutting</v>
      </c>
      <c r="E153" s="56" t="str">
        <f aca="false">IF('03 Glass Processing'!$C$18="","",'03 Glass Processing'!D18)</f>
        <v>Per corner</v>
      </c>
      <c r="F153" s="56" t="str">
        <f aca="false">IF('03 Glass Processing'!$C$18="","",'03 Glass Processing'!E18)</f>
        <v>-</v>
      </c>
      <c r="G153" s="56" t="str">
        <f aca="false">IF('03 Glass Processing'!$C$18="","",'03 Glass Processing'!F18)</f>
        <v>Local processor</v>
      </c>
      <c r="H153" s="57" t="str">
        <f aca="false">IF('03 Glass Processing'!$C$18="","",'03 Glass Processing'!G18)</f>
        <v>nos</v>
      </c>
      <c r="I153" s="58" t="n">
        <f aca="false">IF('03 Glass Processing'!$C$18="","",'03 Glass Processing'!J18)</f>
        <v>10</v>
      </c>
      <c r="J153" s="58" t="n">
        <f aca="false">IF('03 Glass Processing'!$C$18="","",'03 Glass Processing'!K18)</f>
        <v>12</v>
      </c>
      <c r="K153" s="58" t="n">
        <f aca="false">IF('03 Glass Processing'!$C$18="","",'03 Glass Processing'!L18)</f>
        <v>12.6</v>
      </c>
      <c r="L153" s="57" t="str">
        <f aca="false">IF('03 Glass Processing'!$C$18="","",'03 Glass Processing'!M18)</f>
        <v>Indicative</v>
      </c>
      <c r="M153" s="59" t="str">
        <f aca="false">IF(D153="","",IF(AND(OR(Search!$C$6="All Categories",A153=Search!$C$6),OR(Search!$P$5="",ISNUMBER(SEARCH(" "&amp;Search!$P$5,N153))),OR(Search!$P$6="",ISNUMBER(SEARCH(" "&amp;Search!$P$6,N153))),OR(Search!$P$7="",ISNUMBER(SEARCH(" "&amp;Search!$P$7,N153))),OR(Search!$P$8="",ISNUMBER(SEARCH(" "&amp;Search!$P$8,N153))),OR(Search!$P$9="",ISNUMBER(SEARCH(" "&amp;Search!$P$9,N153))),OR(Search!$P$10="",ISNUMBER(SEARCH(" "&amp;Search!$P$10,N153)))),ROW(),""))</f>
        <v/>
      </c>
      <c r="N153" s="0" t="str">
        <f aca="false">IF(D153="",""," "&amp;SUBSTITUTE(SUBSTITUTE(SUBSTITUTE(SUBSTITUTE(SUBSTITUTE(SUBSTITUTE(SUBSTITUTE(B153&amp;" "&amp;C153&amp;" "&amp;D153&amp;" "&amp;E153&amp;" "&amp;F153&amp;" "&amp;G153&amp;" "&amp;H153&amp;" "&amp;'03 Glass Processing'!R18,"("," "),")"," "),"/"," "),"-"," "),","," "),";"," "),":"," ")&amp;" ")</f>
        <v> GP 014 Holes &amp; Cut outs Corner radius   shaped cutting Per corner   Local processor nos  </v>
      </c>
    </row>
    <row r="154" customFormat="false" ht="22.35" hidden="false" customHeight="false" outlineLevel="0" collapsed="false">
      <c r="A154" s="56" t="str">
        <f aca="false">IF('03 Glass Processing'!$C$19="","","Glass Processing &amp; Fabrication Charges")</f>
        <v>Glass Processing &amp; Fabrication Charges</v>
      </c>
      <c r="B154" s="57" t="str">
        <f aca="false">IF('03 Glass Processing'!$C$19="","",'03 Glass Processing'!A19)</f>
        <v>GP-015</v>
      </c>
      <c r="C154" s="56" t="str">
        <f aca="false">IF('03 Glass Processing'!$C$19="","",'03 Glass Processing'!B19)</f>
        <v>Surface Treatment</v>
      </c>
      <c r="D154" s="56" t="str">
        <f aca="false">IF('03 Glass Processing'!$C$19="","",'03 Glass Processing'!C19)</f>
        <v>Sand-blasting / frosting</v>
      </c>
      <c r="E154" s="56" t="str">
        <f aca="false">IF('03 Glass Processing'!$C$19="","",'03 Glass Processing'!D19)</f>
        <v>Full sheet</v>
      </c>
      <c r="F154" s="56" t="str">
        <f aca="false">IF('03 Glass Processing'!$C$19="","",'03 Glass Processing'!E19)</f>
        <v>Frosted</v>
      </c>
      <c r="G154" s="56" t="str">
        <f aca="false">IF('03 Glass Processing'!$C$19="","",'03 Glass Processing'!F19)</f>
        <v>Local processor</v>
      </c>
      <c r="H154" s="57" t="str">
        <f aca="false">IF('03 Glass Processing'!$C$19="","",'03 Glass Processing'!G19)</f>
        <v>m2</v>
      </c>
      <c r="I154" s="58" t="n">
        <f aca="false">IF('03 Glass Processing'!$C$19="","",'03 Glass Processing'!J19)</f>
        <v>35</v>
      </c>
      <c r="J154" s="58" t="n">
        <f aca="false">IF('03 Glass Processing'!$C$19="","",'03 Glass Processing'!K19)</f>
        <v>42</v>
      </c>
      <c r="K154" s="58" t="n">
        <f aca="false">IF('03 Glass Processing'!$C$19="","",'03 Glass Processing'!L19)</f>
        <v>44.1</v>
      </c>
      <c r="L154" s="57" t="str">
        <f aca="false">IF('03 Glass Processing'!$C$19="","",'03 Glass Processing'!M19)</f>
        <v>Indicative</v>
      </c>
      <c r="M154" s="59" t="str">
        <f aca="false">IF(D154="","",IF(AND(OR(Search!$C$6="All Categories",A154=Search!$C$6),OR(Search!$P$5="",ISNUMBER(SEARCH(" "&amp;Search!$P$5,N154))),OR(Search!$P$6="",ISNUMBER(SEARCH(" "&amp;Search!$P$6,N154))),OR(Search!$P$7="",ISNUMBER(SEARCH(" "&amp;Search!$P$7,N154))),OR(Search!$P$8="",ISNUMBER(SEARCH(" "&amp;Search!$P$8,N154))),OR(Search!$P$9="",ISNUMBER(SEARCH(" "&amp;Search!$P$9,N154))),OR(Search!$P$10="",ISNUMBER(SEARCH(" "&amp;Search!$P$10,N154)))),ROW(),""))</f>
        <v/>
      </c>
      <c r="N154" s="0" t="str">
        <f aca="false">IF(D154="",""," "&amp;SUBSTITUTE(SUBSTITUTE(SUBSTITUTE(SUBSTITUTE(SUBSTITUTE(SUBSTITUTE(SUBSTITUTE(B154&amp;" "&amp;C154&amp;" "&amp;D154&amp;" "&amp;E154&amp;" "&amp;F154&amp;" "&amp;G154&amp;" "&amp;H154&amp;" "&amp;'03 Glass Processing'!R19,"("," "),")"," "),"/"," "),"-"," "),","," "),";"," "),":"," ")&amp;" ")</f>
        <v> GP 015 Surface Treatment Sand blasting   frosting Full sheet Frosted Local processor m2 sandblast </v>
      </c>
    </row>
    <row r="155" customFormat="false" ht="22.35" hidden="false" customHeight="false" outlineLevel="0" collapsed="false">
      <c r="A155" s="56" t="str">
        <f aca="false">IF('03 Glass Processing'!$C$20="","","Glass Processing &amp; Fabrication Charges")</f>
        <v>Glass Processing &amp; Fabrication Charges</v>
      </c>
      <c r="B155" s="57" t="str">
        <f aca="false">IF('03 Glass Processing'!$C$20="","",'03 Glass Processing'!A20)</f>
        <v>GP-016</v>
      </c>
      <c r="C155" s="56" t="str">
        <f aca="false">IF('03 Glass Processing'!$C$20="","",'03 Glass Processing'!B20)</f>
        <v>Surface Treatment</v>
      </c>
      <c r="D155" s="56" t="str">
        <f aca="false">IF('03 Glass Processing'!$C$20="","",'03 Glass Processing'!C20)</f>
        <v>Sand-blasted design / logo</v>
      </c>
      <c r="E155" s="56" t="str">
        <f aca="false">IF('03 Glass Processing'!$C$20="","",'03 Glass Processing'!D20)</f>
        <v>As per design</v>
      </c>
      <c r="F155" s="56" t="str">
        <f aca="false">IF('03 Glass Processing'!$C$20="","",'03 Glass Processing'!E20)</f>
        <v>Frosted</v>
      </c>
      <c r="G155" s="56" t="str">
        <f aca="false">IF('03 Glass Processing'!$C$20="","",'03 Glass Processing'!F20)</f>
        <v>Local processor</v>
      </c>
      <c r="H155" s="57" t="str">
        <f aca="false">IF('03 Glass Processing'!$C$20="","",'03 Glass Processing'!G20)</f>
        <v>m2</v>
      </c>
      <c r="I155" s="58" t="n">
        <f aca="false">IF('03 Glass Processing'!$C$20="","",'03 Glass Processing'!J20)</f>
        <v>75</v>
      </c>
      <c r="J155" s="58" t="n">
        <f aca="false">IF('03 Glass Processing'!$C$20="","",'03 Glass Processing'!K20)</f>
        <v>90</v>
      </c>
      <c r="K155" s="58" t="n">
        <f aca="false">IF('03 Glass Processing'!$C$20="","",'03 Glass Processing'!L20)</f>
        <v>94.5</v>
      </c>
      <c r="L155" s="57" t="str">
        <f aca="false">IF('03 Glass Processing'!$C$20="","",'03 Glass Processing'!M20)</f>
        <v>Indicative</v>
      </c>
      <c r="M155" s="59" t="str">
        <f aca="false">IF(D155="","",IF(AND(OR(Search!$C$6="All Categories",A155=Search!$C$6),OR(Search!$P$5="",ISNUMBER(SEARCH(" "&amp;Search!$P$5,N155))),OR(Search!$P$6="",ISNUMBER(SEARCH(" "&amp;Search!$P$6,N155))),OR(Search!$P$7="",ISNUMBER(SEARCH(" "&amp;Search!$P$7,N155))),OR(Search!$P$8="",ISNUMBER(SEARCH(" "&amp;Search!$P$8,N155))),OR(Search!$P$9="",ISNUMBER(SEARCH(" "&amp;Search!$P$9,N155))),OR(Search!$P$10="",ISNUMBER(SEARCH(" "&amp;Search!$P$10,N155)))),ROW(),""))</f>
        <v/>
      </c>
      <c r="N155" s="0" t="str">
        <f aca="false">IF(D155="",""," "&amp;SUBSTITUTE(SUBSTITUTE(SUBSTITUTE(SUBSTITUTE(SUBSTITUTE(SUBSTITUTE(SUBSTITUTE(B155&amp;" "&amp;C155&amp;" "&amp;D155&amp;" "&amp;E155&amp;" "&amp;F155&amp;" "&amp;G155&amp;" "&amp;H155&amp;" "&amp;'03 Glass Processing'!R20,"("," "),")"," "),"/"," "),"-"," "),","," "),";"," "),":"," ")&amp;" ")</f>
        <v> GP 016 Surface Treatment Sand blasted design   logo As per design Frosted Local processor m2 sandblast </v>
      </c>
    </row>
    <row r="156" customFormat="false" ht="22.35" hidden="false" customHeight="false" outlineLevel="0" collapsed="false">
      <c r="A156" s="56" t="str">
        <f aca="false">IF('03 Glass Processing'!$C$21="","","Glass Processing &amp; Fabrication Charges")</f>
        <v>Glass Processing &amp; Fabrication Charges</v>
      </c>
      <c r="B156" s="57" t="str">
        <f aca="false">IF('03 Glass Processing'!$C$21="","",'03 Glass Processing'!A21)</f>
        <v>GP-017</v>
      </c>
      <c r="C156" s="56" t="str">
        <f aca="false">IF('03 Glass Processing'!$C$21="","",'03 Glass Processing'!B21)</f>
        <v>Surface Treatment</v>
      </c>
      <c r="D156" s="56" t="str">
        <f aca="false">IF('03 Glass Processing'!$C$21="","",'03 Glass Processing'!C21)</f>
        <v>Frosted vinyl film (manifestation)</v>
      </c>
      <c r="E156" s="56" t="str">
        <f aca="false">IF('03 Glass Processing'!$C$21="","",'03 Glass Processing'!D21)</f>
        <v>Installed</v>
      </c>
      <c r="F156" s="56" t="str">
        <f aca="false">IF('03 Glass Processing'!$C$21="","",'03 Glass Processing'!E21)</f>
        <v>Frosted</v>
      </c>
      <c r="G156" s="56" t="str">
        <f aca="false">IF('03 Glass Processing'!$C$21="","",'03 Glass Processing'!F21)</f>
        <v>3M / Equiv.</v>
      </c>
      <c r="H156" s="57" t="str">
        <f aca="false">IF('03 Glass Processing'!$C$21="","",'03 Glass Processing'!G21)</f>
        <v>m2</v>
      </c>
      <c r="I156" s="58" t="n">
        <f aca="false">IF('03 Glass Processing'!$C$21="","",'03 Glass Processing'!J21)</f>
        <v>55</v>
      </c>
      <c r="J156" s="58" t="n">
        <f aca="false">IF('03 Glass Processing'!$C$21="","",'03 Glass Processing'!K21)</f>
        <v>66</v>
      </c>
      <c r="K156" s="58" t="n">
        <f aca="false">IF('03 Glass Processing'!$C$21="","",'03 Glass Processing'!L21)</f>
        <v>69.3</v>
      </c>
      <c r="L156" s="57" t="str">
        <f aca="false">IF('03 Glass Processing'!$C$21="","",'03 Glass Processing'!M21)</f>
        <v>Indicative</v>
      </c>
      <c r="M156" s="59" t="str">
        <f aca="false">IF(D156="","",IF(AND(OR(Search!$C$6="All Categories",A156=Search!$C$6),OR(Search!$P$5="",ISNUMBER(SEARCH(" "&amp;Search!$P$5,N156))),OR(Search!$P$6="",ISNUMBER(SEARCH(" "&amp;Search!$P$6,N156))),OR(Search!$P$7="",ISNUMBER(SEARCH(" "&amp;Search!$P$7,N156))),OR(Search!$P$8="",ISNUMBER(SEARCH(" "&amp;Search!$P$8,N156))),OR(Search!$P$9="",ISNUMBER(SEARCH(" "&amp;Search!$P$9,N156))),OR(Search!$P$10="",ISNUMBER(SEARCH(" "&amp;Search!$P$10,N156)))),ROW(),""))</f>
        <v/>
      </c>
      <c r="N156" s="0" t="str">
        <f aca="false">IF(D156="",""," "&amp;SUBSTITUTE(SUBSTITUTE(SUBSTITUTE(SUBSTITUTE(SUBSTITUTE(SUBSTITUTE(SUBSTITUTE(B156&amp;" "&amp;C156&amp;" "&amp;D156&amp;" "&amp;E156&amp;" "&amp;F156&amp;" "&amp;G156&amp;" "&amp;H156&amp;" "&amp;'03 Glass Processing'!R21,"("," "),")"," "),"/"," "),"-"," "),","," "),";"," "),":"," ")&amp;" ")</f>
        <v> GP 017 Surface Treatment Frosted vinyl film  manifestation  Installed Frosted 3M   Equiv. m2 sandblast </v>
      </c>
    </row>
    <row r="157" customFormat="false" ht="22.35" hidden="false" customHeight="false" outlineLevel="0" collapsed="false">
      <c r="A157" s="56" t="str">
        <f aca="false">IF('03 Glass Processing'!$C$22="","","Glass Processing &amp; Fabrication Charges")</f>
        <v>Glass Processing &amp; Fabrication Charges</v>
      </c>
      <c r="B157" s="57" t="str">
        <f aca="false">IF('03 Glass Processing'!$C$22="","",'03 Glass Processing'!A22)</f>
        <v>GP-018</v>
      </c>
      <c r="C157" s="56" t="str">
        <f aca="false">IF('03 Glass Processing'!$C$22="","",'03 Glass Processing'!B22)</f>
        <v>Surface Treatment</v>
      </c>
      <c r="D157" s="56" t="str">
        <f aca="false">IF('03 Glass Processing'!$C$22="","",'03 Glass Processing'!C22)</f>
        <v>Manifestation strip (safety band)</v>
      </c>
      <c r="E157" s="56" t="str">
        <f aca="false">IF('03 Glass Processing'!$C$22="","",'03 Glass Processing'!D22)</f>
        <v>100 mm wide, installed</v>
      </c>
      <c r="F157" s="56" t="str">
        <f aca="false">IF('03 Glass Processing'!$C$22="","",'03 Glass Processing'!E22)</f>
        <v>Frosted</v>
      </c>
      <c r="G157" s="56" t="str">
        <f aca="false">IF('03 Glass Processing'!$C$22="","",'03 Glass Processing'!F22)</f>
        <v>3M / Equiv.</v>
      </c>
      <c r="H157" s="57" t="str">
        <f aca="false">IF('03 Glass Processing'!$C$22="","",'03 Glass Processing'!G22)</f>
        <v>lm</v>
      </c>
      <c r="I157" s="58" t="n">
        <f aca="false">IF('03 Glass Processing'!$C$22="","",'03 Glass Processing'!J22)</f>
        <v>12</v>
      </c>
      <c r="J157" s="58" t="n">
        <f aca="false">IF('03 Glass Processing'!$C$22="","",'03 Glass Processing'!K22)</f>
        <v>14.4</v>
      </c>
      <c r="K157" s="58" t="n">
        <f aca="false">IF('03 Glass Processing'!$C$22="","",'03 Glass Processing'!L22)</f>
        <v>15.12</v>
      </c>
      <c r="L157" s="57" t="str">
        <f aca="false">IF('03 Glass Processing'!$C$22="","",'03 Glass Processing'!M22)</f>
        <v>Indicative</v>
      </c>
      <c r="M157" s="59" t="str">
        <f aca="false">IF(D157="","",IF(AND(OR(Search!$C$6="All Categories",A157=Search!$C$6),OR(Search!$P$5="",ISNUMBER(SEARCH(" "&amp;Search!$P$5,N157))),OR(Search!$P$6="",ISNUMBER(SEARCH(" "&amp;Search!$P$6,N157))),OR(Search!$P$7="",ISNUMBER(SEARCH(" "&amp;Search!$P$7,N157))),OR(Search!$P$8="",ISNUMBER(SEARCH(" "&amp;Search!$P$8,N157))),OR(Search!$P$9="",ISNUMBER(SEARCH(" "&amp;Search!$P$9,N157))),OR(Search!$P$10="",ISNUMBER(SEARCH(" "&amp;Search!$P$10,N157)))),ROW(),""))</f>
        <v/>
      </c>
      <c r="N157" s="0" t="str">
        <f aca="false">IF(D157="",""," "&amp;SUBSTITUTE(SUBSTITUTE(SUBSTITUTE(SUBSTITUTE(SUBSTITUTE(SUBSTITUTE(SUBSTITUTE(B157&amp;" "&amp;C157&amp;" "&amp;D157&amp;" "&amp;E157&amp;" "&amp;F157&amp;" "&amp;G157&amp;" "&amp;H157&amp;" "&amp;'03 Glass Processing'!R22,"("," "),")"," "),"/"," "),"-"," "),","," "),";"," "),":"," ")&amp;" ")</f>
        <v> GP 018 Surface Treatment Manifestation strip  safety band  100 mm wide  installed Frosted 3M   Equiv. lm 100mm sandblast </v>
      </c>
    </row>
    <row r="158" customFormat="false" ht="22.35" hidden="false" customHeight="false" outlineLevel="0" collapsed="false">
      <c r="A158" s="56" t="str">
        <f aca="false">IF('03 Glass Processing'!$C$23="","","Glass Processing &amp; Fabrication Charges")</f>
        <v>Glass Processing &amp; Fabrication Charges</v>
      </c>
      <c r="B158" s="57" t="str">
        <f aca="false">IF('03 Glass Processing'!$C$23="","",'03 Glass Processing'!A23)</f>
        <v>GP-019</v>
      </c>
      <c r="C158" s="56" t="str">
        <f aca="false">IF('03 Glass Processing'!$C$23="","",'03 Glass Processing'!B23)</f>
        <v>Surface Treatment</v>
      </c>
      <c r="D158" s="56" t="str">
        <f aca="false">IF('03 Glass Processing'!$C$23="","",'03 Glass Processing'!C23)</f>
        <v>Solar / safety window film</v>
      </c>
      <c r="E158" s="56" t="str">
        <f aca="false">IF('03 Glass Processing'!$C$23="","",'03 Glass Processing'!D23)</f>
        <v>Installed</v>
      </c>
      <c r="F158" s="56" t="str">
        <f aca="false">IF('03 Glass Processing'!$C$23="","",'03 Glass Processing'!E23)</f>
        <v>Tinted / clear</v>
      </c>
      <c r="G158" s="56" t="str">
        <f aca="false">IF('03 Glass Processing'!$C$23="","",'03 Glass Processing'!F23)</f>
        <v>3M / Llumar / Equiv.</v>
      </c>
      <c r="H158" s="57" t="str">
        <f aca="false">IF('03 Glass Processing'!$C$23="","",'03 Glass Processing'!G23)</f>
        <v>m2</v>
      </c>
      <c r="I158" s="58" t="n">
        <f aca="false">IF('03 Glass Processing'!$C$23="","",'03 Glass Processing'!J23)</f>
        <v>85</v>
      </c>
      <c r="J158" s="58" t="n">
        <f aca="false">IF('03 Glass Processing'!$C$23="","",'03 Glass Processing'!K23)</f>
        <v>102</v>
      </c>
      <c r="K158" s="58" t="n">
        <f aca="false">IF('03 Glass Processing'!$C$23="","",'03 Glass Processing'!L23)</f>
        <v>107.1</v>
      </c>
      <c r="L158" s="57" t="str">
        <f aca="false">IF('03 Glass Processing'!$C$23="","",'03 Glass Processing'!M23)</f>
        <v>Indicative</v>
      </c>
      <c r="M158" s="59" t="str">
        <f aca="false">IF(D158="","",IF(AND(OR(Search!$C$6="All Categories",A158=Search!$C$6),OR(Search!$P$5="",ISNUMBER(SEARCH(" "&amp;Search!$P$5,N158))),OR(Search!$P$6="",ISNUMBER(SEARCH(" "&amp;Search!$P$6,N158))),OR(Search!$P$7="",ISNUMBER(SEARCH(" "&amp;Search!$P$7,N158))),OR(Search!$P$8="",ISNUMBER(SEARCH(" "&amp;Search!$P$8,N158))),OR(Search!$P$9="",ISNUMBER(SEARCH(" "&amp;Search!$P$9,N158))),OR(Search!$P$10="",ISNUMBER(SEARCH(" "&amp;Search!$P$10,N158)))),ROW(),""))</f>
        <v/>
      </c>
      <c r="N158" s="0" t="str">
        <f aca="false">IF(D158="",""," "&amp;SUBSTITUTE(SUBSTITUTE(SUBSTITUTE(SUBSTITUTE(SUBSTITUTE(SUBSTITUTE(SUBSTITUTE(B158&amp;" "&amp;C158&amp;" "&amp;D158&amp;" "&amp;E158&amp;" "&amp;F158&amp;" "&amp;G158&amp;" "&amp;H158&amp;" "&amp;'03 Glass Processing'!R23,"("," "),")"," "),"/"," "),"-"," "),","," "),";"," "),":"," ")&amp;" ")</f>
        <v> GP 019 Surface Treatment Solar   safety window film Installed Tinted   clear 3M   Llumar   Equiv. m2  </v>
      </c>
    </row>
    <row r="159" customFormat="false" ht="22.35" hidden="false" customHeight="false" outlineLevel="0" collapsed="false">
      <c r="A159" s="56" t="str">
        <f aca="false">IF('03 Glass Processing'!$C$24="","","Glass Processing &amp; Fabrication Charges")</f>
        <v>Glass Processing &amp; Fabrication Charges</v>
      </c>
      <c r="B159" s="57" t="str">
        <f aca="false">IF('03 Glass Processing'!$C$24="","",'03 Glass Processing'!A24)</f>
        <v>GP-020</v>
      </c>
      <c r="C159" s="56" t="str">
        <f aca="false">IF('03 Glass Processing'!$C$24="","",'03 Glass Processing'!B24)</f>
        <v>Surface Treatment</v>
      </c>
      <c r="D159" s="56" t="str">
        <f aca="false">IF('03 Glass Processing'!$C$24="","",'03 Glass Processing'!C24)</f>
        <v>Self-cleaning / anti-fingerprint coating</v>
      </c>
      <c r="E159" s="56" t="str">
        <f aca="false">IF('03 Glass Processing'!$C$24="","",'03 Glass Processing'!D24)</f>
        <v>Applied</v>
      </c>
      <c r="F159" s="56" t="str">
        <f aca="false">IF('03 Glass Processing'!$C$24="","",'03 Glass Processing'!E24)</f>
        <v>-</v>
      </c>
      <c r="G159" s="56" t="str">
        <f aca="false">IF('03 Glass Processing'!$C$24="","",'03 Glass Processing'!F24)</f>
        <v>Imported</v>
      </c>
      <c r="H159" s="57" t="str">
        <f aca="false">IF('03 Glass Processing'!$C$24="","",'03 Glass Processing'!G24)</f>
        <v>m2</v>
      </c>
      <c r="I159" s="58" t="n">
        <f aca="false">IF('03 Glass Processing'!$C$24="","",'03 Glass Processing'!J24)</f>
        <v>60</v>
      </c>
      <c r="J159" s="58" t="n">
        <f aca="false">IF('03 Glass Processing'!$C$24="","",'03 Glass Processing'!K24)</f>
        <v>72</v>
      </c>
      <c r="K159" s="58" t="n">
        <f aca="false">IF('03 Glass Processing'!$C$24="","",'03 Glass Processing'!L24)</f>
        <v>75.6</v>
      </c>
      <c r="L159" s="57" t="str">
        <f aca="false">IF('03 Glass Processing'!$C$24="","",'03 Glass Processing'!M24)</f>
        <v>Indicative</v>
      </c>
      <c r="M159" s="59" t="str">
        <f aca="false">IF(D159="","",IF(AND(OR(Search!$C$6="All Categories",A159=Search!$C$6),OR(Search!$P$5="",ISNUMBER(SEARCH(" "&amp;Search!$P$5,N159))),OR(Search!$P$6="",ISNUMBER(SEARCH(" "&amp;Search!$P$6,N159))),OR(Search!$P$7="",ISNUMBER(SEARCH(" "&amp;Search!$P$7,N159))),OR(Search!$P$8="",ISNUMBER(SEARCH(" "&amp;Search!$P$8,N159))),OR(Search!$P$9="",ISNUMBER(SEARCH(" "&amp;Search!$P$9,N159))),OR(Search!$P$10="",ISNUMBER(SEARCH(" "&amp;Search!$P$10,N159)))),ROW(),""))</f>
        <v/>
      </c>
      <c r="N159" s="0" t="str">
        <f aca="false">IF(D159="",""," "&amp;SUBSTITUTE(SUBSTITUTE(SUBSTITUTE(SUBSTITUTE(SUBSTITUTE(SUBSTITUTE(SUBSTITUTE(B159&amp;" "&amp;C159&amp;" "&amp;D159&amp;" "&amp;E159&amp;" "&amp;F159&amp;" "&amp;G159&amp;" "&amp;H159&amp;" "&amp;'03 Glass Processing'!R24,"("," "),")"," "),"/"," "),"-"," "),","," "),";"," "),":"," ")&amp;" ")</f>
        <v> GP 020 Surface Treatment Self cleaning   anti fingerprint coating Applied   Imported m2  </v>
      </c>
    </row>
    <row r="160" customFormat="false" ht="22.35" hidden="false" customHeight="false" outlineLevel="0" collapsed="false">
      <c r="A160" s="56" t="str">
        <f aca="false">IF('03 Glass Processing'!$C$25="","","Glass Processing &amp; Fabrication Charges")</f>
        <v>Glass Processing &amp; Fabrication Charges</v>
      </c>
      <c r="B160" s="57" t="str">
        <f aca="false">IF('03 Glass Processing'!$C$25="","",'03 Glass Processing'!A25)</f>
        <v>GP-021</v>
      </c>
      <c r="C160" s="56" t="str">
        <f aca="false">IF('03 Glass Processing'!$C$25="","",'03 Glass Processing'!B25)</f>
        <v>Handling</v>
      </c>
      <c r="D160" s="56" t="str">
        <f aca="false">IF('03 Glass Processing'!$C$25="","",'03 Glass Processing'!C25)</f>
        <v>Glass cutting charges (customer glass)</v>
      </c>
      <c r="E160" s="56" t="str">
        <f aca="false">IF('03 Glass Processing'!$C$25="","",'03 Glass Processing'!D25)</f>
        <v>Per cut</v>
      </c>
      <c r="F160" s="56" t="str">
        <f aca="false">IF('03 Glass Processing'!$C$25="","",'03 Glass Processing'!E25)</f>
        <v>-</v>
      </c>
      <c r="G160" s="56" t="str">
        <f aca="false">IF('03 Glass Processing'!$C$25="","",'03 Glass Processing'!F25)</f>
        <v>Local processor</v>
      </c>
      <c r="H160" s="57" t="str">
        <f aca="false">IF('03 Glass Processing'!$C$25="","",'03 Glass Processing'!G25)</f>
        <v>nos</v>
      </c>
      <c r="I160" s="58" t="n">
        <f aca="false">IF('03 Glass Processing'!$C$25="","",'03 Glass Processing'!J25)</f>
        <v>3</v>
      </c>
      <c r="J160" s="58" t="n">
        <f aca="false">IF('03 Glass Processing'!$C$25="","",'03 Glass Processing'!K25)</f>
        <v>3.6</v>
      </c>
      <c r="K160" s="58" t="n">
        <f aca="false">IF('03 Glass Processing'!$C$25="","",'03 Glass Processing'!L25)</f>
        <v>3.78</v>
      </c>
      <c r="L160" s="57" t="str">
        <f aca="false">IF('03 Glass Processing'!$C$25="","",'03 Glass Processing'!M25)</f>
        <v>Indicative</v>
      </c>
      <c r="M160" s="59" t="str">
        <f aca="false">IF(D160="","",IF(AND(OR(Search!$C$6="All Categories",A160=Search!$C$6),OR(Search!$P$5="",ISNUMBER(SEARCH(" "&amp;Search!$P$5,N160))),OR(Search!$P$6="",ISNUMBER(SEARCH(" "&amp;Search!$P$6,N160))),OR(Search!$P$7="",ISNUMBER(SEARCH(" "&amp;Search!$P$7,N160))),OR(Search!$P$8="",ISNUMBER(SEARCH(" "&amp;Search!$P$8,N160))),OR(Search!$P$9="",ISNUMBER(SEARCH(" "&amp;Search!$P$9,N160))),OR(Search!$P$10="",ISNUMBER(SEARCH(" "&amp;Search!$P$10,N160)))),ROW(),""))</f>
        <v/>
      </c>
      <c r="N160" s="0" t="str">
        <f aca="false">IF(D160="",""," "&amp;SUBSTITUTE(SUBSTITUTE(SUBSTITUTE(SUBSTITUTE(SUBSTITUTE(SUBSTITUTE(SUBSTITUTE(B160&amp;" "&amp;C160&amp;" "&amp;D160&amp;" "&amp;E160&amp;" "&amp;F160&amp;" "&amp;G160&amp;" "&amp;H160&amp;" "&amp;'03 Glass Processing'!R25,"("," "),")"," "),"/"," "),"-"," "),","," "),";"," "),":"," ")&amp;" ")</f>
        <v> GP 021 Handling Glass cutting charges  customer glass  Per cut   Local processor nos stainless steel </v>
      </c>
    </row>
    <row r="161" customFormat="false" ht="22.35" hidden="false" customHeight="false" outlineLevel="0" collapsed="false">
      <c r="A161" s="56" t="str">
        <f aca="false">IF('03 Glass Processing'!$C$26="","","Glass Processing &amp; Fabrication Charges")</f>
        <v>Glass Processing &amp; Fabrication Charges</v>
      </c>
      <c r="B161" s="57" t="str">
        <f aca="false">IF('03 Glass Processing'!$C$26="","",'03 Glass Processing'!A26)</f>
        <v>GP-022</v>
      </c>
      <c r="C161" s="56" t="str">
        <f aca="false">IF('03 Glass Processing'!$C$26="","",'03 Glass Processing'!B26)</f>
        <v>Handling</v>
      </c>
      <c r="D161" s="56" t="str">
        <f aca="false">IF('03 Glass Processing'!$C$26="","",'03 Glass Processing'!C26)</f>
        <v>Oversize glass surcharge</v>
      </c>
      <c r="E161" s="56" t="str">
        <f aca="false">IF('03 Glass Processing'!$C$26="","",'03 Glass Processing'!D26)</f>
        <v>Above 2.4 x 3.6 m</v>
      </c>
      <c r="F161" s="56" t="str">
        <f aca="false">IF('03 Glass Processing'!$C$26="","",'03 Glass Processing'!E26)</f>
        <v>-</v>
      </c>
      <c r="G161" s="56" t="str">
        <f aca="false">IF('03 Glass Processing'!$C$26="","",'03 Glass Processing'!F26)</f>
        <v>Local processor</v>
      </c>
      <c r="H161" s="57" t="str">
        <f aca="false">IF('03 Glass Processing'!$C$26="","",'03 Glass Processing'!G26)</f>
        <v>m2</v>
      </c>
      <c r="I161" s="58" t="n">
        <f aca="false">IF('03 Glass Processing'!$C$26="","",'03 Glass Processing'!J26)</f>
        <v>45</v>
      </c>
      <c r="J161" s="58" t="n">
        <f aca="false">IF('03 Glass Processing'!$C$26="","",'03 Glass Processing'!K26)</f>
        <v>54</v>
      </c>
      <c r="K161" s="58" t="n">
        <f aca="false">IF('03 Glass Processing'!$C$26="","",'03 Glass Processing'!L26)</f>
        <v>56.7</v>
      </c>
      <c r="L161" s="57" t="str">
        <f aca="false">IF('03 Glass Processing'!$C$26="","",'03 Glass Processing'!M26)</f>
        <v>Indicative</v>
      </c>
      <c r="M161" s="59" t="str">
        <f aca="false">IF(D161="","",IF(AND(OR(Search!$C$6="All Categories",A161=Search!$C$6),OR(Search!$P$5="",ISNUMBER(SEARCH(" "&amp;Search!$P$5,N161))),OR(Search!$P$6="",ISNUMBER(SEARCH(" "&amp;Search!$P$6,N161))),OR(Search!$P$7="",ISNUMBER(SEARCH(" "&amp;Search!$P$7,N161))),OR(Search!$P$8="",ISNUMBER(SEARCH(" "&amp;Search!$P$8,N161))),OR(Search!$P$9="",ISNUMBER(SEARCH(" "&amp;Search!$P$9,N161))),OR(Search!$P$10="",ISNUMBER(SEARCH(" "&amp;Search!$P$10,N161)))),ROW(),""))</f>
        <v/>
      </c>
      <c r="N161" s="0" t="str">
        <f aca="false">IF(D161="",""," "&amp;SUBSTITUTE(SUBSTITUTE(SUBSTITUTE(SUBSTITUTE(SUBSTITUTE(SUBSTITUTE(SUBSTITUTE(B161&amp;" "&amp;C161&amp;" "&amp;D161&amp;" "&amp;E161&amp;" "&amp;F161&amp;" "&amp;G161&amp;" "&amp;H161&amp;" "&amp;'03 Glass Processing'!R26,"("," "),")"," "),"/"," "),"-"," "),","," "),";"," "),":"," ")&amp;" ")</f>
        <v> GP 022 Handling Oversize glass surcharge Above 2.4 x 3.6 m   Local processor m2 2.4x3.6 stainless steel </v>
      </c>
    </row>
    <row r="162" customFormat="false" ht="22.35" hidden="false" customHeight="false" outlineLevel="0" collapsed="false">
      <c r="A162" s="56" t="str">
        <f aca="false">IF('03 Glass Processing'!$C$27="","","Glass Processing &amp; Fabrication Charges")</f>
        <v>Glass Processing &amp; Fabrication Charges</v>
      </c>
      <c r="B162" s="57" t="str">
        <f aca="false">IF('03 Glass Processing'!$C$27="","",'03 Glass Processing'!A27)</f>
        <v>GP-023</v>
      </c>
      <c r="C162" s="56" t="str">
        <f aca="false">IF('03 Glass Processing'!$C$27="","",'03 Glass Processing'!B27)</f>
        <v>Handling</v>
      </c>
      <c r="D162" s="56" t="str">
        <f aca="false">IF('03 Glass Processing'!$C$27="","",'03 Glass Processing'!C27)</f>
        <v>Packing / crating (export / long distance)</v>
      </c>
      <c r="E162" s="56" t="str">
        <f aca="false">IF('03 Glass Processing'!$C$27="","",'03 Glass Processing'!D27)</f>
        <v>Wooden crate</v>
      </c>
      <c r="F162" s="56" t="str">
        <f aca="false">IF('03 Glass Processing'!$C$27="","",'03 Glass Processing'!E27)</f>
        <v>-</v>
      </c>
      <c r="G162" s="56" t="str">
        <f aca="false">IF('03 Glass Processing'!$C$27="","",'03 Glass Processing'!F27)</f>
        <v>Local processor</v>
      </c>
      <c r="H162" s="57" t="str">
        <f aca="false">IF('03 Glass Processing'!$C$27="","",'03 Glass Processing'!G27)</f>
        <v>m2</v>
      </c>
      <c r="I162" s="58" t="n">
        <f aca="false">IF('03 Glass Processing'!$C$27="","",'03 Glass Processing'!J27)</f>
        <v>15</v>
      </c>
      <c r="J162" s="58" t="n">
        <f aca="false">IF('03 Glass Processing'!$C$27="","",'03 Glass Processing'!K27)</f>
        <v>18</v>
      </c>
      <c r="K162" s="58" t="n">
        <f aca="false">IF('03 Glass Processing'!$C$27="","",'03 Glass Processing'!L27)</f>
        <v>18.9</v>
      </c>
      <c r="L162" s="57" t="str">
        <f aca="false">IF('03 Glass Processing'!$C$27="","",'03 Glass Processing'!M27)</f>
        <v>Indicative</v>
      </c>
      <c r="M162" s="59" t="str">
        <f aca="false">IF(D162="","",IF(AND(OR(Search!$C$6="All Categories",A162=Search!$C$6),OR(Search!$P$5="",ISNUMBER(SEARCH(" "&amp;Search!$P$5,N162))),OR(Search!$P$6="",ISNUMBER(SEARCH(" "&amp;Search!$P$6,N162))),OR(Search!$P$7="",ISNUMBER(SEARCH(" "&amp;Search!$P$7,N162))),OR(Search!$P$8="",ISNUMBER(SEARCH(" "&amp;Search!$P$8,N162))),OR(Search!$P$9="",ISNUMBER(SEARCH(" "&amp;Search!$P$9,N162))),OR(Search!$P$10="",ISNUMBER(SEARCH(" "&amp;Search!$P$10,N162)))),ROW(),""))</f>
        <v/>
      </c>
      <c r="N162" s="0" t="str">
        <f aca="false">IF(D162="",""," "&amp;SUBSTITUTE(SUBSTITUTE(SUBSTITUTE(SUBSTITUTE(SUBSTITUTE(SUBSTITUTE(SUBSTITUTE(B162&amp;" "&amp;C162&amp;" "&amp;D162&amp;" "&amp;E162&amp;" "&amp;F162&amp;" "&amp;G162&amp;" "&amp;H162&amp;" "&amp;'03 Glass Processing'!R27,"("," "),")"," "),"/"," "),"-"," "),","," "),";"," "),":"," ")&amp;" ")</f>
        <v> GP 023 Handling Packing   crating  export   long distance  Wooden crate   Local processor m2  </v>
      </c>
    </row>
    <row r="163" customFormat="false" ht="15" hidden="false" customHeight="false" outlineLevel="0" collapsed="false">
      <c r="A163" s="56" t="str">
        <f aca="false">IF('03 Glass Processing'!$C$28="","","Glass Processing &amp; Fabrication Charges")</f>
        <v/>
      </c>
      <c r="B163" s="57" t="str">
        <f aca="false">IF('03 Glass Processing'!$C$28="","",'03 Glass Processing'!A28)</f>
        <v/>
      </c>
      <c r="C163" s="56" t="str">
        <f aca="false">IF('03 Glass Processing'!$C$28="","",'03 Glass Processing'!B28)</f>
        <v/>
      </c>
      <c r="D163" s="56" t="str">
        <f aca="false">IF('03 Glass Processing'!$C$28="","",'03 Glass Processing'!C28)</f>
        <v/>
      </c>
      <c r="E163" s="56" t="str">
        <f aca="false">IF('03 Glass Processing'!$C$28="","",'03 Glass Processing'!D28)</f>
        <v/>
      </c>
      <c r="F163" s="56" t="str">
        <f aca="false">IF('03 Glass Processing'!$C$28="","",'03 Glass Processing'!E28)</f>
        <v/>
      </c>
      <c r="G163" s="56" t="str">
        <f aca="false">IF('03 Glass Processing'!$C$28="","",'03 Glass Processing'!F28)</f>
        <v/>
      </c>
      <c r="H163" s="57" t="str">
        <f aca="false">IF('03 Glass Processing'!$C$28="","",'03 Glass Processing'!G28)</f>
        <v/>
      </c>
      <c r="I163" s="58" t="str">
        <f aca="false">IF('03 Glass Processing'!$C$28="","",'03 Glass Processing'!J28)</f>
        <v/>
      </c>
      <c r="J163" s="58" t="str">
        <f aca="false">IF('03 Glass Processing'!$C$28="","",'03 Glass Processing'!K28)</f>
        <v/>
      </c>
      <c r="K163" s="58" t="str">
        <f aca="false">IF('03 Glass Processing'!$C$28="","",'03 Glass Processing'!L28)</f>
        <v/>
      </c>
      <c r="L163" s="57" t="str">
        <f aca="false">IF('03 Glass Processing'!$C$28="","",'03 Glass Processing'!M28)</f>
        <v/>
      </c>
      <c r="M163" s="59" t="str">
        <f aca="false">IF(D163="","",IF(AND(OR(Search!$C$6="All Categories",A163=Search!$C$6),OR(Search!$P$5="",ISNUMBER(SEARCH(" "&amp;Search!$P$5,N163))),OR(Search!$P$6="",ISNUMBER(SEARCH(" "&amp;Search!$P$6,N163))),OR(Search!$P$7="",ISNUMBER(SEARCH(" "&amp;Search!$P$7,N163))),OR(Search!$P$8="",ISNUMBER(SEARCH(" "&amp;Search!$P$8,N163))),OR(Search!$P$9="",ISNUMBER(SEARCH(" "&amp;Search!$P$9,N163))),OR(Search!$P$10="",ISNUMBER(SEARCH(" "&amp;Search!$P$10,N163)))),ROW(),""))</f>
        <v/>
      </c>
      <c r="N163" s="0" t="str">
        <f aca="false">IF(D163="",""," "&amp;SUBSTITUTE(SUBSTITUTE(SUBSTITUTE(SUBSTITUTE(SUBSTITUTE(SUBSTITUTE(SUBSTITUTE(B163&amp;" "&amp;C163&amp;" "&amp;D163&amp;" "&amp;E163&amp;" "&amp;F163&amp;" "&amp;G163&amp;" "&amp;H163&amp;" "&amp;'03 Glass Processing'!R28,"("," "),")"," "),"/"," "),"-"," "),","," "),";"," "),":"," ")&amp;" ")</f>
        <v/>
      </c>
    </row>
    <row r="164" customFormat="false" ht="15" hidden="false" customHeight="false" outlineLevel="0" collapsed="false">
      <c r="A164" s="56" t="str">
        <f aca="false">IF('03 Glass Processing'!$C$29="","","Glass Processing &amp; Fabrication Charges")</f>
        <v/>
      </c>
      <c r="B164" s="57" t="str">
        <f aca="false">IF('03 Glass Processing'!$C$29="","",'03 Glass Processing'!A29)</f>
        <v/>
      </c>
      <c r="C164" s="56" t="str">
        <f aca="false">IF('03 Glass Processing'!$C$29="","",'03 Glass Processing'!B29)</f>
        <v/>
      </c>
      <c r="D164" s="56" t="str">
        <f aca="false">IF('03 Glass Processing'!$C$29="","",'03 Glass Processing'!C29)</f>
        <v/>
      </c>
      <c r="E164" s="56" t="str">
        <f aca="false">IF('03 Glass Processing'!$C$29="","",'03 Glass Processing'!D29)</f>
        <v/>
      </c>
      <c r="F164" s="56" t="str">
        <f aca="false">IF('03 Glass Processing'!$C$29="","",'03 Glass Processing'!E29)</f>
        <v/>
      </c>
      <c r="G164" s="56" t="str">
        <f aca="false">IF('03 Glass Processing'!$C$29="","",'03 Glass Processing'!F29)</f>
        <v/>
      </c>
      <c r="H164" s="57" t="str">
        <f aca="false">IF('03 Glass Processing'!$C$29="","",'03 Glass Processing'!G29)</f>
        <v/>
      </c>
      <c r="I164" s="58" t="str">
        <f aca="false">IF('03 Glass Processing'!$C$29="","",'03 Glass Processing'!J29)</f>
        <v/>
      </c>
      <c r="J164" s="58" t="str">
        <f aca="false">IF('03 Glass Processing'!$C$29="","",'03 Glass Processing'!K29)</f>
        <v/>
      </c>
      <c r="K164" s="58" t="str">
        <f aca="false">IF('03 Glass Processing'!$C$29="","",'03 Glass Processing'!L29)</f>
        <v/>
      </c>
      <c r="L164" s="57" t="str">
        <f aca="false">IF('03 Glass Processing'!$C$29="","",'03 Glass Processing'!M29)</f>
        <v/>
      </c>
      <c r="M164" s="59" t="str">
        <f aca="false">IF(D164="","",IF(AND(OR(Search!$C$6="All Categories",A164=Search!$C$6),OR(Search!$P$5="",ISNUMBER(SEARCH(" "&amp;Search!$P$5,N164))),OR(Search!$P$6="",ISNUMBER(SEARCH(" "&amp;Search!$P$6,N164))),OR(Search!$P$7="",ISNUMBER(SEARCH(" "&amp;Search!$P$7,N164))),OR(Search!$P$8="",ISNUMBER(SEARCH(" "&amp;Search!$P$8,N164))),OR(Search!$P$9="",ISNUMBER(SEARCH(" "&amp;Search!$P$9,N164))),OR(Search!$P$10="",ISNUMBER(SEARCH(" "&amp;Search!$P$10,N164)))),ROW(),""))</f>
        <v/>
      </c>
      <c r="N164" s="0" t="str">
        <f aca="false">IF(D164="",""," "&amp;SUBSTITUTE(SUBSTITUTE(SUBSTITUTE(SUBSTITUTE(SUBSTITUTE(SUBSTITUTE(SUBSTITUTE(B164&amp;" "&amp;C164&amp;" "&amp;D164&amp;" "&amp;E164&amp;" "&amp;F164&amp;" "&amp;G164&amp;" "&amp;H164&amp;" "&amp;'03 Glass Processing'!R29,"("," "),")"," "),"/"," "),"-"," "),","," "),";"," "),":"," ")&amp;" ")</f>
        <v/>
      </c>
    </row>
    <row r="165" customFormat="false" ht="15" hidden="false" customHeight="false" outlineLevel="0" collapsed="false">
      <c r="A165" s="56" t="str">
        <f aca="false">IF('03 Glass Processing'!$C$30="","","Glass Processing &amp; Fabrication Charges")</f>
        <v/>
      </c>
      <c r="B165" s="57" t="str">
        <f aca="false">IF('03 Glass Processing'!$C$30="","",'03 Glass Processing'!A30)</f>
        <v/>
      </c>
      <c r="C165" s="56" t="str">
        <f aca="false">IF('03 Glass Processing'!$C$30="","",'03 Glass Processing'!B30)</f>
        <v/>
      </c>
      <c r="D165" s="56" t="str">
        <f aca="false">IF('03 Glass Processing'!$C$30="","",'03 Glass Processing'!C30)</f>
        <v/>
      </c>
      <c r="E165" s="56" t="str">
        <f aca="false">IF('03 Glass Processing'!$C$30="","",'03 Glass Processing'!D30)</f>
        <v/>
      </c>
      <c r="F165" s="56" t="str">
        <f aca="false">IF('03 Glass Processing'!$C$30="","",'03 Glass Processing'!E30)</f>
        <v/>
      </c>
      <c r="G165" s="56" t="str">
        <f aca="false">IF('03 Glass Processing'!$C$30="","",'03 Glass Processing'!F30)</f>
        <v/>
      </c>
      <c r="H165" s="57" t="str">
        <f aca="false">IF('03 Glass Processing'!$C$30="","",'03 Glass Processing'!G30)</f>
        <v/>
      </c>
      <c r="I165" s="58" t="str">
        <f aca="false">IF('03 Glass Processing'!$C$30="","",'03 Glass Processing'!J30)</f>
        <v/>
      </c>
      <c r="J165" s="58" t="str">
        <f aca="false">IF('03 Glass Processing'!$C$30="","",'03 Glass Processing'!K30)</f>
        <v/>
      </c>
      <c r="K165" s="58" t="str">
        <f aca="false">IF('03 Glass Processing'!$C$30="","",'03 Glass Processing'!L30)</f>
        <v/>
      </c>
      <c r="L165" s="57" t="str">
        <f aca="false">IF('03 Glass Processing'!$C$30="","",'03 Glass Processing'!M30)</f>
        <v/>
      </c>
      <c r="M165" s="59" t="str">
        <f aca="false">IF(D165="","",IF(AND(OR(Search!$C$6="All Categories",A165=Search!$C$6),OR(Search!$P$5="",ISNUMBER(SEARCH(" "&amp;Search!$P$5,N165))),OR(Search!$P$6="",ISNUMBER(SEARCH(" "&amp;Search!$P$6,N165))),OR(Search!$P$7="",ISNUMBER(SEARCH(" "&amp;Search!$P$7,N165))),OR(Search!$P$8="",ISNUMBER(SEARCH(" "&amp;Search!$P$8,N165))),OR(Search!$P$9="",ISNUMBER(SEARCH(" "&amp;Search!$P$9,N165))),OR(Search!$P$10="",ISNUMBER(SEARCH(" "&amp;Search!$P$10,N165)))),ROW(),""))</f>
        <v/>
      </c>
      <c r="N165" s="0" t="str">
        <f aca="false">IF(D165="",""," "&amp;SUBSTITUTE(SUBSTITUTE(SUBSTITUTE(SUBSTITUTE(SUBSTITUTE(SUBSTITUTE(SUBSTITUTE(B165&amp;" "&amp;C165&amp;" "&amp;D165&amp;" "&amp;E165&amp;" "&amp;F165&amp;" "&amp;G165&amp;" "&amp;H165&amp;" "&amp;'03 Glass Processing'!R30,"("," "),")"," "),"/"," "),"-"," "),","," "),";"," "),":"," ")&amp;" ")</f>
        <v/>
      </c>
    </row>
    <row r="166" customFormat="false" ht="15" hidden="false" customHeight="false" outlineLevel="0" collapsed="false">
      <c r="A166" s="56" t="str">
        <f aca="false">IF('03 Glass Processing'!$C$31="","","Glass Processing &amp; Fabrication Charges")</f>
        <v/>
      </c>
      <c r="B166" s="57" t="str">
        <f aca="false">IF('03 Glass Processing'!$C$31="","",'03 Glass Processing'!A31)</f>
        <v/>
      </c>
      <c r="C166" s="56" t="str">
        <f aca="false">IF('03 Glass Processing'!$C$31="","",'03 Glass Processing'!B31)</f>
        <v/>
      </c>
      <c r="D166" s="56" t="str">
        <f aca="false">IF('03 Glass Processing'!$C$31="","",'03 Glass Processing'!C31)</f>
        <v/>
      </c>
      <c r="E166" s="56" t="str">
        <f aca="false">IF('03 Glass Processing'!$C$31="","",'03 Glass Processing'!D31)</f>
        <v/>
      </c>
      <c r="F166" s="56" t="str">
        <f aca="false">IF('03 Glass Processing'!$C$31="","",'03 Glass Processing'!E31)</f>
        <v/>
      </c>
      <c r="G166" s="56" t="str">
        <f aca="false">IF('03 Glass Processing'!$C$31="","",'03 Glass Processing'!F31)</f>
        <v/>
      </c>
      <c r="H166" s="57" t="str">
        <f aca="false">IF('03 Glass Processing'!$C$31="","",'03 Glass Processing'!G31)</f>
        <v/>
      </c>
      <c r="I166" s="58" t="str">
        <f aca="false">IF('03 Glass Processing'!$C$31="","",'03 Glass Processing'!J31)</f>
        <v/>
      </c>
      <c r="J166" s="58" t="str">
        <f aca="false">IF('03 Glass Processing'!$C$31="","",'03 Glass Processing'!K31)</f>
        <v/>
      </c>
      <c r="K166" s="58" t="str">
        <f aca="false">IF('03 Glass Processing'!$C$31="","",'03 Glass Processing'!L31)</f>
        <v/>
      </c>
      <c r="L166" s="57" t="str">
        <f aca="false">IF('03 Glass Processing'!$C$31="","",'03 Glass Processing'!M31)</f>
        <v/>
      </c>
      <c r="M166" s="59" t="str">
        <f aca="false">IF(D166="","",IF(AND(OR(Search!$C$6="All Categories",A166=Search!$C$6),OR(Search!$P$5="",ISNUMBER(SEARCH(" "&amp;Search!$P$5,N166))),OR(Search!$P$6="",ISNUMBER(SEARCH(" "&amp;Search!$P$6,N166))),OR(Search!$P$7="",ISNUMBER(SEARCH(" "&amp;Search!$P$7,N166))),OR(Search!$P$8="",ISNUMBER(SEARCH(" "&amp;Search!$P$8,N166))),OR(Search!$P$9="",ISNUMBER(SEARCH(" "&amp;Search!$P$9,N166))),OR(Search!$P$10="",ISNUMBER(SEARCH(" "&amp;Search!$P$10,N166)))),ROW(),""))</f>
        <v/>
      </c>
      <c r="N166" s="0" t="str">
        <f aca="false">IF(D166="",""," "&amp;SUBSTITUTE(SUBSTITUTE(SUBSTITUTE(SUBSTITUTE(SUBSTITUTE(SUBSTITUTE(SUBSTITUTE(B166&amp;" "&amp;C166&amp;" "&amp;D166&amp;" "&amp;E166&amp;" "&amp;F166&amp;" "&amp;G166&amp;" "&amp;H166&amp;" "&amp;'03 Glass Processing'!R31,"("," "),")"," "),"/"," "),"-"," "),","," "),";"," "),":"," ")&amp;" ")</f>
        <v/>
      </c>
    </row>
    <row r="167" customFormat="false" ht="15" hidden="false" customHeight="false" outlineLevel="0" collapsed="false">
      <c r="A167" s="56" t="str">
        <f aca="false">IF('03 Glass Processing'!$C$32="","","Glass Processing &amp; Fabrication Charges")</f>
        <v/>
      </c>
      <c r="B167" s="57" t="str">
        <f aca="false">IF('03 Glass Processing'!$C$32="","",'03 Glass Processing'!A32)</f>
        <v/>
      </c>
      <c r="C167" s="56" t="str">
        <f aca="false">IF('03 Glass Processing'!$C$32="","",'03 Glass Processing'!B32)</f>
        <v/>
      </c>
      <c r="D167" s="56" t="str">
        <f aca="false">IF('03 Glass Processing'!$C$32="","",'03 Glass Processing'!C32)</f>
        <v/>
      </c>
      <c r="E167" s="56" t="str">
        <f aca="false">IF('03 Glass Processing'!$C$32="","",'03 Glass Processing'!D32)</f>
        <v/>
      </c>
      <c r="F167" s="56" t="str">
        <f aca="false">IF('03 Glass Processing'!$C$32="","",'03 Glass Processing'!E32)</f>
        <v/>
      </c>
      <c r="G167" s="56" t="str">
        <f aca="false">IF('03 Glass Processing'!$C$32="","",'03 Glass Processing'!F32)</f>
        <v/>
      </c>
      <c r="H167" s="57" t="str">
        <f aca="false">IF('03 Glass Processing'!$C$32="","",'03 Glass Processing'!G32)</f>
        <v/>
      </c>
      <c r="I167" s="58" t="str">
        <f aca="false">IF('03 Glass Processing'!$C$32="","",'03 Glass Processing'!J32)</f>
        <v/>
      </c>
      <c r="J167" s="58" t="str">
        <f aca="false">IF('03 Glass Processing'!$C$32="","",'03 Glass Processing'!K32)</f>
        <v/>
      </c>
      <c r="K167" s="58" t="str">
        <f aca="false">IF('03 Glass Processing'!$C$32="","",'03 Glass Processing'!L32)</f>
        <v/>
      </c>
      <c r="L167" s="57" t="str">
        <f aca="false">IF('03 Glass Processing'!$C$32="","",'03 Glass Processing'!M32)</f>
        <v/>
      </c>
      <c r="M167" s="59" t="str">
        <f aca="false">IF(D167="","",IF(AND(OR(Search!$C$6="All Categories",A167=Search!$C$6),OR(Search!$P$5="",ISNUMBER(SEARCH(" "&amp;Search!$P$5,N167))),OR(Search!$P$6="",ISNUMBER(SEARCH(" "&amp;Search!$P$6,N167))),OR(Search!$P$7="",ISNUMBER(SEARCH(" "&amp;Search!$P$7,N167))),OR(Search!$P$8="",ISNUMBER(SEARCH(" "&amp;Search!$P$8,N167))),OR(Search!$P$9="",ISNUMBER(SEARCH(" "&amp;Search!$P$9,N167))),OR(Search!$P$10="",ISNUMBER(SEARCH(" "&amp;Search!$P$10,N167)))),ROW(),""))</f>
        <v/>
      </c>
      <c r="N167" s="0" t="str">
        <f aca="false">IF(D167="",""," "&amp;SUBSTITUTE(SUBSTITUTE(SUBSTITUTE(SUBSTITUTE(SUBSTITUTE(SUBSTITUTE(SUBSTITUTE(B167&amp;" "&amp;C167&amp;" "&amp;D167&amp;" "&amp;E167&amp;" "&amp;F167&amp;" "&amp;G167&amp;" "&amp;H167&amp;" "&amp;'03 Glass Processing'!R32,"("," "),")"," "),"/"," "),"-"," "),","," "),";"," "),":"," ")&amp;" ")</f>
        <v/>
      </c>
    </row>
    <row r="168" customFormat="false" ht="15" hidden="false" customHeight="false" outlineLevel="0" collapsed="false">
      <c r="A168" s="56" t="str">
        <f aca="false">IF('03 Glass Processing'!$C$33="","","Glass Processing &amp; Fabrication Charges")</f>
        <v/>
      </c>
      <c r="B168" s="57" t="str">
        <f aca="false">IF('03 Glass Processing'!$C$33="","",'03 Glass Processing'!A33)</f>
        <v/>
      </c>
      <c r="C168" s="56" t="str">
        <f aca="false">IF('03 Glass Processing'!$C$33="","",'03 Glass Processing'!B33)</f>
        <v/>
      </c>
      <c r="D168" s="56" t="str">
        <f aca="false">IF('03 Glass Processing'!$C$33="","",'03 Glass Processing'!C33)</f>
        <v/>
      </c>
      <c r="E168" s="56" t="str">
        <f aca="false">IF('03 Glass Processing'!$C$33="","",'03 Glass Processing'!D33)</f>
        <v/>
      </c>
      <c r="F168" s="56" t="str">
        <f aca="false">IF('03 Glass Processing'!$C$33="","",'03 Glass Processing'!E33)</f>
        <v/>
      </c>
      <c r="G168" s="56" t="str">
        <f aca="false">IF('03 Glass Processing'!$C$33="","",'03 Glass Processing'!F33)</f>
        <v/>
      </c>
      <c r="H168" s="57" t="str">
        <f aca="false">IF('03 Glass Processing'!$C$33="","",'03 Glass Processing'!G33)</f>
        <v/>
      </c>
      <c r="I168" s="58" t="str">
        <f aca="false">IF('03 Glass Processing'!$C$33="","",'03 Glass Processing'!J33)</f>
        <v/>
      </c>
      <c r="J168" s="58" t="str">
        <f aca="false">IF('03 Glass Processing'!$C$33="","",'03 Glass Processing'!K33)</f>
        <v/>
      </c>
      <c r="K168" s="58" t="str">
        <f aca="false">IF('03 Glass Processing'!$C$33="","",'03 Glass Processing'!L33)</f>
        <v/>
      </c>
      <c r="L168" s="57" t="str">
        <f aca="false">IF('03 Glass Processing'!$C$33="","",'03 Glass Processing'!M33)</f>
        <v/>
      </c>
      <c r="M168" s="59" t="str">
        <f aca="false">IF(D168="","",IF(AND(OR(Search!$C$6="All Categories",A168=Search!$C$6),OR(Search!$P$5="",ISNUMBER(SEARCH(" "&amp;Search!$P$5,N168))),OR(Search!$P$6="",ISNUMBER(SEARCH(" "&amp;Search!$P$6,N168))),OR(Search!$P$7="",ISNUMBER(SEARCH(" "&amp;Search!$P$7,N168))),OR(Search!$P$8="",ISNUMBER(SEARCH(" "&amp;Search!$P$8,N168))),OR(Search!$P$9="",ISNUMBER(SEARCH(" "&amp;Search!$P$9,N168))),OR(Search!$P$10="",ISNUMBER(SEARCH(" "&amp;Search!$P$10,N168)))),ROW(),""))</f>
        <v/>
      </c>
      <c r="N168" s="0" t="str">
        <f aca="false">IF(D168="",""," "&amp;SUBSTITUTE(SUBSTITUTE(SUBSTITUTE(SUBSTITUTE(SUBSTITUTE(SUBSTITUTE(SUBSTITUTE(B168&amp;" "&amp;C168&amp;" "&amp;D168&amp;" "&amp;E168&amp;" "&amp;F168&amp;" "&amp;G168&amp;" "&amp;H168&amp;" "&amp;'03 Glass Processing'!R33,"("," "),")"," "),"/"," "),"-"," "),","," "),";"," "),":"," ")&amp;" ")</f>
        <v/>
      </c>
    </row>
    <row r="169" customFormat="false" ht="15" hidden="false" customHeight="false" outlineLevel="0" collapsed="false">
      <c r="A169" s="56" t="str">
        <f aca="false">IF('03 Glass Processing'!$C$34="","","Glass Processing &amp; Fabrication Charges")</f>
        <v/>
      </c>
      <c r="B169" s="57" t="str">
        <f aca="false">IF('03 Glass Processing'!$C$34="","",'03 Glass Processing'!A34)</f>
        <v/>
      </c>
      <c r="C169" s="56" t="str">
        <f aca="false">IF('03 Glass Processing'!$C$34="","",'03 Glass Processing'!B34)</f>
        <v/>
      </c>
      <c r="D169" s="56" t="str">
        <f aca="false">IF('03 Glass Processing'!$C$34="","",'03 Glass Processing'!C34)</f>
        <v/>
      </c>
      <c r="E169" s="56" t="str">
        <f aca="false">IF('03 Glass Processing'!$C$34="","",'03 Glass Processing'!D34)</f>
        <v/>
      </c>
      <c r="F169" s="56" t="str">
        <f aca="false">IF('03 Glass Processing'!$C$34="","",'03 Glass Processing'!E34)</f>
        <v/>
      </c>
      <c r="G169" s="56" t="str">
        <f aca="false">IF('03 Glass Processing'!$C$34="","",'03 Glass Processing'!F34)</f>
        <v/>
      </c>
      <c r="H169" s="57" t="str">
        <f aca="false">IF('03 Glass Processing'!$C$34="","",'03 Glass Processing'!G34)</f>
        <v/>
      </c>
      <c r="I169" s="58" t="str">
        <f aca="false">IF('03 Glass Processing'!$C$34="","",'03 Glass Processing'!J34)</f>
        <v/>
      </c>
      <c r="J169" s="58" t="str">
        <f aca="false">IF('03 Glass Processing'!$C$34="","",'03 Glass Processing'!K34)</f>
        <v/>
      </c>
      <c r="K169" s="58" t="str">
        <f aca="false">IF('03 Glass Processing'!$C$34="","",'03 Glass Processing'!L34)</f>
        <v/>
      </c>
      <c r="L169" s="57" t="str">
        <f aca="false">IF('03 Glass Processing'!$C$34="","",'03 Glass Processing'!M34)</f>
        <v/>
      </c>
      <c r="M169" s="59" t="str">
        <f aca="false">IF(D169="","",IF(AND(OR(Search!$C$6="All Categories",A169=Search!$C$6),OR(Search!$P$5="",ISNUMBER(SEARCH(" "&amp;Search!$P$5,N169))),OR(Search!$P$6="",ISNUMBER(SEARCH(" "&amp;Search!$P$6,N169))),OR(Search!$P$7="",ISNUMBER(SEARCH(" "&amp;Search!$P$7,N169))),OR(Search!$P$8="",ISNUMBER(SEARCH(" "&amp;Search!$P$8,N169))),OR(Search!$P$9="",ISNUMBER(SEARCH(" "&amp;Search!$P$9,N169))),OR(Search!$P$10="",ISNUMBER(SEARCH(" "&amp;Search!$P$10,N169)))),ROW(),""))</f>
        <v/>
      </c>
      <c r="N169" s="0" t="str">
        <f aca="false">IF(D169="",""," "&amp;SUBSTITUTE(SUBSTITUTE(SUBSTITUTE(SUBSTITUTE(SUBSTITUTE(SUBSTITUTE(SUBSTITUTE(B169&amp;" "&amp;C169&amp;" "&amp;D169&amp;" "&amp;E169&amp;" "&amp;F169&amp;" "&amp;G169&amp;" "&amp;H169&amp;" "&amp;'03 Glass Processing'!R34,"("," "),")"," "),"/"," "),"-"," "),","," "),";"," "),":"," ")&amp;" ")</f>
        <v/>
      </c>
    </row>
    <row r="170" customFormat="false" ht="15" hidden="false" customHeight="false" outlineLevel="0" collapsed="false">
      <c r="A170" s="56" t="str">
        <f aca="false">IF('03 Glass Processing'!$C$35="","","Glass Processing &amp; Fabrication Charges")</f>
        <v/>
      </c>
      <c r="B170" s="57" t="str">
        <f aca="false">IF('03 Glass Processing'!$C$35="","",'03 Glass Processing'!A35)</f>
        <v/>
      </c>
      <c r="C170" s="56" t="str">
        <f aca="false">IF('03 Glass Processing'!$C$35="","",'03 Glass Processing'!B35)</f>
        <v/>
      </c>
      <c r="D170" s="56" t="str">
        <f aca="false">IF('03 Glass Processing'!$C$35="","",'03 Glass Processing'!C35)</f>
        <v/>
      </c>
      <c r="E170" s="56" t="str">
        <f aca="false">IF('03 Glass Processing'!$C$35="","",'03 Glass Processing'!D35)</f>
        <v/>
      </c>
      <c r="F170" s="56" t="str">
        <f aca="false">IF('03 Glass Processing'!$C$35="","",'03 Glass Processing'!E35)</f>
        <v/>
      </c>
      <c r="G170" s="56" t="str">
        <f aca="false">IF('03 Glass Processing'!$C$35="","",'03 Glass Processing'!F35)</f>
        <v/>
      </c>
      <c r="H170" s="57" t="str">
        <f aca="false">IF('03 Glass Processing'!$C$35="","",'03 Glass Processing'!G35)</f>
        <v/>
      </c>
      <c r="I170" s="58" t="str">
        <f aca="false">IF('03 Glass Processing'!$C$35="","",'03 Glass Processing'!J35)</f>
        <v/>
      </c>
      <c r="J170" s="58" t="str">
        <f aca="false">IF('03 Glass Processing'!$C$35="","",'03 Glass Processing'!K35)</f>
        <v/>
      </c>
      <c r="K170" s="58" t="str">
        <f aca="false">IF('03 Glass Processing'!$C$35="","",'03 Glass Processing'!L35)</f>
        <v/>
      </c>
      <c r="L170" s="57" t="str">
        <f aca="false">IF('03 Glass Processing'!$C$35="","",'03 Glass Processing'!M35)</f>
        <v/>
      </c>
      <c r="M170" s="59" t="str">
        <f aca="false">IF(D170="","",IF(AND(OR(Search!$C$6="All Categories",A170=Search!$C$6),OR(Search!$P$5="",ISNUMBER(SEARCH(" "&amp;Search!$P$5,N170))),OR(Search!$P$6="",ISNUMBER(SEARCH(" "&amp;Search!$P$6,N170))),OR(Search!$P$7="",ISNUMBER(SEARCH(" "&amp;Search!$P$7,N170))),OR(Search!$P$8="",ISNUMBER(SEARCH(" "&amp;Search!$P$8,N170))),OR(Search!$P$9="",ISNUMBER(SEARCH(" "&amp;Search!$P$9,N170))),OR(Search!$P$10="",ISNUMBER(SEARCH(" "&amp;Search!$P$10,N170)))),ROW(),""))</f>
        <v/>
      </c>
      <c r="N170" s="0" t="str">
        <f aca="false">IF(D170="",""," "&amp;SUBSTITUTE(SUBSTITUTE(SUBSTITUTE(SUBSTITUTE(SUBSTITUTE(SUBSTITUTE(SUBSTITUTE(B170&amp;" "&amp;C170&amp;" "&amp;D170&amp;" "&amp;E170&amp;" "&amp;F170&amp;" "&amp;G170&amp;" "&amp;H170&amp;" "&amp;'03 Glass Processing'!R35,"("," "),")"," "),"/"," "),"-"," "),","," "),";"," "),":"," ")&amp;" ")</f>
        <v/>
      </c>
    </row>
    <row r="171" customFormat="false" ht="15" hidden="false" customHeight="false" outlineLevel="0" collapsed="false">
      <c r="A171" s="56" t="str">
        <f aca="false">IF('03 Glass Processing'!$C$36="","","Glass Processing &amp; Fabrication Charges")</f>
        <v/>
      </c>
      <c r="B171" s="57" t="str">
        <f aca="false">IF('03 Glass Processing'!$C$36="","",'03 Glass Processing'!A36)</f>
        <v/>
      </c>
      <c r="C171" s="56" t="str">
        <f aca="false">IF('03 Glass Processing'!$C$36="","",'03 Glass Processing'!B36)</f>
        <v/>
      </c>
      <c r="D171" s="56" t="str">
        <f aca="false">IF('03 Glass Processing'!$C$36="","",'03 Glass Processing'!C36)</f>
        <v/>
      </c>
      <c r="E171" s="56" t="str">
        <f aca="false">IF('03 Glass Processing'!$C$36="","",'03 Glass Processing'!D36)</f>
        <v/>
      </c>
      <c r="F171" s="56" t="str">
        <f aca="false">IF('03 Glass Processing'!$C$36="","",'03 Glass Processing'!E36)</f>
        <v/>
      </c>
      <c r="G171" s="56" t="str">
        <f aca="false">IF('03 Glass Processing'!$C$36="","",'03 Glass Processing'!F36)</f>
        <v/>
      </c>
      <c r="H171" s="57" t="str">
        <f aca="false">IF('03 Glass Processing'!$C$36="","",'03 Glass Processing'!G36)</f>
        <v/>
      </c>
      <c r="I171" s="58" t="str">
        <f aca="false">IF('03 Glass Processing'!$C$36="","",'03 Glass Processing'!J36)</f>
        <v/>
      </c>
      <c r="J171" s="58" t="str">
        <f aca="false">IF('03 Glass Processing'!$C$36="","",'03 Glass Processing'!K36)</f>
        <v/>
      </c>
      <c r="K171" s="58" t="str">
        <f aca="false">IF('03 Glass Processing'!$C$36="","",'03 Glass Processing'!L36)</f>
        <v/>
      </c>
      <c r="L171" s="57" t="str">
        <f aca="false">IF('03 Glass Processing'!$C$36="","",'03 Glass Processing'!M36)</f>
        <v/>
      </c>
      <c r="M171" s="59" t="str">
        <f aca="false">IF(D171="","",IF(AND(OR(Search!$C$6="All Categories",A171=Search!$C$6),OR(Search!$P$5="",ISNUMBER(SEARCH(" "&amp;Search!$P$5,N171))),OR(Search!$P$6="",ISNUMBER(SEARCH(" "&amp;Search!$P$6,N171))),OR(Search!$P$7="",ISNUMBER(SEARCH(" "&amp;Search!$P$7,N171))),OR(Search!$P$8="",ISNUMBER(SEARCH(" "&amp;Search!$P$8,N171))),OR(Search!$P$9="",ISNUMBER(SEARCH(" "&amp;Search!$P$9,N171))),OR(Search!$P$10="",ISNUMBER(SEARCH(" "&amp;Search!$P$10,N171)))),ROW(),""))</f>
        <v/>
      </c>
      <c r="N171" s="0" t="str">
        <f aca="false">IF(D171="",""," "&amp;SUBSTITUTE(SUBSTITUTE(SUBSTITUTE(SUBSTITUTE(SUBSTITUTE(SUBSTITUTE(SUBSTITUTE(B171&amp;" "&amp;C171&amp;" "&amp;D171&amp;" "&amp;E171&amp;" "&amp;F171&amp;" "&amp;G171&amp;" "&amp;H171&amp;" "&amp;'03 Glass Processing'!R36,"("," "),")"," "),"/"," "),"-"," "),","," "),";"," "),":"," ")&amp;" ")</f>
        <v/>
      </c>
    </row>
    <row r="172" customFormat="false" ht="15" hidden="false" customHeight="false" outlineLevel="0" collapsed="false">
      <c r="A172" s="56" t="str">
        <f aca="false">IF('03 Glass Processing'!$C$37="","","Glass Processing &amp; Fabrication Charges")</f>
        <v/>
      </c>
      <c r="B172" s="57" t="str">
        <f aca="false">IF('03 Glass Processing'!$C$37="","",'03 Glass Processing'!A37)</f>
        <v/>
      </c>
      <c r="C172" s="56" t="str">
        <f aca="false">IF('03 Glass Processing'!$C$37="","",'03 Glass Processing'!B37)</f>
        <v/>
      </c>
      <c r="D172" s="56" t="str">
        <f aca="false">IF('03 Glass Processing'!$C$37="","",'03 Glass Processing'!C37)</f>
        <v/>
      </c>
      <c r="E172" s="56" t="str">
        <f aca="false">IF('03 Glass Processing'!$C$37="","",'03 Glass Processing'!D37)</f>
        <v/>
      </c>
      <c r="F172" s="56" t="str">
        <f aca="false">IF('03 Glass Processing'!$C$37="","",'03 Glass Processing'!E37)</f>
        <v/>
      </c>
      <c r="G172" s="56" t="str">
        <f aca="false">IF('03 Glass Processing'!$C$37="","",'03 Glass Processing'!F37)</f>
        <v/>
      </c>
      <c r="H172" s="57" t="str">
        <f aca="false">IF('03 Glass Processing'!$C$37="","",'03 Glass Processing'!G37)</f>
        <v/>
      </c>
      <c r="I172" s="58" t="str">
        <f aca="false">IF('03 Glass Processing'!$C$37="","",'03 Glass Processing'!J37)</f>
        <v/>
      </c>
      <c r="J172" s="58" t="str">
        <f aca="false">IF('03 Glass Processing'!$C$37="","",'03 Glass Processing'!K37)</f>
        <v/>
      </c>
      <c r="K172" s="58" t="str">
        <f aca="false">IF('03 Glass Processing'!$C$37="","",'03 Glass Processing'!L37)</f>
        <v/>
      </c>
      <c r="L172" s="57" t="str">
        <f aca="false">IF('03 Glass Processing'!$C$37="","",'03 Glass Processing'!M37)</f>
        <v/>
      </c>
      <c r="M172" s="59" t="str">
        <f aca="false">IF(D172="","",IF(AND(OR(Search!$C$6="All Categories",A172=Search!$C$6),OR(Search!$P$5="",ISNUMBER(SEARCH(" "&amp;Search!$P$5,N172))),OR(Search!$P$6="",ISNUMBER(SEARCH(" "&amp;Search!$P$6,N172))),OR(Search!$P$7="",ISNUMBER(SEARCH(" "&amp;Search!$P$7,N172))),OR(Search!$P$8="",ISNUMBER(SEARCH(" "&amp;Search!$P$8,N172))),OR(Search!$P$9="",ISNUMBER(SEARCH(" "&amp;Search!$P$9,N172))),OR(Search!$P$10="",ISNUMBER(SEARCH(" "&amp;Search!$P$10,N172)))),ROW(),""))</f>
        <v/>
      </c>
      <c r="N172" s="0" t="str">
        <f aca="false">IF(D172="",""," "&amp;SUBSTITUTE(SUBSTITUTE(SUBSTITUTE(SUBSTITUTE(SUBSTITUTE(SUBSTITUTE(SUBSTITUTE(B172&amp;" "&amp;C172&amp;" "&amp;D172&amp;" "&amp;E172&amp;" "&amp;F172&amp;" "&amp;G172&amp;" "&amp;H172&amp;" "&amp;'03 Glass Processing'!R37,"("," "),")"," "),"/"," "),"-"," "),","," "),";"," "),":"," ")&amp;" ")</f>
        <v/>
      </c>
    </row>
    <row r="173" customFormat="false" ht="15" hidden="false" customHeight="false" outlineLevel="0" collapsed="false">
      <c r="A173" s="56" t="str">
        <f aca="false">IF('03 Glass Processing'!$C$38="","","Glass Processing &amp; Fabrication Charges")</f>
        <v/>
      </c>
      <c r="B173" s="57" t="str">
        <f aca="false">IF('03 Glass Processing'!$C$38="","",'03 Glass Processing'!A38)</f>
        <v/>
      </c>
      <c r="C173" s="56" t="str">
        <f aca="false">IF('03 Glass Processing'!$C$38="","",'03 Glass Processing'!B38)</f>
        <v/>
      </c>
      <c r="D173" s="56" t="str">
        <f aca="false">IF('03 Glass Processing'!$C$38="","",'03 Glass Processing'!C38)</f>
        <v/>
      </c>
      <c r="E173" s="56" t="str">
        <f aca="false">IF('03 Glass Processing'!$C$38="","",'03 Glass Processing'!D38)</f>
        <v/>
      </c>
      <c r="F173" s="56" t="str">
        <f aca="false">IF('03 Glass Processing'!$C$38="","",'03 Glass Processing'!E38)</f>
        <v/>
      </c>
      <c r="G173" s="56" t="str">
        <f aca="false">IF('03 Glass Processing'!$C$38="","",'03 Glass Processing'!F38)</f>
        <v/>
      </c>
      <c r="H173" s="57" t="str">
        <f aca="false">IF('03 Glass Processing'!$C$38="","",'03 Glass Processing'!G38)</f>
        <v/>
      </c>
      <c r="I173" s="58" t="str">
        <f aca="false">IF('03 Glass Processing'!$C$38="","",'03 Glass Processing'!J38)</f>
        <v/>
      </c>
      <c r="J173" s="58" t="str">
        <f aca="false">IF('03 Glass Processing'!$C$38="","",'03 Glass Processing'!K38)</f>
        <v/>
      </c>
      <c r="K173" s="58" t="str">
        <f aca="false">IF('03 Glass Processing'!$C$38="","",'03 Glass Processing'!L38)</f>
        <v/>
      </c>
      <c r="L173" s="57" t="str">
        <f aca="false">IF('03 Glass Processing'!$C$38="","",'03 Glass Processing'!M38)</f>
        <v/>
      </c>
      <c r="M173" s="59" t="str">
        <f aca="false">IF(D173="","",IF(AND(OR(Search!$C$6="All Categories",A173=Search!$C$6),OR(Search!$P$5="",ISNUMBER(SEARCH(" "&amp;Search!$P$5,N173))),OR(Search!$P$6="",ISNUMBER(SEARCH(" "&amp;Search!$P$6,N173))),OR(Search!$P$7="",ISNUMBER(SEARCH(" "&amp;Search!$P$7,N173))),OR(Search!$P$8="",ISNUMBER(SEARCH(" "&amp;Search!$P$8,N173))),OR(Search!$P$9="",ISNUMBER(SEARCH(" "&amp;Search!$P$9,N173))),OR(Search!$P$10="",ISNUMBER(SEARCH(" "&amp;Search!$P$10,N173)))),ROW(),""))</f>
        <v/>
      </c>
      <c r="N173" s="0" t="str">
        <f aca="false">IF(D173="",""," "&amp;SUBSTITUTE(SUBSTITUTE(SUBSTITUTE(SUBSTITUTE(SUBSTITUTE(SUBSTITUTE(SUBSTITUTE(B173&amp;" "&amp;C173&amp;" "&amp;D173&amp;" "&amp;E173&amp;" "&amp;F173&amp;" "&amp;G173&amp;" "&amp;H173&amp;" "&amp;'03 Glass Processing'!R38,"("," "),")"," "),"/"," "),"-"," "),","," "),";"," "),":"," ")&amp;" ")</f>
        <v/>
      </c>
    </row>
    <row r="174" customFormat="false" ht="15" hidden="false" customHeight="false" outlineLevel="0" collapsed="false">
      <c r="A174" s="56" t="str">
        <f aca="false">IF('03 Glass Processing'!$C$39="","","Glass Processing &amp; Fabrication Charges")</f>
        <v/>
      </c>
      <c r="B174" s="57" t="str">
        <f aca="false">IF('03 Glass Processing'!$C$39="","",'03 Glass Processing'!A39)</f>
        <v/>
      </c>
      <c r="C174" s="56" t="str">
        <f aca="false">IF('03 Glass Processing'!$C$39="","",'03 Glass Processing'!B39)</f>
        <v/>
      </c>
      <c r="D174" s="56" t="str">
        <f aca="false">IF('03 Glass Processing'!$C$39="","",'03 Glass Processing'!C39)</f>
        <v/>
      </c>
      <c r="E174" s="56" t="str">
        <f aca="false">IF('03 Glass Processing'!$C$39="","",'03 Glass Processing'!D39)</f>
        <v/>
      </c>
      <c r="F174" s="56" t="str">
        <f aca="false">IF('03 Glass Processing'!$C$39="","",'03 Glass Processing'!E39)</f>
        <v/>
      </c>
      <c r="G174" s="56" t="str">
        <f aca="false">IF('03 Glass Processing'!$C$39="","",'03 Glass Processing'!F39)</f>
        <v/>
      </c>
      <c r="H174" s="57" t="str">
        <f aca="false">IF('03 Glass Processing'!$C$39="","",'03 Glass Processing'!G39)</f>
        <v/>
      </c>
      <c r="I174" s="58" t="str">
        <f aca="false">IF('03 Glass Processing'!$C$39="","",'03 Glass Processing'!J39)</f>
        <v/>
      </c>
      <c r="J174" s="58" t="str">
        <f aca="false">IF('03 Glass Processing'!$C$39="","",'03 Glass Processing'!K39)</f>
        <v/>
      </c>
      <c r="K174" s="58" t="str">
        <f aca="false">IF('03 Glass Processing'!$C$39="","",'03 Glass Processing'!L39)</f>
        <v/>
      </c>
      <c r="L174" s="57" t="str">
        <f aca="false">IF('03 Glass Processing'!$C$39="","",'03 Glass Processing'!M39)</f>
        <v/>
      </c>
      <c r="M174" s="59" t="str">
        <f aca="false">IF(D174="","",IF(AND(OR(Search!$C$6="All Categories",A174=Search!$C$6),OR(Search!$P$5="",ISNUMBER(SEARCH(" "&amp;Search!$P$5,N174))),OR(Search!$P$6="",ISNUMBER(SEARCH(" "&amp;Search!$P$6,N174))),OR(Search!$P$7="",ISNUMBER(SEARCH(" "&amp;Search!$P$7,N174))),OR(Search!$P$8="",ISNUMBER(SEARCH(" "&amp;Search!$P$8,N174))),OR(Search!$P$9="",ISNUMBER(SEARCH(" "&amp;Search!$P$9,N174))),OR(Search!$P$10="",ISNUMBER(SEARCH(" "&amp;Search!$P$10,N174)))),ROW(),""))</f>
        <v/>
      </c>
      <c r="N174" s="0" t="str">
        <f aca="false">IF(D174="",""," "&amp;SUBSTITUTE(SUBSTITUTE(SUBSTITUTE(SUBSTITUTE(SUBSTITUTE(SUBSTITUTE(SUBSTITUTE(B174&amp;" "&amp;C174&amp;" "&amp;D174&amp;" "&amp;E174&amp;" "&amp;F174&amp;" "&amp;G174&amp;" "&amp;H174&amp;" "&amp;'03 Glass Processing'!R39,"("," "),")"," "),"/"," "),"-"," "),","," "),";"," "),":"," ")&amp;" ")</f>
        <v/>
      </c>
    </row>
    <row r="175" customFormat="false" ht="15" hidden="false" customHeight="false" outlineLevel="0" collapsed="false">
      <c r="A175" s="56" t="str">
        <f aca="false">IF('03 Glass Processing'!$C$40="","","Glass Processing &amp; Fabrication Charges")</f>
        <v/>
      </c>
      <c r="B175" s="57" t="str">
        <f aca="false">IF('03 Glass Processing'!$C$40="","",'03 Glass Processing'!A40)</f>
        <v/>
      </c>
      <c r="C175" s="56" t="str">
        <f aca="false">IF('03 Glass Processing'!$C$40="","",'03 Glass Processing'!B40)</f>
        <v/>
      </c>
      <c r="D175" s="56" t="str">
        <f aca="false">IF('03 Glass Processing'!$C$40="","",'03 Glass Processing'!C40)</f>
        <v/>
      </c>
      <c r="E175" s="56" t="str">
        <f aca="false">IF('03 Glass Processing'!$C$40="","",'03 Glass Processing'!D40)</f>
        <v/>
      </c>
      <c r="F175" s="56" t="str">
        <f aca="false">IF('03 Glass Processing'!$C$40="","",'03 Glass Processing'!E40)</f>
        <v/>
      </c>
      <c r="G175" s="56" t="str">
        <f aca="false">IF('03 Glass Processing'!$C$40="","",'03 Glass Processing'!F40)</f>
        <v/>
      </c>
      <c r="H175" s="57" t="str">
        <f aca="false">IF('03 Glass Processing'!$C$40="","",'03 Glass Processing'!G40)</f>
        <v/>
      </c>
      <c r="I175" s="58" t="str">
        <f aca="false">IF('03 Glass Processing'!$C$40="","",'03 Glass Processing'!J40)</f>
        <v/>
      </c>
      <c r="J175" s="58" t="str">
        <f aca="false">IF('03 Glass Processing'!$C$40="","",'03 Glass Processing'!K40)</f>
        <v/>
      </c>
      <c r="K175" s="58" t="str">
        <f aca="false">IF('03 Glass Processing'!$C$40="","",'03 Glass Processing'!L40)</f>
        <v/>
      </c>
      <c r="L175" s="57" t="str">
        <f aca="false">IF('03 Glass Processing'!$C$40="","",'03 Glass Processing'!M40)</f>
        <v/>
      </c>
      <c r="M175" s="59" t="str">
        <f aca="false">IF(D175="","",IF(AND(OR(Search!$C$6="All Categories",A175=Search!$C$6),OR(Search!$P$5="",ISNUMBER(SEARCH(" "&amp;Search!$P$5,N175))),OR(Search!$P$6="",ISNUMBER(SEARCH(" "&amp;Search!$P$6,N175))),OR(Search!$P$7="",ISNUMBER(SEARCH(" "&amp;Search!$P$7,N175))),OR(Search!$P$8="",ISNUMBER(SEARCH(" "&amp;Search!$P$8,N175))),OR(Search!$P$9="",ISNUMBER(SEARCH(" "&amp;Search!$P$9,N175))),OR(Search!$P$10="",ISNUMBER(SEARCH(" "&amp;Search!$P$10,N175)))),ROW(),""))</f>
        <v/>
      </c>
      <c r="N175" s="0" t="str">
        <f aca="false">IF(D175="",""," "&amp;SUBSTITUTE(SUBSTITUTE(SUBSTITUTE(SUBSTITUTE(SUBSTITUTE(SUBSTITUTE(SUBSTITUTE(B175&amp;" "&amp;C175&amp;" "&amp;D175&amp;" "&amp;E175&amp;" "&amp;F175&amp;" "&amp;G175&amp;" "&amp;H175&amp;" "&amp;'03 Glass Processing'!R40,"("," "),")"," "),"/"," "),"-"," "),","," "),";"," "),":"," ")&amp;" ")</f>
        <v/>
      </c>
    </row>
    <row r="176" customFormat="false" ht="15" hidden="false" customHeight="false" outlineLevel="0" collapsed="false">
      <c r="A176" s="56" t="str">
        <f aca="false">IF('03 Glass Processing'!$C$41="","","Glass Processing &amp; Fabrication Charges")</f>
        <v/>
      </c>
      <c r="B176" s="57" t="str">
        <f aca="false">IF('03 Glass Processing'!$C$41="","",'03 Glass Processing'!A41)</f>
        <v/>
      </c>
      <c r="C176" s="56" t="str">
        <f aca="false">IF('03 Glass Processing'!$C$41="","",'03 Glass Processing'!B41)</f>
        <v/>
      </c>
      <c r="D176" s="56" t="str">
        <f aca="false">IF('03 Glass Processing'!$C$41="","",'03 Glass Processing'!C41)</f>
        <v/>
      </c>
      <c r="E176" s="56" t="str">
        <f aca="false">IF('03 Glass Processing'!$C$41="","",'03 Glass Processing'!D41)</f>
        <v/>
      </c>
      <c r="F176" s="56" t="str">
        <f aca="false">IF('03 Glass Processing'!$C$41="","",'03 Glass Processing'!E41)</f>
        <v/>
      </c>
      <c r="G176" s="56" t="str">
        <f aca="false">IF('03 Glass Processing'!$C$41="","",'03 Glass Processing'!F41)</f>
        <v/>
      </c>
      <c r="H176" s="57" t="str">
        <f aca="false">IF('03 Glass Processing'!$C$41="","",'03 Glass Processing'!G41)</f>
        <v/>
      </c>
      <c r="I176" s="58" t="str">
        <f aca="false">IF('03 Glass Processing'!$C$41="","",'03 Glass Processing'!J41)</f>
        <v/>
      </c>
      <c r="J176" s="58" t="str">
        <f aca="false">IF('03 Glass Processing'!$C$41="","",'03 Glass Processing'!K41)</f>
        <v/>
      </c>
      <c r="K176" s="58" t="str">
        <f aca="false">IF('03 Glass Processing'!$C$41="","",'03 Glass Processing'!L41)</f>
        <v/>
      </c>
      <c r="L176" s="57" t="str">
        <f aca="false">IF('03 Glass Processing'!$C$41="","",'03 Glass Processing'!M41)</f>
        <v/>
      </c>
      <c r="M176" s="59" t="str">
        <f aca="false">IF(D176="","",IF(AND(OR(Search!$C$6="All Categories",A176=Search!$C$6),OR(Search!$P$5="",ISNUMBER(SEARCH(" "&amp;Search!$P$5,N176))),OR(Search!$P$6="",ISNUMBER(SEARCH(" "&amp;Search!$P$6,N176))),OR(Search!$P$7="",ISNUMBER(SEARCH(" "&amp;Search!$P$7,N176))),OR(Search!$P$8="",ISNUMBER(SEARCH(" "&amp;Search!$P$8,N176))),OR(Search!$P$9="",ISNUMBER(SEARCH(" "&amp;Search!$P$9,N176))),OR(Search!$P$10="",ISNUMBER(SEARCH(" "&amp;Search!$P$10,N176)))),ROW(),""))</f>
        <v/>
      </c>
      <c r="N176" s="0" t="str">
        <f aca="false">IF(D176="",""," "&amp;SUBSTITUTE(SUBSTITUTE(SUBSTITUTE(SUBSTITUTE(SUBSTITUTE(SUBSTITUTE(SUBSTITUTE(B176&amp;" "&amp;C176&amp;" "&amp;D176&amp;" "&amp;E176&amp;" "&amp;F176&amp;" "&amp;G176&amp;" "&amp;H176&amp;" "&amp;'03 Glass Processing'!R41,"("," "),")"," "),"/"," "),"-"," "),","," "),";"," "),":"," ")&amp;" ")</f>
        <v/>
      </c>
    </row>
    <row r="177" customFormat="false" ht="15" hidden="false" customHeight="false" outlineLevel="0" collapsed="false">
      <c r="A177" s="56" t="str">
        <f aca="false">IF('03 Glass Processing'!$C$42="","","Glass Processing &amp; Fabrication Charges")</f>
        <v/>
      </c>
      <c r="B177" s="57" t="str">
        <f aca="false">IF('03 Glass Processing'!$C$42="","",'03 Glass Processing'!A42)</f>
        <v/>
      </c>
      <c r="C177" s="56" t="str">
        <f aca="false">IF('03 Glass Processing'!$C$42="","",'03 Glass Processing'!B42)</f>
        <v/>
      </c>
      <c r="D177" s="56" t="str">
        <f aca="false">IF('03 Glass Processing'!$C$42="","",'03 Glass Processing'!C42)</f>
        <v/>
      </c>
      <c r="E177" s="56" t="str">
        <f aca="false">IF('03 Glass Processing'!$C$42="","",'03 Glass Processing'!D42)</f>
        <v/>
      </c>
      <c r="F177" s="56" t="str">
        <f aca="false">IF('03 Glass Processing'!$C$42="","",'03 Glass Processing'!E42)</f>
        <v/>
      </c>
      <c r="G177" s="56" t="str">
        <f aca="false">IF('03 Glass Processing'!$C$42="","",'03 Glass Processing'!F42)</f>
        <v/>
      </c>
      <c r="H177" s="57" t="str">
        <f aca="false">IF('03 Glass Processing'!$C$42="","",'03 Glass Processing'!G42)</f>
        <v/>
      </c>
      <c r="I177" s="58" t="str">
        <f aca="false">IF('03 Glass Processing'!$C$42="","",'03 Glass Processing'!J42)</f>
        <v/>
      </c>
      <c r="J177" s="58" t="str">
        <f aca="false">IF('03 Glass Processing'!$C$42="","",'03 Glass Processing'!K42)</f>
        <v/>
      </c>
      <c r="K177" s="58" t="str">
        <f aca="false">IF('03 Glass Processing'!$C$42="","",'03 Glass Processing'!L42)</f>
        <v/>
      </c>
      <c r="L177" s="57" t="str">
        <f aca="false">IF('03 Glass Processing'!$C$42="","",'03 Glass Processing'!M42)</f>
        <v/>
      </c>
      <c r="M177" s="59" t="str">
        <f aca="false">IF(D177="","",IF(AND(OR(Search!$C$6="All Categories",A177=Search!$C$6),OR(Search!$P$5="",ISNUMBER(SEARCH(" "&amp;Search!$P$5,N177))),OR(Search!$P$6="",ISNUMBER(SEARCH(" "&amp;Search!$P$6,N177))),OR(Search!$P$7="",ISNUMBER(SEARCH(" "&amp;Search!$P$7,N177))),OR(Search!$P$8="",ISNUMBER(SEARCH(" "&amp;Search!$P$8,N177))),OR(Search!$P$9="",ISNUMBER(SEARCH(" "&amp;Search!$P$9,N177))),OR(Search!$P$10="",ISNUMBER(SEARCH(" "&amp;Search!$P$10,N177)))),ROW(),""))</f>
        <v/>
      </c>
      <c r="N177" s="0" t="str">
        <f aca="false">IF(D177="",""," "&amp;SUBSTITUTE(SUBSTITUTE(SUBSTITUTE(SUBSTITUTE(SUBSTITUTE(SUBSTITUTE(SUBSTITUTE(B177&amp;" "&amp;C177&amp;" "&amp;D177&amp;" "&amp;E177&amp;" "&amp;F177&amp;" "&amp;G177&amp;" "&amp;H177&amp;" "&amp;'03 Glass Processing'!R42,"("," "),")"," "),"/"," "),"-"," "),","," "),";"," "),":"," ")&amp;" ")</f>
        <v/>
      </c>
    </row>
    <row r="178" customFormat="false" ht="22.35" hidden="false" customHeight="false" outlineLevel="0" collapsed="false">
      <c r="A178" s="56" t="str">
        <f aca="false">IF('04 Mirrors'!$C$5="","","Mirrors")</f>
        <v>Mirrors</v>
      </c>
      <c r="B178" s="57" t="str">
        <f aca="false">IF('04 Mirrors'!$C$5="","",'04 Mirrors'!A5)</f>
        <v>MR-001</v>
      </c>
      <c r="C178" s="56" t="str">
        <f aca="false">IF('04 Mirrors'!$C$5="","",'04 Mirrors'!B5)</f>
        <v>Silver Mirror</v>
      </c>
      <c r="D178" s="56" t="str">
        <f aca="false">IF('04 Mirrors'!$C$5="","",'04 Mirrors'!C5)</f>
        <v>Silver mirror</v>
      </c>
      <c r="E178" s="56" t="str">
        <f aca="false">IF('04 Mirrors'!$C$5="","",'04 Mirrors'!D5)</f>
        <v>4 mm</v>
      </c>
      <c r="F178" s="56" t="str">
        <f aca="false">IF('04 Mirrors'!$C$5="","",'04 Mirrors'!E5)</f>
        <v>Clear silver</v>
      </c>
      <c r="G178" s="56" t="str">
        <f aca="false">IF('04 Mirrors'!$C$5="","",'04 Mirrors'!F5)</f>
        <v>Guardian / Saint-Gobain / Equiv.</v>
      </c>
      <c r="H178" s="57" t="str">
        <f aca="false">IF('04 Mirrors'!$C$5="","",'04 Mirrors'!G5)</f>
        <v>m2</v>
      </c>
      <c r="I178" s="58" t="n">
        <f aca="false">IF('04 Mirrors'!$C$5="","",'04 Mirrors'!J5)</f>
        <v>47.25</v>
      </c>
      <c r="J178" s="58" t="n">
        <f aca="false">IF('04 Mirrors'!$C$5="","",'04 Mirrors'!K5)</f>
        <v>56.7</v>
      </c>
      <c r="K178" s="58" t="n">
        <f aca="false">IF('04 Mirrors'!$C$5="","",'04 Mirrors'!L5)</f>
        <v>59.54</v>
      </c>
      <c r="L178" s="57" t="str">
        <f aca="false">IF('04 Mirrors'!$C$5="","",'04 Mirrors'!M5)</f>
        <v>Indicative</v>
      </c>
      <c r="M178" s="59" t="str">
        <f aca="false">IF(D178="","",IF(AND(OR(Search!$C$6="All Categories",A178=Search!$C$6),OR(Search!$P$5="",ISNUMBER(SEARCH(" "&amp;Search!$P$5,N178))),OR(Search!$P$6="",ISNUMBER(SEARCH(" "&amp;Search!$P$6,N178))),OR(Search!$P$7="",ISNUMBER(SEARCH(" "&amp;Search!$P$7,N178))),OR(Search!$P$8="",ISNUMBER(SEARCH(" "&amp;Search!$P$8,N178))),OR(Search!$P$9="",ISNUMBER(SEARCH(" "&amp;Search!$P$9,N178))),OR(Search!$P$10="",ISNUMBER(SEARCH(" "&amp;Search!$P$10,N178)))),ROW(),""))</f>
        <v/>
      </c>
      <c r="N178" s="0" t="str">
        <f aca="false">IF(D178="",""," "&amp;SUBSTITUTE(SUBSTITUTE(SUBSTITUTE(SUBSTITUTE(SUBSTITUTE(SUBSTITUTE(SUBSTITUTE(B178&amp;" "&amp;C178&amp;" "&amp;D178&amp;" "&amp;E178&amp;" "&amp;F178&amp;" "&amp;G178&amp;" "&amp;H178&amp;" "&amp;'04 Mirrors'!R5,"("," "),")"," "),"/"," "),"-"," "),","," "),";"," "),":"," ")&amp;" ")</f>
        <v> MR 001 Silver Mirror Silver mirror 4 mm Clear silver Guardian   Saint Gobain   Equiv. m2 4mm glass </v>
      </c>
    </row>
    <row r="179" customFormat="false" ht="22.35" hidden="false" customHeight="false" outlineLevel="0" collapsed="false">
      <c r="A179" s="56" t="str">
        <f aca="false">IF('04 Mirrors'!$C$6="","","Mirrors")</f>
        <v>Mirrors</v>
      </c>
      <c r="B179" s="57" t="str">
        <f aca="false">IF('04 Mirrors'!$C$6="","",'04 Mirrors'!A6)</f>
        <v>MR-002</v>
      </c>
      <c r="C179" s="56" t="str">
        <f aca="false">IF('04 Mirrors'!$C$6="","",'04 Mirrors'!B6)</f>
        <v>Silver Mirror</v>
      </c>
      <c r="D179" s="56" t="str">
        <f aca="false">IF('04 Mirrors'!$C$6="","",'04 Mirrors'!C6)</f>
        <v>Silver mirror</v>
      </c>
      <c r="E179" s="56" t="str">
        <f aca="false">IF('04 Mirrors'!$C$6="","",'04 Mirrors'!D6)</f>
        <v>5 mm</v>
      </c>
      <c r="F179" s="56" t="str">
        <f aca="false">IF('04 Mirrors'!$C$6="","",'04 Mirrors'!E6)</f>
        <v>Clear silver</v>
      </c>
      <c r="G179" s="56" t="str">
        <f aca="false">IF('04 Mirrors'!$C$6="","",'04 Mirrors'!F6)</f>
        <v>Guardian / Saint-Gobain / Equiv.</v>
      </c>
      <c r="H179" s="57" t="str">
        <f aca="false">IF('04 Mirrors'!$C$6="","",'04 Mirrors'!G6)</f>
        <v>m2</v>
      </c>
      <c r="I179" s="58" t="n">
        <f aca="false">IF('04 Mirrors'!$C$6="","",'04 Mirrors'!J6)</f>
        <v>57.75</v>
      </c>
      <c r="J179" s="58" t="n">
        <f aca="false">IF('04 Mirrors'!$C$6="","",'04 Mirrors'!K6)</f>
        <v>69.3</v>
      </c>
      <c r="K179" s="58" t="n">
        <f aca="false">IF('04 Mirrors'!$C$6="","",'04 Mirrors'!L6)</f>
        <v>72.77</v>
      </c>
      <c r="L179" s="57" t="str">
        <f aca="false">IF('04 Mirrors'!$C$6="","",'04 Mirrors'!M6)</f>
        <v>Indicative</v>
      </c>
      <c r="M179" s="59" t="str">
        <f aca="false">IF(D179="","",IF(AND(OR(Search!$C$6="All Categories",A179=Search!$C$6),OR(Search!$P$5="",ISNUMBER(SEARCH(" "&amp;Search!$P$5,N179))),OR(Search!$P$6="",ISNUMBER(SEARCH(" "&amp;Search!$P$6,N179))),OR(Search!$P$7="",ISNUMBER(SEARCH(" "&amp;Search!$P$7,N179))),OR(Search!$P$8="",ISNUMBER(SEARCH(" "&amp;Search!$P$8,N179))),OR(Search!$P$9="",ISNUMBER(SEARCH(" "&amp;Search!$P$9,N179))),OR(Search!$P$10="",ISNUMBER(SEARCH(" "&amp;Search!$P$10,N179)))),ROW(),""))</f>
        <v/>
      </c>
      <c r="N179" s="0" t="str">
        <f aca="false">IF(D179="",""," "&amp;SUBSTITUTE(SUBSTITUTE(SUBSTITUTE(SUBSTITUTE(SUBSTITUTE(SUBSTITUTE(SUBSTITUTE(B179&amp;" "&amp;C179&amp;" "&amp;D179&amp;" "&amp;E179&amp;" "&amp;F179&amp;" "&amp;G179&amp;" "&amp;H179&amp;" "&amp;'04 Mirrors'!R6,"("," "),")"," "),"/"," "),"-"," "),","," "),";"," "),":"," ")&amp;" ")</f>
        <v> MR 002 Silver Mirror Silver mirror 5 mm Clear silver Guardian   Saint Gobain   Equiv. m2 5mm glass </v>
      </c>
    </row>
    <row r="180" customFormat="false" ht="22.35" hidden="false" customHeight="false" outlineLevel="0" collapsed="false">
      <c r="A180" s="56" t="str">
        <f aca="false">IF('04 Mirrors'!$C$7="","","Mirrors")</f>
        <v>Mirrors</v>
      </c>
      <c r="B180" s="57" t="str">
        <f aca="false">IF('04 Mirrors'!$C$7="","",'04 Mirrors'!A7)</f>
        <v>MR-003</v>
      </c>
      <c r="C180" s="56" t="str">
        <f aca="false">IF('04 Mirrors'!$C$7="","",'04 Mirrors'!B7)</f>
        <v>Silver Mirror</v>
      </c>
      <c r="D180" s="56" t="str">
        <f aca="false">IF('04 Mirrors'!$C$7="","",'04 Mirrors'!C7)</f>
        <v>Silver mirror</v>
      </c>
      <c r="E180" s="56" t="str">
        <f aca="false">IF('04 Mirrors'!$C$7="","",'04 Mirrors'!D7)</f>
        <v>6 mm</v>
      </c>
      <c r="F180" s="56" t="str">
        <f aca="false">IF('04 Mirrors'!$C$7="","",'04 Mirrors'!E7)</f>
        <v>Clear silver</v>
      </c>
      <c r="G180" s="56" t="str">
        <f aca="false">IF('04 Mirrors'!$C$7="","",'04 Mirrors'!F7)</f>
        <v>Guardian / Saint-Gobain / Equiv.</v>
      </c>
      <c r="H180" s="57" t="str">
        <f aca="false">IF('04 Mirrors'!$C$7="","",'04 Mirrors'!G7)</f>
        <v>m2</v>
      </c>
      <c r="I180" s="58" t="n">
        <f aca="false">IF('04 Mirrors'!$C$7="","",'04 Mirrors'!J7)</f>
        <v>68.25</v>
      </c>
      <c r="J180" s="58" t="n">
        <f aca="false">IF('04 Mirrors'!$C$7="","",'04 Mirrors'!K7)</f>
        <v>81.9</v>
      </c>
      <c r="K180" s="58" t="n">
        <f aca="false">IF('04 Mirrors'!$C$7="","",'04 Mirrors'!L7)</f>
        <v>86</v>
      </c>
      <c r="L180" s="57" t="str">
        <f aca="false">IF('04 Mirrors'!$C$7="","",'04 Mirrors'!M7)</f>
        <v>Indicative</v>
      </c>
      <c r="M180" s="59" t="str">
        <f aca="false">IF(D180="","",IF(AND(OR(Search!$C$6="All Categories",A180=Search!$C$6),OR(Search!$P$5="",ISNUMBER(SEARCH(" "&amp;Search!$P$5,N180))),OR(Search!$P$6="",ISNUMBER(SEARCH(" "&amp;Search!$P$6,N180))),OR(Search!$P$7="",ISNUMBER(SEARCH(" "&amp;Search!$P$7,N180))),OR(Search!$P$8="",ISNUMBER(SEARCH(" "&amp;Search!$P$8,N180))),OR(Search!$P$9="",ISNUMBER(SEARCH(" "&amp;Search!$P$9,N180))),OR(Search!$P$10="",ISNUMBER(SEARCH(" "&amp;Search!$P$10,N180)))),ROW(),""))</f>
        <v/>
      </c>
      <c r="N180" s="0" t="str">
        <f aca="false">IF(D180="",""," "&amp;SUBSTITUTE(SUBSTITUTE(SUBSTITUTE(SUBSTITUTE(SUBSTITUTE(SUBSTITUTE(SUBSTITUTE(B180&amp;" "&amp;C180&amp;" "&amp;D180&amp;" "&amp;E180&amp;" "&amp;F180&amp;" "&amp;G180&amp;" "&amp;H180&amp;" "&amp;'04 Mirrors'!R7,"("," "),")"," "),"/"," "),"-"," "),","," "),";"," "),":"," ")&amp;" ")</f>
        <v> MR 003 Silver Mirror Silver mirror 6 mm Clear silver Guardian   Saint Gobain   Equiv. m2 6mm glass </v>
      </c>
    </row>
    <row r="181" customFormat="false" ht="15" hidden="false" customHeight="false" outlineLevel="0" collapsed="false">
      <c r="A181" s="56" t="str">
        <f aca="false">IF('04 Mirrors'!$C$8="","","Mirrors")</f>
        <v>Mirrors</v>
      </c>
      <c r="B181" s="57" t="str">
        <f aca="false">IF('04 Mirrors'!$C$8="","",'04 Mirrors'!A8)</f>
        <v>MR-004</v>
      </c>
      <c r="C181" s="56" t="str">
        <f aca="false">IF('04 Mirrors'!$C$8="","",'04 Mirrors'!B8)</f>
        <v>Silver Mirror</v>
      </c>
      <c r="D181" s="56" t="str">
        <f aca="false">IF('04 Mirrors'!$C$8="","",'04 Mirrors'!C8)</f>
        <v>Copper-free / lead-free silver mirror</v>
      </c>
      <c r="E181" s="56" t="str">
        <f aca="false">IF('04 Mirrors'!$C$8="","",'04 Mirrors'!D8)</f>
        <v>6 mm</v>
      </c>
      <c r="F181" s="56" t="str">
        <f aca="false">IF('04 Mirrors'!$C$8="","",'04 Mirrors'!E8)</f>
        <v>Clear silver</v>
      </c>
      <c r="G181" s="56" t="str">
        <f aca="false">IF('04 Mirrors'!$C$8="","",'04 Mirrors'!F8)</f>
        <v>Imported</v>
      </c>
      <c r="H181" s="57" t="str">
        <f aca="false">IF('04 Mirrors'!$C$8="","",'04 Mirrors'!G8)</f>
        <v>m2</v>
      </c>
      <c r="I181" s="58" t="n">
        <f aca="false">IF('04 Mirrors'!$C$8="","",'04 Mirrors'!J8)</f>
        <v>84</v>
      </c>
      <c r="J181" s="58" t="n">
        <f aca="false">IF('04 Mirrors'!$C$8="","",'04 Mirrors'!K8)</f>
        <v>100.8</v>
      </c>
      <c r="K181" s="58" t="n">
        <f aca="false">IF('04 Mirrors'!$C$8="","",'04 Mirrors'!L8)</f>
        <v>105.84</v>
      </c>
      <c r="L181" s="57" t="str">
        <f aca="false">IF('04 Mirrors'!$C$8="","",'04 Mirrors'!M8)</f>
        <v>Indicative</v>
      </c>
      <c r="M181" s="59" t="str">
        <f aca="false">IF(D181="","",IF(AND(OR(Search!$C$6="All Categories",A181=Search!$C$6),OR(Search!$P$5="",ISNUMBER(SEARCH(" "&amp;Search!$P$5,N181))),OR(Search!$P$6="",ISNUMBER(SEARCH(" "&amp;Search!$P$6,N181))),OR(Search!$P$7="",ISNUMBER(SEARCH(" "&amp;Search!$P$7,N181))),OR(Search!$P$8="",ISNUMBER(SEARCH(" "&amp;Search!$P$8,N181))),OR(Search!$P$9="",ISNUMBER(SEARCH(" "&amp;Search!$P$9,N181))),OR(Search!$P$10="",ISNUMBER(SEARCH(" "&amp;Search!$P$10,N181)))),ROW(),""))</f>
        <v/>
      </c>
      <c r="N181" s="0" t="str">
        <f aca="false">IF(D181="",""," "&amp;SUBSTITUTE(SUBSTITUTE(SUBSTITUTE(SUBSTITUTE(SUBSTITUTE(SUBSTITUTE(SUBSTITUTE(B181&amp;" "&amp;C181&amp;" "&amp;D181&amp;" "&amp;E181&amp;" "&amp;F181&amp;" "&amp;G181&amp;" "&amp;H181&amp;" "&amp;'04 Mirrors'!R8,"("," "),")"," "),"/"," "),"-"," "),","," "),";"," "),":"," ")&amp;" ")</f>
        <v> MR 004 Silver Mirror Copper free   lead free silver mirror 6 mm Clear silver Imported m2 6mm glass </v>
      </c>
    </row>
    <row r="182" customFormat="false" ht="15" hidden="false" customHeight="false" outlineLevel="0" collapsed="false">
      <c r="A182" s="56" t="str">
        <f aca="false">IF('04 Mirrors'!$C$9="","","Mirrors")</f>
        <v>Mirrors</v>
      </c>
      <c r="B182" s="57" t="str">
        <f aca="false">IF('04 Mirrors'!$C$9="","",'04 Mirrors'!A9)</f>
        <v>MR-005</v>
      </c>
      <c r="C182" s="56" t="str">
        <f aca="false">IF('04 Mirrors'!$C$9="","",'04 Mirrors'!B9)</f>
        <v>Silver Mirror</v>
      </c>
      <c r="D182" s="56" t="str">
        <f aca="false">IF('04 Mirrors'!$C$9="","",'04 Mirrors'!C9)</f>
        <v>Safety-backed mirror (vinyl film)</v>
      </c>
      <c r="E182" s="56" t="str">
        <f aca="false">IF('04 Mirrors'!$C$9="","",'04 Mirrors'!D9)</f>
        <v>6 mm, Cat. 2 film</v>
      </c>
      <c r="F182" s="56" t="str">
        <f aca="false">IF('04 Mirrors'!$C$9="","",'04 Mirrors'!E9)</f>
        <v>Clear silver</v>
      </c>
      <c r="G182" s="56" t="str">
        <f aca="false">IF('04 Mirrors'!$C$9="","",'04 Mirrors'!F9)</f>
        <v>Local processor</v>
      </c>
      <c r="H182" s="57" t="str">
        <f aca="false">IF('04 Mirrors'!$C$9="","",'04 Mirrors'!G9)</f>
        <v>m2</v>
      </c>
      <c r="I182" s="58" t="n">
        <f aca="false">IF('04 Mirrors'!$C$9="","",'04 Mirrors'!J9)</f>
        <v>89.25</v>
      </c>
      <c r="J182" s="58" t="n">
        <f aca="false">IF('04 Mirrors'!$C$9="","",'04 Mirrors'!K9)</f>
        <v>107.1</v>
      </c>
      <c r="K182" s="58" t="n">
        <f aca="false">IF('04 Mirrors'!$C$9="","",'04 Mirrors'!L9)</f>
        <v>112.46</v>
      </c>
      <c r="L182" s="57" t="str">
        <f aca="false">IF('04 Mirrors'!$C$9="","",'04 Mirrors'!M9)</f>
        <v>Indicative</v>
      </c>
      <c r="M182" s="59" t="str">
        <f aca="false">IF(D182="","",IF(AND(OR(Search!$C$6="All Categories",A182=Search!$C$6),OR(Search!$P$5="",ISNUMBER(SEARCH(" "&amp;Search!$P$5,N182))),OR(Search!$P$6="",ISNUMBER(SEARCH(" "&amp;Search!$P$6,N182))),OR(Search!$P$7="",ISNUMBER(SEARCH(" "&amp;Search!$P$7,N182))),OR(Search!$P$8="",ISNUMBER(SEARCH(" "&amp;Search!$P$8,N182))),OR(Search!$P$9="",ISNUMBER(SEARCH(" "&amp;Search!$P$9,N182))),OR(Search!$P$10="",ISNUMBER(SEARCH(" "&amp;Search!$P$10,N182)))),ROW(),""))</f>
        <v/>
      </c>
      <c r="N182" s="0" t="str">
        <f aca="false">IF(D182="",""," "&amp;SUBSTITUTE(SUBSTITUTE(SUBSTITUTE(SUBSTITUTE(SUBSTITUTE(SUBSTITUTE(SUBSTITUTE(B182&amp;" "&amp;C182&amp;" "&amp;D182&amp;" "&amp;E182&amp;" "&amp;F182&amp;" "&amp;G182&amp;" "&amp;H182&amp;" "&amp;'04 Mirrors'!R9,"("," "),")"," "),"/"," "),"-"," "),","," "),";"," "),":"," ")&amp;" ")</f>
        <v> MR 005 Silver Mirror Safety backed mirror  vinyl film  6 mm  Cat. 2 film Clear silver Local processor m2 6mm glass </v>
      </c>
    </row>
    <row r="183" customFormat="false" ht="15" hidden="false" customHeight="false" outlineLevel="0" collapsed="false">
      <c r="A183" s="56" t="str">
        <f aca="false">IF('04 Mirrors'!$C$10="","","Mirrors")</f>
        <v>Mirrors</v>
      </c>
      <c r="B183" s="57" t="str">
        <f aca="false">IF('04 Mirrors'!$C$10="","",'04 Mirrors'!A10)</f>
        <v>MR-006</v>
      </c>
      <c r="C183" s="56" t="str">
        <f aca="false">IF('04 Mirrors'!$C$10="","",'04 Mirrors'!B10)</f>
        <v>Silver Mirror</v>
      </c>
      <c r="D183" s="56" t="str">
        <f aca="false">IF('04 Mirrors'!$C$10="","",'04 Mirrors'!C10)</f>
        <v>Tempered mirror</v>
      </c>
      <c r="E183" s="56" t="str">
        <f aca="false">IF('04 Mirrors'!$C$10="","",'04 Mirrors'!D10)</f>
        <v>6 mm</v>
      </c>
      <c r="F183" s="56" t="str">
        <f aca="false">IF('04 Mirrors'!$C$10="","",'04 Mirrors'!E10)</f>
        <v>Clear silver</v>
      </c>
      <c r="G183" s="56" t="str">
        <f aca="false">IF('04 Mirrors'!$C$10="","",'04 Mirrors'!F10)</f>
        <v>Local processor</v>
      </c>
      <c r="H183" s="57" t="str">
        <f aca="false">IF('04 Mirrors'!$C$10="","",'04 Mirrors'!G10)</f>
        <v>m2</v>
      </c>
      <c r="I183" s="58" t="n">
        <f aca="false">IF('04 Mirrors'!$C$10="","",'04 Mirrors'!J10)</f>
        <v>126</v>
      </c>
      <c r="J183" s="58" t="n">
        <f aca="false">IF('04 Mirrors'!$C$10="","",'04 Mirrors'!K10)</f>
        <v>151.2</v>
      </c>
      <c r="K183" s="58" t="n">
        <f aca="false">IF('04 Mirrors'!$C$10="","",'04 Mirrors'!L10)</f>
        <v>158.76</v>
      </c>
      <c r="L183" s="57" t="str">
        <f aca="false">IF('04 Mirrors'!$C$10="","",'04 Mirrors'!M10)</f>
        <v>Indicative</v>
      </c>
      <c r="M183" s="59" t="str">
        <f aca="false">IF(D183="","",IF(AND(OR(Search!$C$6="All Categories",A183=Search!$C$6),OR(Search!$P$5="",ISNUMBER(SEARCH(" "&amp;Search!$P$5,N183))),OR(Search!$P$6="",ISNUMBER(SEARCH(" "&amp;Search!$P$6,N183))),OR(Search!$P$7="",ISNUMBER(SEARCH(" "&amp;Search!$P$7,N183))),OR(Search!$P$8="",ISNUMBER(SEARCH(" "&amp;Search!$P$8,N183))),OR(Search!$P$9="",ISNUMBER(SEARCH(" "&amp;Search!$P$9,N183))),OR(Search!$P$10="",ISNUMBER(SEARCH(" "&amp;Search!$P$10,N183)))),ROW(),""))</f>
        <v/>
      </c>
      <c r="N183" s="0" t="str">
        <f aca="false">IF(D183="",""," "&amp;SUBSTITUTE(SUBSTITUTE(SUBSTITUTE(SUBSTITUTE(SUBSTITUTE(SUBSTITUTE(SUBSTITUTE(B183&amp;" "&amp;C183&amp;" "&amp;D183&amp;" "&amp;E183&amp;" "&amp;F183&amp;" "&amp;G183&amp;" "&amp;H183&amp;" "&amp;'04 Mirrors'!R10,"("," "),")"," "),"/"," "),"-"," "),","," "),";"," "),":"," ")&amp;" ")</f>
        <v> MR 006 Silver Mirror Tempered mirror 6 mm Clear silver Local processor m2 6mm toughened glass </v>
      </c>
    </row>
    <row r="184" customFormat="false" ht="15" hidden="false" customHeight="false" outlineLevel="0" collapsed="false">
      <c r="A184" s="56" t="str">
        <f aca="false">IF('04 Mirrors'!$C$11="","","Mirrors")</f>
        <v>Mirrors</v>
      </c>
      <c r="B184" s="57" t="str">
        <f aca="false">IF('04 Mirrors'!$C$11="","",'04 Mirrors'!A11)</f>
        <v>MR-007</v>
      </c>
      <c r="C184" s="56" t="str">
        <f aca="false">IF('04 Mirrors'!$C$11="","",'04 Mirrors'!B11)</f>
        <v>Coloured Mirror</v>
      </c>
      <c r="D184" s="56" t="str">
        <f aca="false">IF('04 Mirrors'!$C$11="","",'04 Mirrors'!C11)</f>
        <v>Tinted mirror</v>
      </c>
      <c r="E184" s="56" t="str">
        <f aca="false">IF('04 Mirrors'!$C$11="","",'04 Mirrors'!D11)</f>
        <v>5 mm</v>
      </c>
      <c r="F184" s="56" t="str">
        <f aca="false">IF('04 Mirrors'!$C$11="","",'04 Mirrors'!E11)</f>
        <v>Bronze / Grey / Gold</v>
      </c>
      <c r="G184" s="56" t="str">
        <f aca="false">IF('04 Mirrors'!$C$11="","",'04 Mirrors'!F11)</f>
        <v>Imported</v>
      </c>
      <c r="H184" s="57" t="str">
        <f aca="false">IF('04 Mirrors'!$C$11="","",'04 Mirrors'!G11)</f>
        <v>m2</v>
      </c>
      <c r="I184" s="58" t="n">
        <f aca="false">IF('04 Mirrors'!$C$11="","",'04 Mirrors'!J11)</f>
        <v>78.75</v>
      </c>
      <c r="J184" s="58" t="n">
        <f aca="false">IF('04 Mirrors'!$C$11="","",'04 Mirrors'!K11)</f>
        <v>94.5</v>
      </c>
      <c r="K184" s="58" t="n">
        <f aca="false">IF('04 Mirrors'!$C$11="","",'04 Mirrors'!L11)</f>
        <v>99.23</v>
      </c>
      <c r="L184" s="57" t="str">
        <f aca="false">IF('04 Mirrors'!$C$11="","",'04 Mirrors'!M11)</f>
        <v>Indicative</v>
      </c>
      <c r="M184" s="59" t="str">
        <f aca="false">IF(D184="","",IF(AND(OR(Search!$C$6="All Categories",A184=Search!$C$6),OR(Search!$P$5="",ISNUMBER(SEARCH(" "&amp;Search!$P$5,N184))),OR(Search!$P$6="",ISNUMBER(SEARCH(" "&amp;Search!$P$6,N184))),OR(Search!$P$7="",ISNUMBER(SEARCH(" "&amp;Search!$P$7,N184))),OR(Search!$P$8="",ISNUMBER(SEARCH(" "&amp;Search!$P$8,N184))),OR(Search!$P$9="",ISNUMBER(SEARCH(" "&amp;Search!$P$9,N184))),OR(Search!$P$10="",ISNUMBER(SEARCH(" "&amp;Search!$P$10,N184)))),ROW(),""))</f>
        <v/>
      </c>
      <c r="N184" s="0" t="str">
        <f aca="false">IF(D184="",""," "&amp;SUBSTITUTE(SUBSTITUTE(SUBSTITUTE(SUBSTITUTE(SUBSTITUTE(SUBSTITUTE(SUBSTITUTE(B184&amp;" "&amp;C184&amp;" "&amp;D184&amp;" "&amp;E184&amp;" "&amp;F184&amp;" "&amp;G184&amp;" "&amp;H184&amp;" "&amp;'04 Mirrors'!R11,"("," "),")"," "),"/"," "),"-"," "),","," "),";"," "),":"," ")&amp;" ")</f>
        <v> MR 007 Coloured Mirror Tinted mirror 5 mm Bronze   Grey   Gold Imported m2 5mm glass </v>
      </c>
    </row>
    <row r="185" customFormat="false" ht="15" hidden="false" customHeight="false" outlineLevel="0" collapsed="false">
      <c r="A185" s="56" t="str">
        <f aca="false">IF('04 Mirrors'!$C$12="","","Mirrors")</f>
        <v>Mirrors</v>
      </c>
      <c r="B185" s="57" t="str">
        <f aca="false">IF('04 Mirrors'!$C$12="","",'04 Mirrors'!A12)</f>
        <v>MR-008</v>
      </c>
      <c r="C185" s="56" t="str">
        <f aca="false">IF('04 Mirrors'!$C$12="","",'04 Mirrors'!B12)</f>
        <v>Coloured Mirror</v>
      </c>
      <c r="D185" s="56" t="str">
        <f aca="false">IF('04 Mirrors'!$C$12="","",'04 Mirrors'!C12)</f>
        <v>Antique mirror</v>
      </c>
      <c r="E185" s="56" t="str">
        <f aca="false">IF('04 Mirrors'!$C$12="","",'04 Mirrors'!D12)</f>
        <v>5 mm</v>
      </c>
      <c r="F185" s="56" t="str">
        <f aca="false">IF('04 Mirrors'!$C$12="","",'04 Mirrors'!E12)</f>
        <v>Antique finish</v>
      </c>
      <c r="G185" s="56" t="str">
        <f aca="false">IF('04 Mirrors'!$C$12="","",'04 Mirrors'!F12)</f>
        <v>Imported</v>
      </c>
      <c r="H185" s="57" t="str">
        <f aca="false">IF('04 Mirrors'!$C$12="","",'04 Mirrors'!G12)</f>
        <v>m2</v>
      </c>
      <c r="I185" s="58" t="n">
        <f aca="false">IF('04 Mirrors'!$C$12="","",'04 Mirrors'!J12)</f>
        <v>231</v>
      </c>
      <c r="J185" s="58" t="n">
        <f aca="false">IF('04 Mirrors'!$C$12="","",'04 Mirrors'!K12)</f>
        <v>277.2</v>
      </c>
      <c r="K185" s="58" t="n">
        <f aca="false">IF('04 Mirrors'!$C$12="","",'04 Mirrors'!L12)</f>
        <v>291.06</v>
      </c>
      <c r="L185" s="57" t="str">
        <f aca="false">IF('04 Mirrors'!$C$12="","",'04 Mirrors'!M12)</f>
        <v>Indicative</v>
      </c>
      <c r="M185" s="59" t="str">
        <f aca="false">IF(D185="","",IF(AND(OR(Search!$C$6="All Categories",A185=Search!$C$6),OR(Search!$P$5="",ISNUMBER(SEARCH(" "&amp;Search!$P$5,N185))),OR(Search!$P$6="",ISNUMBER(SEARCH(" "&amp;Search!$P$6,N185))),OR(Search!$P$7="",ISNUMBER(SEARCH(" "&amp;Search!$P$7,N185))),OR(Search!$P$8="",ISNUMBER(SEARCH(" "&amp;Search!$P$8,N185))),OR(Search!$P$9="",ISNUMBER(SEARCH(" "&amp;Search!$P$9,N185))),OR(Search!$P$10="",ISNUMBER(SEARCH(" "&amp;Search!$P$10,N185)))),ROW(),""))</f>
        <v/>
      </c>
      <c r="N185" s="0" t="str">
        <f aca="false">IF(D185="",""," "&amp;SUBSTITUTE(SUBSTITUTE(SUBSTITUTE(SUBSTITUTE(SUBSTITUTE(SUBSTITUTE(SUBSTITUTE(B185&amp;" "&amp;C185&amp;" "&amp;D185&amp;" "&amp;E185&amp;" "&amp;F185&amp;" "&amp;G185&amp;" "&amp;H185&amp;" "&amp;'04 Mirrors'!R12,"("," "),")"," "),"/"," "),"-"," "),","," "),";"," "),":"," ")&amp;" ")</f>
        <v> MR 008 Coloured Mirror Antique mirror 5 mm Antique finish Imported m2 5mm glass </v>
      </c>
    </row>
    <row r="186" customFormat="false" ht="15" hidden="false" customHeight="false" outlineLevel="0" collapsed="false">
      <c r="A186" s="56" t="str">
        <f aca="false">IF('04 Mirrors'!$C$13="","","Mirrors")</f>
        <v>Mirrors</v>
      </c>
      <c r="B186" s="57" t="str">
        <f aca="false">IF('04 Mirrors'!$C$13="","",'04 Mirrors'!A13)</f>
        <v>MR-009</v>
      </c>
      <c r="C186" s="56" t="str">
        <f aca="false">IF('04 Mirrors'!$C$13="","",'04 Mirrors'!B13)</f>
        <v>Coloured Mirror</v>
      </c>
      <c r="D186" s="56" t="str">
        <f aca="false">IF('04 Mirrors'!$C$13="","",'04 Mirrors'!C13)</f>
        <v>Two-way (one-way) mirror</v>
      </c>
      <c r="E186" s="56" t="str">
        <f aca="false">IF('04 Mirrors'!$C$13="","",'04 Mirrors'!D13)</f>
        <v>6 mm</v>
      </c>
      <c r="F186" s="56" t="str">
        <f aca="false">IF('04 Mirrors'!$C$13="","",'04 Mirrors'!E13)</f>
        <v>Semi-reflective</v>
      </c>
      <c r="G186" s="56" t="str">
        <f aca="false">IF('04 Mirrors'!$C$13="","",'04 Mirrors'!F13)</f>
        <v>Imported</v>
      </c>
      <c r="H186" s="57" t="str">
        <f aca="false">IF('04 Mirrors'!$C$13="","",'04 Mirrors'!G13)</f>
        <v>m2</v>
      </c>
      <c r="I186" s="58" t="n">
        <f aca="false">IF('04 Mirrors'!$C$13="","",'04 Mirrors'!J13)</f>
        <v>273</v>
      </c>
      <c r="J186" s="58" t="n">
        <f aca="false">IF('04 Mirrors'!$C$13="","",'04 Mirrors'!K13)</f>
        <v>327.6</v>
      </c>
      <c r="K186" s="58" t="n">
        <f aca="false">IF('04 Mirrors'!$C$13="","",'04 Mirrors'!L13)</f>
        <v>343.98</v>
      </c>
      <c r="L186" s="57" t="str">
        <f aca="false">IF('04 Mirrors'!$C$13="","",'04 Mirrors'!M13)</f>
        <v>Indicative</v>
      </c>
      <c r="M186" s="59" t="str">
        <f aca="false">IF(D186="","",IF(AND(OR(Search!$C$6="All Categories",A186=Search!$C$6),OR(Search!$P$5="",ISNUMBER(SEARCH(" "&amp;Search!$P$5,N186))),OR(Search!$P$6="",ISNUMBER(SEARCH(" "&amp;Search!$P$6,N186))),OR(Search!$P$7="",ISNUMBER(SEARCH(" "&amp;Search!$P$7,N186))),OR(Search!$P$8="",ISNUMBER(SEARCH(" "&amp;Search!$P$8,N186))),OR(Search!$P$9="",ISNUMBER(SEARCH(" "&amp;Search!$P$9,N186))),OR(Search!$P$10="",ISNUMBER(SEARCH(" "&amp;Search!$P$10,N186)))),ROW(),""))</f>
        <v/>
      </c>
      <c r="N186" s="0" t="str">
        <f aca="false">IF(D186="",""," "&amp;SUBSTITUTE(SUBSTITUTE(SUBSTITUTE(SUBSTITUTE(SUBSTITUTE(SUBSTITUTE(SUBSTITUTE(B186&amp;" "&amp;C186&amp;" "&amp;D186&amp;" "&amp;E186&amp;" "&amp;F186&amp;" "&amp;G186&amp;" "&amp;H186&amp;" "&amp;'04 Mirrors'!R13,"("," "),")"," "),"/"," "),"-"," "),","," "),";"," "),":"," ")&amp;" ")</f>
        <v> MR 009 Coloured Mirror Two way  one way  mirror 6 mm Semi reflective Imported m2 6mm glass </v>
      </c>
    </row>
    <row r="187" customFormat="false" ht="15" hidden="false" customHeight="false" outlineLevel="0" collapsed="false">
      <c r="A187" s="56" t="str">
        <f aca="false">IF('04 Mirrors'!$C$14="","","Mirrors")</f>
        <v>Mirrors</v>
      </c>
      <c r="B187" s="57" t="str">
        <f aca="false">IF('04 Mirrors'!$C$14="","",'04 Mirrors'!A14)</f>
        <v>MR-010</v>
      </c>
      <c r="C187" s="56" t="str">
        <f aca="false">IF('04 Mirrors'!$C$14="","",'04 Mirrors'!B14)</f>
        <v>Finished Mirror</v>
      </c>
      <c r="D187" s="56" t="str">
        <f aca="false">IF('04 Mirrors'!$C$14="","",'04 Mirrors'!C14)</f>
        <v>Mirror with 25 mm bevelled edge</v>
      </c>
      <c r="E187" s="56" t="str">
        <f aca="false">IF('04 Mirrors'!$C$14="","",'04 Mirrors'!D14)</f>
        <v>5 mm, fixed with SS clips</v>
      </c>
      <c r="F187" s="56" t="str">
        <f aca="false">IF('04 Mirrors'!$C$14="","",'04 Mirrors'!E14)</f>
        <v>Clear silver</v>
      </c>
      <c r="G187" s="56" t="str">
        <f aca="false">IF('04 Mirrors'!$C$14="","",'04 Mirrors'!F14)</f>
        <v>Local</v>
      </c>
      <c r="H187" s="57" t="str">
        <f aca="false">IF('04 Mirrors'!$C$14="","",'04 Mirrors'!G14)</f>
        <v>m2</v>
      </c>
      <c r="I187" s="58" t="n">
        <f aca="false">IF('04 Mirrors'!$C$14="","",'04 Mirrors'!J14)</f>
        <v>147</v>
      </c>
      <c r="J187" s="58" t="n">
        <f aca="false">IF('04 Mirrors'!$C$14="","",'04 Mirrors'!K14)</f>
        <v>176.4</v>
      </c>
      <c r="K187" s="58" t="n">
        <f aca="false">IF('04 Mirrors'!$C$14="","",'04 Mirrors'!L14)</f>
        <v>185.22</v>
      </c>
      <c r="L187" s="57" t="str">
        <f aca="false">IF('04 Mirrors'!$C$14="","",'04 Mirrors'!M14)</f>
        <v>Indicative</v>
      </c>
      <c r="M187" s="59" t="str">
        <f aca="false">IF(D187="","",IF(AND(OR(Search!$C$6="All Categories",A187=Search!$C$6),OR(Search!$P$5="",ISNUMBER(SEARCH(" "&amp;Search!$P$5,N187))),OR(Search!$P$6="",ISNUMBER(SEARCH(" "&amp;Search!$P$6,N187))),OR(Search!$P$7="",ISNUMBER(SEARCH(" "&amp;Search!$P$7,N187))),OR(Search!$P$8="",ISNUMBER(SEARCH(" "&amp;Search!$P$8,N187))),OR(Search!$P$9="",ISNUMBER(SEARCH(" "&amp;Search!$P$9,N187))),OR(Search!$P$10="",ISNUMBER(SEARCH(" "&amp;Search!$P$10,N187)))),ROW(),""))</f>
        <v/>
      </c>
      <c r="N187" s="0" t="str">
        <f aca="false">IF(D187="",""," "&amp;SUBSTITUTE(SUBSTITUTE(SUBSTITUTE(SUBSTITUTE(SUBSTITUTE(SUBSTITUTE(SUBSTITUTE(B187&amp;" "&amp;C187&amp;" "&amp;D187&amp;" "&amp;E187&amp;" "&amp;F187&amp;" "&amp;G187&amp;" "&amp;H187&amp;" "&amp;'04 Mirrors'!R14,"("," "),")"," "),"/"," "),"-"," "),","," "),";"," "),":"," ")&amp;" ")</f>
        <v> MR 010 Finished Mirror Mirror with 25 mm bevelled edge 5 mm  fixed with SS clips Clear silver Local m2 25mm 5mm glass stainless steel </v>
      </c>
    </row>
    <row r="188" customFormat="false" ht="15" hidden="false" customHeight="false" outlineLevel="0" collapsed="false">
      <c r="A188" s="56" t="str">
        <f aca="false">IF('04 Mirrors'!$C$15="","","Mirrors")</f>
        <v>Mirrors</v>
      </c>
      <c r="B188" s="57" t="str">
        <f aca="false">IF('04 Mirrors'!$C$15="","",'04 Mirrors'!A15)</f>
        <v>MR-011</v>
      </c>
      <c r="C188" s="56" t="str">
        <f aca="false">IF('04 Mirrors'!$C$15="","",'04 Mirrors'!B15)</f>
        <v>Finished Mirror</v>
      </c>
      <c r="D188" s="56" t="str">
        <f aca="false">IF('04 Mirrors'!$C$15="","",'04 Mirrors'!C15)</f>
        <v>Mirror with polished edge &amp; adhesive fixing</v>
      </c>
      <c r="E188" s="56" t="str">
        <f aca="false">IF('04 Mirrors'!$C$15="","",'04 Mirrors'!D15)</f>
        <v>6 mm</v>
      </c>
      <c r="F188" s="56" t="str">
        <f aca="false">IF('04 Mirrors'!$C$15="","",'04 Mirrors'!E15)</f>
        <v>Clear silver</v>
      </c>
      <c r="G188" s="56" t="str">
        <f aca="false">IF('04 Mirrors'!$C$15="","",'04 Mirrors'!F15)</f>
        <v>Local</v>
      </c>
      <c r="H188" s="57" t="str">
        <f aca="false">IF('04 Mirrors'!$C$15="","",'04 Mirrors'!G15)</f>
        <v>m2</v>
      </c>
      <c r="I188" s="58" t="n">
        <f aca="false">IF('04 Mirrors'!$C$15="","",'04 Mirrors'!J15)</f>
        <v>126</v>
      </c>
      <c r="J188" s="58" t="n">
        <f aca="false">IF('04 Mirrors'!$C$15="","",'04 Mirrors'!K15)</f>
        <v>151.2</v>
      </c>
      <c r="K188" s="58" t="n">
        <f aca="false">IF('04 Mirrors'!$C$15="","",'04 Mirrors'!L15)</f>
        <v>158.76</v>
      </c>
      <c r="L188" s="57" t="str">
        <f aca="false">IF('04 Mirrors'!$C$15="","",'04 Mirrors'!M15)</f>
        <v>Indicative</v>
      </c>
      <c r="M188" s="59" t="str">
        <f aca="false">IF(D188="","",IF(AND(OR(Search!$C$6="All Categories",A188=Search!$C$6),OR(Search!$P$5="",ISNUMBER(SEARCH(" "&amp;Search!$P$5,N188))),OR(Search!$P$6="",ISNUMBER(SEARCH(" "&amp;Search!$P$6,N188))),OR(Search!$P$7="",ISNUMBER(SEARCH(" "&amp;Search!$P$7,N188))),OR(Search!$P$8="",ISNUMBER(SEARCH(" "&amp;Search!$P$8,N188))),OR(Search!$P$9="",ISNUMBER(SEARCH(" "&amp;Search!$P$9,N188))),OR(Search!$P$10="",ISNUMBER(SEARCH(" "&amp;Search!$P$10,N188)))),ROW(),""))</f>
        <v/>
      </c>
      <c r="N188" s="0" t="str">
        <f aca="false">IF(D188="",""," "&amp;SUBSTITUTE(SUBSTITUTE(SUBSTITUTE(SUBSTITUTE(SUBSTITUTE(SUBSTITUTE(SUBSTITUTE(B188&amp;" "&amp;C188&amp;" "&amp;D188&amp;" "&amp;E188&amp;" "&amp;F188&amp;" "&amp;G188&amp;" "&amp;H188&amp;" "&amp;'04 Mirrors'!R15,"("," "),")"," "),"/"," "),"-"," "),","," "),";"," "),":"," ")&amp;" ")</f>
        <v> MR 011 Finished Mirror Mirror with polished edge &amp; adhesive fixing 6 mm Clear silver Local m2 6mm glass </v>
      </c>
    </row>
    <row r="189" customFormat="false" ht="15" hidden="false" customHeight="false" outlineLevel="0" collapsed="false">
      <c r="A189" s="56" t="str">
        <f aca="false">IF('04 Mirrors'!$C$16="","","Mirrors")</f>
        <v>Mirrors</v>
      </c>
      <c r="B189" s="57" t="str">
        <f aca="false">IF('04 Mirrors'!$C$16="","",'04 Mirrors'!A16)</f>
        <v>MR-012</v>
      </c>
      <c r="C189" s="56" t="str">
        <f aca="false">IF('04 Mirrors'!$C$16="","",'04 Mirrors'!B16)</f>
        <v>Finished Mirror</v>
      </c>
      <c r="D189" s="56" t="str">
        <f aca="false">IF('04 Mirrors'!$C$16="","",'04 Mirrors'!C16)</f>
        <v>LED back-lit mirror with demister</v>
      </c>
      <c r="E189" s="56" t="str">
        <f aca="false">IF('04 Mirrors'!$C$16="","",'04 Mirrors'!D16)</f>
        <v>800 x 1000 mm</v>
      </c>
      <c r="F189" s="56" t="str">
        <f aca="false">IF('04 Mirrors'!$C$16="","",'04 Mirrors'!E16)</f>
        <v>Touch switch</v>
      </c>
      <c r="G189" s="56" t="str">
        <f aca="false">IF('04 Mirrors'!$C$16="","",'04 Mirrors'!F16)</f>
        <v>Imported</v>
      </c>
      <c r="H189" s="57" t="str">
        <f aca="false">IF('04 Mirrors'!$C$16="","",'04 Mirrors'!G16)</f>
        <v>nos</v>
      </c>
      <c r="I189" s="58" t="n">
        <f aca="false">IF('04 Mirrors'!$C$16="","",'04 Mirrors'!J16)</f>
        <v>787.5</v>
      </c>
      <c r="J189" s="58" t="n">
        <f aca="false">IF('04 Mirrors'!$C$16="","",'04 Mirrors'!K16)</f>
        <v>945</v>
      </c>
      <c r="K189" s="58" t="n">
        <f aca="false">IF('04 Mirrors'!$C$16="","",'04 Mirrors'!L16)</f>
        <v>992.25</v>
      </c>
      <c r="L189" s="57" t="str">
        <f aca="false">IF('04 Mirrors'!$C$16="","",'04 Mirrors'!M16)</f>
        <v>Indicative</v>
      </c>
      <c r="M189" s="59" t="str">
        <f aca="false">IF(D189="","",IF(AND(OR(Search!$C$6="All Categories",A189=Search!$C$6),OR(Search!$P$5="",ISNUMBER(SEARCH(" "&amp;Search!$P$5,N189))),OR(Search!$P$6="",ISNUMBER(SEARCH(" "&amp;Search!$P$6,N189))),OR(Search!$P$7="",ISNUMBER(SEARCH(" "&amp;Search!$P$7,N189))),OR(Search!$P$8="",ISNUMBER(SEARCH(" "&amp;Search!$P$8,N189))),OR(Search!$P$9="",ISNUMBER(SEARCH(" "&amp;Search!$P$9,N189))),OR(Search!$P$10="",ISNUMBER(SEARCH(" "&amp;Search!$P$10,N189)))),ROW(),""))</f>
        <v/>
      </c>
      <c r="N189" s="0" t="str">
        <f aca="false">IF(D189="",""," "&amp;SUBSTITUTE(SUBSTITUTE(SUBSTITUTE(SUBSTITUTE(SUBSTITUTE(SUBSTITUTE(SUBSTITUTE(B189&amp;" "&amp;C189&amp;" "&amp;D189&amp;" "&amp;E189&amp;" "&amp;F189&amp;" "&amp;G189&amp;" "&amp;H189&amp;" "&amp;'04 Mirrors'!R16,"("," "),")"," "),"/"," "),"-"," "),","," "),";"," "),":"," ")&amp;" ")</f>
        <v> MR 012 Finished Mirror LED back lit mirror with demister 800 x 1000 mm Touch switch Imported nos 800x1000 1000mm glass </v>
      </c>
    </row>
    <row r="190" customFormat="false" ht="15" hidden="false" customHeight="false" outlineLevel="0" collapsed="false">
      <c r="A190" s="56" t="str">
        <f aca="false">IF('04 Mirrors'!$C$17="","","Mirrors")</f>
        <v>Mirrors</v>
      </c>
      <c r="B190" s="57" t="str">
        <f aca="false">IF('04 Mirrors'!$C$17="","",'04 Mirrors'!A17)</f>
        <v>MR-013</v>
      </c>
      <c r="C190" s="56" t="str">
        <f aca="false">IF('04 Mirrors'!$C$17="","",'04 Mirrors'!B17)</f>
        <v>Finished Mirror</v>
      </c>
      <c r="D190" s="56" t="str">
        <f aca="false">IF('04 Mirrors'!$C$17="","",'04 Mirrors'!C17)</f>
        <v>Framed mirror - aluminium frame</v>
      </c>
      <c r="E190" s="56" t="str">
        <f aca="false">IF('04 Mirrors'!$C$17="","",'04 Mirrors'!D17)</f>
        <v>Per m2</v>
      </c>
      <c r="F190" s="56" t="str">
        <f aca="false">IF('04 Mirrors'!$C$17="","",'04 Mirrors'!E17)</f>
        <v>Powder coated</v>
      </c>
      <c r="G190" s="56" t="str">
        <f aca="false">IF('04 Mirrors'!$C$17="","",'04 Mirrors'!F17)</f>
        <v>Local</v>
      </c>
      <c r="H190" s="57" t="str">
        <f aca="false">IF('04 Mirrors'!$C$17="","",'04 Mirrors'!G17)</f>
        <v>m2</v>
      </c>
      <c r="I190" s="58" t="n">
        <f aca="false">IF('04 Mirrors'!$C$17="","",'04 Mirrors'!J17)</f>
        <v>252</v>
      </c>
      <c r="J190" s="58" t="n">
        <f aca="false">IF('04 Mirrors'!$C$17="","",'04 Mirrors'!K17)</f>
        <v>302.4</v>
      </c>
      <c r="K190" s="58" t="n">
        <f aca="false">IF('04 Mirrors'!$C$17="","",'04 Mirrors'!L17)</f>
        <v>317.52</v>
      </c>
      <c r="L190" s="57" t="str">
        <f aca="false">IF('04 Mirrors'!$C$17="","",'04 Mirrors'!M17)</f>
        <v>Indicative</v>
      </c>
      <c r="M190" s="59" t="str">
        <f aca="false">IF(D190="","",IF(AND(OR(Search!$C$6="All Categories",A190=Search!$C$6),OR(Search!$P$5="",ISNUMBER(SEARCH(" "&amp;Search!$P$5,N190))),OR(Search!$P$6="",ISNUMBER(SEARCH(" "&amp;Search!$P$6,N190))),OR(Search!$P$7="",ISNUMBER(SEARCH(" "&amp;Search!$P$7,N190))),OR(Search!$P$8="",ISNUMBER(SEARCH(" "&amp;Search!$P$8,N190))),OR(Search!$P$9="",ISNUMBER(SEARCH(" "&amp;Search!$P$9,N190))),OR(Search!$P$10="",ISNUMBER(SEARCH(" "&amp;Search!$P$10,N190)))),ROW(),""))</f>
        <v/>
      </c>
      <c r="N190" s="0" t="str">
        <f aca="false">IF(D190="",""," "&amp;SUBSTITUTE(SUBSTITUTE(SUBSTITUTE(SUBSTITUTE(SUBSTITUTE(SUBSTITUTE(SUBSTITUTE(B190&amp;" "&amp;C190&amp;" "&amp;D190&amp;" "&amp;E190&amp;" "&amp;F190&amp;" "&amp;G190&amp;" "&amp;H190&amp;" "&amp;'04 Mirrors'!R17,"("," "),")"," "),"/"," "),"-"," "),","," "),";"," "),":"," ")&amp;" ")</f>
        <v> MR 013 Finished Mirror Framed mirror   aluminium frame Per m2 Powder coated Local m2 aluminum alu pc glass </v>
      </c>
    </row>
    <row r="191" customFormat="false" ht="15" hidden="false" customHeight="false" outlineLevel="0" collapsed="false">
      <c r="A191" s="56" t="str">
        <f aca="false">IF('04 Mirrors'!$C$18="","","Mirrors")</f>
        <v>Mirrors</v>
      </c>
      <c r="B191" s="57" t="str">
        <f aca="false">IF('04 Mirrors'!$C$18="","",'04 Mirrors'!A18)</f>
        <v>MR-014</v>
      </c>
      <c r="C191" s="56" t="str">
        <f aca="false">IF('04 Mirrors'!$C$18="","",'04 Mirrors'!B18)</f>
        <v>Finished Mirror</v>
      </c>
      <c r="D191" s="56" t="str">
        <f aca="false">IF('04 Mirrors'!$C$18="","",'04 Mirrors'!C18)</f>
        <v>Gym / full-height wall mirror</v>
      </c>
      <c r="E191" s="56" t="str">
        <f aca="false">IF('04 Mirrors'!$C$18="","",'04 Mirrors'!D18)</f>
        <v>6 mm on MDF/plywood backing</v>
      </c>
      <c r="F191" s="56" t="str">
        <f aca="false">IF('04 Mirrors'!$C$18="","",'04 Mirrors'!E18)</f>
        <v>Clear silver</v>
      </c>
      <c r="G191" s="56" t="str">
        <f aca="false">IF('04 Mirrors'!$C$18="","",'04 Mirrors'!F18)</f>
        <v>Local</v>
      </c>
      <c r="H191" s="57" t="str">
        <f aca="false">IF('04 Mirrors'!$C$18="","",'04 Mirrors'!G18)</f>
        <v>m2</v>
      </c>
      <c r="I191" s="58" t="n">
        <f aca="false">IF('04 Mirrors'!$C$18="","",'04 Mirrors'!J18)</f>
        <v>168</v>
      </c>
      <c r="J191" s="58" t="n">
        <f aca="false">IF('04 Mirrors'!$C$18="","",'04 Mirrors'!K18)</f>
        <v>201.6</v>
      </c>
      <c r="K191" s="58" t="n">
        <f aca="false">IF('04 Mirrors'!$C$18="","",'04 Mirrors'!L18)</f>
        <v>211.68</v>
      </c>
      <c r="L191" s="57" t="str">
        <f aca="false">IF('04 Mirrors'!$C$18="","",'04 Mirrors'!M18)</f>
        <v>Indicative</v>
      </c>
      <c r="M191" s="59" t="str">
        <f aca="false">IF(D191="","",IF(AND(OR(Search!$C$6="All Categories",A191=Search!$C$6),OR(Search!$P$5="",ISNUMBER(SEARCH(" "&amp;Search!$P$5,N191))),OR(Search!$P$6="",ISNUMBER(SEARCH(" "&amp;Search!$P$6,N191))),OR(Search!$P$7="",ISNUMBER(SEARCH(" "&amp;Search!$P$7,N191))),OR(Search!$P$8="",ISNUMBER(SEARCH(" "&amp;Search!$P$8,N191))),OR(Search!$P$9="",ISNUMBER(SEARCH(" "&amp;Search!$P$9,N191))),OR(Search!$P$10="",ISNUMBER(SEARCH(" "&amp;Search!$P$10,N191)))),ROW(),""))</f>
        <v/>
      </c>
      <c r="N191" s="0" t="str">
        <f aca="false">IF(D191="",""," "&amp;SUBSTITUTE(SUBSTITUTE(SUBSTITUTE(SUBSTITUTE(SUBSTITUTE(SUBSTITUTE(SUBSTITUTE(B191&amp;" "&amp;C191&amp;" "&amp;D191&amp;" "&amp;E191&amp;" "&amp;F191&amp;" "&amp;G191&amp;" "&amp;H191&amp;" "&amp;'04 Mirrors'!R18,"("," "),")"," "),"/"," "),"-"," "),","," "),";"," "),":"," ")&amp;" ")</f>
        <v> MR 014 Finished Mirror Gym   full height wall mirror 6 mm on MDF plywood backing Clear silver Local m2 6mm glass </v>
      </c>
    </row>
    <row r="192" customFormat="false" ht="15" hidden="false" customHeight="false" outlineLevel="0" collapsed="false">
      <c r="A192" s="56" t="str">
        <f aca="false">IF('04 Mirrors'!$C$19="","","Mirrors")</f>
        <v>Mirrors</v>
      </c>
      <c r="B192" s="57" t="str">
        <f aca="false">IF('04 Mirrors'!$C$19="","",'04 Mirrors'!A19)</f>
        <v>MR-015</v>
      </c>
      <c r="C192" s="56" t="str">
        <f aca="false">IF('04 Mirrors'!$C$19="","",'04 Mirrors'!B19)</f>
        <v>Mirror Accessories</v>
      </c>
      <c r="D192" s="56" t="str">
        <f aca="false">IF('04 Mirrors'!$C$19="","",'04 Mirrors'!C19)</f>
        <v>Mirror adhesive (neutral silicone)</v>
      </c>
      <c r="E192" s="56" t="str">
        <f aca="false">IF('04 Mirrors'!$C$19="","",'04 Mirrors'!D19)</f>
        <v>310 ml</v>
      </c>
      <c r="F192" s="56" t="str">
        <f aca="false">IF('04 Mirrors'!$C$19="","",'04 Mirrors'!E19)</f>
        <v>-</v>
      </c>
      <c r="G192" s="56" t="str">
        <f aca="false">IF('04 Mirrors'!$C$19="","",'04 Mirrors'!F19)</f>
        <v>Dow / Sika / Equiv.</v>
      </c>
      <c r="H192" s="57" t="str">
        <f aca="false">IF('04 Mirrors'!$C$19="","",'04 Mirrors'!G19)</f>
        <v>nos</v>
      </c>
      <c r="I192" s="58" t="n">
        <f aca="false">IF('04 Mirrors'!$C$19="","",'04 Mirrors'!J19)</f>
        <v>26.25</v>
      </c>
      <c r="J192" s="58" t="n">
        <f aca="false">IF('04 Mirrors'!$C$19="","",'04 Mirrors'!K19)</f>
        <v>31.5</v>
      </c>
      <c r="K192" s="58" t="n">
        <f aca="false">IF('04 Mirrors'!$C$19="","",'04 Mirrors'!L19)</f>
        <v>33.08</v>
      </c>
      <c r="L192" s="57" t="str">
        <f aca="false">IF('04 Mirrors'!$C$19="","",'04 Mirrors'!M19)</f>
        <v>Indicative</v>
      </c>
      <c r="M192" s="59" t="str">
        <f aca="false">IF(D192="","",IF(AND(OR(Search!$C$6="All Categories",A192=Search!$C$6),OR(Search!$P$5="",ISNUMBER(SEARCH(" "&amp;Search!$P$5,N192))),OR(Search!$P$6="",ISNUMBER(SEARCH(" "&amp;Search!$P$6,N192))),OR(Search!$P$7="",ISNUMBER(SEARCH(" "&amp;Search!$P$7,N192))),OR(Search!$P$8="",ISNUMBER(SEARCH(" "&amp;Search!$P$8,N192))),OR(Search!$P$9="",ISNUMBER(SEARCH(" "&amp;Search!$P$9,N192))),OR(Search!$P$10="",ISNUMBER(SEARCH(" "&amp;Search!$P$10,N192)))),ROW(),""))</f>
        <v/>
      </c>
      <c r="N192" s="0" t="str">
        <f aca="false">IF(D192="",""," "&amp;SUBSTITUTE(SUBSTITUTE(SUBSTITUTE(SUBSTITUTE(SUBSTITUTE(SUBSTITUTE(SUBSTITUTE(B192&amp;" "&amp;C192&amp;" "&amp;D192&amp;" "&amp;E192&amp;" "&amp;F192&amp;" "&amp;G192&amp;" "&amp;H192&amp;" "&amp;'04 Mirrors'!R19,"("," "),")"," "),"/"," "),"-"," "),","," "),";"," "),":"," ")&amp;" ")</f>
        <v> MR 015 Mirror Accessories Mirror adhesive  neutral silicone  310 ml   Dow   Sika   Equiv. nos sealant glass </v>
      </c>
    </row>
    <row r="193" customFormat="false" ht="15" hidden="false" customHeight="false" outlineLevel="0" collapsed="false">
      <c r="A193" s="56" t="str">
        <f aca="false">IF('04 Mirrors'!$C$20="","","Mirrors")</f>
        <v>Mirrors</v>
      </c>
      <c r="B193" s="57" t="str">
        <f aca="false">IF('04 Mirrors'!$C$20="","",'04 Mirrors'!A20)</f>
        <v>MR-016</v>
      </c>
      <c r="C193" s="56" t="str">
        <f aca="false">IF('04 Mirrors'!$C$20="","",'04 Mirrors'!B20)</f>
        <v>Mirror Accessories</v>
      </c>
      <c r="D193" s="56" t="str">
        <f aca="false">IF('04 Mirrors'!$C$20="","",'04 Mirrors'!C20)</f>
        <v>SS mirror clip / J-channel</v>
      </c>
      <c r="E193" s="56" t="str">
        <f aca="false">IF('04 Mirrors'!$C$20="","",'04 Mirrors'!D20)</f>
        <v>Set</v>
      </c>
      <c r="F193" s="56" t="str">
        <f aca="false">IF('04 Mirrors'!$C$20="","",'04 Mirrors'!E20)</f>
        <v>SS 304</v>
      </c>
      <c r="G193" s="56" t="str">
        <f aca="false">IF('04 Mirrors'!$C$20="","",'04 Mirrors'!F20)</f>
        <v>Local</v>
      </c>
      <c r="H193" s="57" t="str">
        <f aca="false">IF('04 Mirrors'!$C$20="","",'04 Mirrors'!G20)</f>
        <v>set</v>
      </c>
      <c r="I193" s="58" t="n">
        <f aca="false">IF('04 Mirrors'!$C$20="","",'04 Mirrors'!J20)</f>
        <v>12.6</v>
      </c>
      <c r="J193" s="58" t="n">
        <f aca="false">IF('04 Mirrors'!$C$20="","",'04 Mirrors'!K20)</f>
        <v>15.12</v>
      </c>
      <c r="K193" s="58" t="n">
        <f aca="false">IF('04 Mirrors'!$C$20="","",'04 Mirrors'!L20)</f>
        <v>15.88</v>
      </c>
      <c r="L193" s="57" t="str">
        <f aca="false">IF('04 Mirrors'!$C$20="","",'04 Mirrors'!M20)</f>
        <v>Indicative</v>
      </c>
      <c r="M193" s="59" t="str">
        <f aca="false">IF(D193="","",IF(AND(OR(Search!$C$6="All Categories",A193=Search!$C$6),OR(Search!$P$5="",ISNUMBER(SEARCH(" "&amp;Search!$P$5,N193))),OR(Search!$P$6="",ISNUMBER(SEARCH(" "&amp;Search!$P$6,N193))),OR(Search!$P$7="",ISNUMBER(SEARCH(" "&amp;Search!$P$7,N193))),OR(Search!$P$8="",ISNUMBER(SEARCH(" "&amp;Search!$P$8,N193))),OR(Search!$P$9="",ISNUMBER(SEARCH(" "&amp;Search!$P$9,N193))),OR(Search!$P$10="",ISNUMBER(SEARCH(" "&amp;Search!$P$10,N193)))),ROW(),""))</f>
        <v/>
      </c>
      <c r="N193" s="0" t="str">
        <f aca="false">IF(D193="",""," "&amp;SUBSTITUTE(SUBSTITUTE(SUBSTITUTE(SUBSTITUTE(SUBSTITUTE(SUBSTITUTE(SUBSTITUTE(B193&amp;" "&amp;C193&amp;" "&amp;D193&amp;" "&amp;E193&amp;" "&amp;F193&amp;" "&amp;G193&amp;" "&amp;H193&amp;" "&amp;'04 Mirrors'!R20,"("," "),")"," "),"/"," "),"-"," "),","," "),";"," "),":"," ")&amp;" ")</f>
        <v> MR 016 Mirror Accessories SS mirror clip   J channel Set SS 304 Local set ss304 sus304 glass stainless steel </v>
      </c>
    </row>
    <row r="194" customFormat="false" ht="15" hidden="false" customHeight="false" outlineLevel="0" collapsed="false">
      <c r="A194" s="56" t="str">
        <f aca="false">IF('04 Mirrors'!$C$21="","","Mirrors")</f>
        <v>Mirrors</v>
      </c>
      <c r="B194" s="57" t="str">
        <f aca="false">IF('04 Mirrors'!$C$21="","",'04 Mirrors'!A21)</f>
        <v>MR-017</v>
      </c>
      <c r="C194" s="56" t="str">
        <f aca="false">IF('04 Mirrors'!$C$21="","",'04 Mirrors'!B21)</f>
        <v>Mirror Accessories</v>
      </c>
      <c r="D194" s="56" t="str">
        <f aca="false">IF('04 Mirrors'!$C$21="","",'04 Mirrors'!C21)</f>
        <v>Aluminium J-channel / mirror channel</v>
      </c>
      <c r="E194" s="56" t="str">
        <f aca="false">IF('04 Mirrors'!$C$21="","",'04 Mirrors'!D21)</f>
        <v>Per lm</v>
      </c>
      <c r="F194" s="56" t="str">
        <f aca="false">IF('04 Mirrors'!$C$21="","",'04 Mirrors'!E21)</f>
        <v>Anodized</v>
      </c>
      <c r="G194" s="56" t="str">
        <f aca="false">IF('04 Mirrors'!$C$21="","",'04 Mirrors'!F21)</f>
        <v>Local</v>
      </c>
      <c r="H194" s="57" t="str">
        <f aca="false">IF('04 Mirrors'!$C$21="","",'04 Mirrors'!G21)</f>
        <v>lm</v>
      </c>
      <c r="I194" s="58" t="n">
        <f aca="false">IF('04 Mirrors'!$C$21="","",'04 Mirrors'!J21)</f>
        <v>15.75</v>
      </c>
      <c r="J194" s="58" t="n">
        <f aca="false">IF('04 Mirrors'!$C$21="","",'04 Mirrors'!K21)</f>
        <v>18.9</v>
      </c>
      <c r="K194" s="58" t="n">
        <f aca="false">IF('04 Mirrors'!$C$21="","",'04 Mirrors'!L21)</f>
        <v>19.85</v>
      </c>
      <c r="L194" s="57" t="str">
        <f aca="false">IF('04 Mirrors'!$C$21="","",'04 Mirrors'!M21)</f>
        <v>Indicative</v>
      </c>
      <c r="M194" s="59" t="str">
        <f aca="false">IF(D194="","",IF(AND(OR(Search!$C$6="All Categories",A194=Search!$C$6),OR(Search!$P$5="",ISNUMBER(SEARCH(" "&amp;Search!$P$5,N194))),OR(Search!$P$6="",ISNUMBER(SEARCH(" "&amp;Search!$P$6,N194))),OR(Search!$P$7="",ISNUMBER(SEARCH(" "&amp;Search!$P$7,N194))),OR(Search!$P$8="",ISNUMBER(SEARCH(" "&amp;Search!$P$8,N194))),OR(Search!$P$9="",ISNUMBER(SEARCH(" "&amp;Search!$P$9,N194))),OR(Search!$P$10="",ISNUMBER(SEARCH(" "&amp;Search!$P$10,N194)))),ROW(),""))</f>
        <v/>
      </c>
      <c r="N194" s="0" t="str">
        <f aca="false">IF(D194="",""," "&amp;SUBSTITUTE(SUBSTITUTE(SUBSTITUTE(SUBSTITUTE(SUBSTITUTE(SUBSTITUTE(SUBSTITUTE(B194&amp;" "&amp;C194&amp;" "&amp;D194&amp;" "&amp;E194&amp;" "&amp;F194&amp;" "&amp;G194&amp;" "&amp;H194&amp;" "&amp;'04 Mirrors'!R21,"("," "),")"," "),"/"," "),"-"," "),","," "),";"," "),":"," ")&amp;" ")</f>
        <v> MR 017 Mirror Accessories Aluminium J channel   mirror channel Per lm Anodized Local lm aluminum alu glass </v>
      </c>
    </row>
    <row r="195" customFormat="false" ht="15" hidden="false" customHeight="false" outlineLevel="0" collapsed="false">
      <c r="A195" s="56" t="str">
        <f aca="false">IF('04 Mirrors'!$C$22="","","Mirrors")</f>
        <v/>
      </c>
      <c r="B195" s="57" t="str">
        <f aca="false">IF('04 Mirrors'!$C$22="","",'04 Mirrors'!A22)</f>
        <v/>
      </c>
      <c r="C195" s="56" t="str">
        <f aca="false">IF('04 Mirrors'!$C$22="","",'04 Mirrors'!B22)</f>
        <v/>
      </c>
      <c r="D195" s="56" t="str">
        <f aca="false">IF('04 Mirrors'!$C$22="","",'04 Mirrors'!C22)</f>
        <v/>
      </c>
      <c r="E195" s="56" t="str">
        <f aca="false">IF('04 Mirrors'!$C$22="","",'04 Mirrors'!D22)</f>
        <v/>
      </c>
      <c r="F195" s="56" t="str">
        <f aca="false">IF('04 Mirrors'!$C$22="","",'04 Mirrors'!E22)</f>
        <v/>
      </c>
      <c r="G195" s="56" t="str">
        <f aca="false">IF('04 Mirrors'!$C$22="","",'04 Mirrors'!F22)</f>
        <v/>
      </c>
      <c r="H195" s="57" t="str">
        <f aca="false">IF('04 Mirrors'!$C$22="","",'04 Mirrors'!G22)</f>
        <v/>
      </c>
      <c r="I195" s="58" t="str">
        <f aca="false">IF('04 Mirrors'!$C$22="","",'04 Mirrors'!J22)</f>
        <v/>
      </c>
      <c r="J195" s="58" t="str">
        <f aca="false">IF('04 Mirrors'!$C$22="","",'04 Mirrors'!K22)</f>
        <v/>
      </c>
      <c r="K195" s="58" t="str">
        <f aca="false">IF('04 Mirrors'!$C$22="","",'04 Mirrors'!L22)</f>
        <v/>
      </c>
      <c r="L195" s="57" t="str">
        <f aca="false">IF('04 Mirrors'!$C$22="","",'04 Mirrors'!M22)</f>
        <v/>
      </c>
      <c r="M195" s="59" t="str">
        <f aca="false">IF(D195="","",IF(AND(OR(Search!$C$6="All Categories",A195=Search!$C$6),OR(Search!$P$5="",ISNUMBER(SEARCH(" "&amp;Search!$P$5,N195))),OR(Search!$P$6="",ISNUMBER(SEARCH(" "&amp;Search!$P$6,N195))),OR(Search!$P$7="",ISNUMBER(SEARCH(" "&amp;Search!$P$7,N195))),OR(Search!$P$8="",ISNUMBER(SEARCH(" "&amp;Search!$P$8,N195))),OR(Search!$P$9="",ISNUMBER(SEARCH(" "&amp;Search!$P$9,N195))),OR(Search!$P$10="",ISNUMBER(SEARCH(" "&amp;Search!$P$10,N195)))),ROW(),""))</f>
        <v/>
      </c>
      <c r="N195" s="0" t="str">
        <f aca="false">IF(D195="",""," "&amp;SUBSTITUTE(SUBSTITUTE(SUBSTITUTE(SUBSTITUTE(SUBSTITUTE(SUBSTITUTE(SUBSTITUTE(B195&amp;" "&amp;C195&amp;" "&amp;D195&amp;" "&amp;E195&amp;" "&amp;F195&amp;" "&amp;G195&amp;" "&amp;H195&amp;" "&amp;'04 Mirrors'!R22,"("," "),")"," "),"/"," "),"-"," "),","," "),";"," "),":"," ")&amp;" ")</f>
        <v/>
      </c>
    </row>
    <row r="196" customFormat="false" ht="15" hidden="false" customHeight="false" outlineLevel="0" collapsed="false">
      <c r="A196" s="56" t="str">
        <f aca="false">IF('04 Mirrors'!$C$23="","","Mirrors")</f>
        <v/>
      </c>
      <c r="B196" s="57" t="str">
        <f aca="false">IF('04 Mirrors'!$C$23="","",'04 Mirrors'!A23)</f>
        <v/>
      </c>
      <c r="C196" s="56" t="str">
        <f aca="false">IF('04 Mirrors'!$C$23="","",'04 Mirrors'!B23)</f>
        <v/>
      </c>
      <c r="D196" s="56" t="str">
        <f aca="false">IF('04 Mirrors'!$C$23="","",'04 Mirrors'!C23)</f>
        <v/>
      </c>
      <c r="E196" s="56" t="str">
        <f aca="false">IF('04 Mirrors'!$C$23="","",'04 Mirrors'!D23)</f>
        <v/>
      </c>
      <c r="F196" s="56" t="str">
        <f aca="false">IF('04 Mirrors'!$C$23="","",'04 Mirrors'!E23)</f>
        <v/>
      </c>
      <c r="G196" s="56" t="str">
        <f aca="false">IF('04 Mirrors'!$C$23="","",'04 Mirrors'!F23)</f>
        <v/>
      </c>
      <c r="H196" s="57" t="str">
        <f aca="false">IF('04 Mirrors'!$C$23="","",'04 Mirrors'!G23)</f>
        <v/>
      </c>
      <c r="I196" s="58" t="str">
        <f aca="false">IF('04 Mirrors'!$C$23="","",'04 Mirrors'!J23)</f>
        <v/>
      </c>
      <c r="J196" s="58" t="str">
        <f aca="false">IF('04 Mirrors'!$C$23="","",'04 Mirrors'!K23)</f>
        <v/>
      </c>
      <c r="K196" s="58" t="str">
        <f aca="false">IF('04 Mirrors'!$C$23="","",'04 Mirrors'!L23)</f>
        <v/>
      </c>
      <c r="L196" s="57" t="str">
        <f aca="false">IF('04 Mirrors'!$C$23="","",'04 Mirrors'!M23)</f>
        <v/>
      </c>
      <c r="M196" s="59" t="str">
        <f aca="false">IF(D196="","",IF(AND(OR(Search!$C$6="All Categories",A196=Search!$C$6),OR(Search!$P$5="",ISNUMBER(SEARCH(" "&amp;Search!$P$5,N196))),OR(Search!$P$6="",ISNUMBER(SEARCH(" "&amp;Search!$P$6,N196))),OR(Search!$P$7="",ISNUMBER(SEARCH(" "&amp;Search!$P$7,N196))),OR(Search!$P$8="",ISNUMBER(SEARCH(" "&amp;Search!$P$8,N196))),OR(Search!$P$9="",ISNUMBER(SEARCH(" "&amp;Search!$P$9,N196))),OR(Search!$P$10="",ISNUMBER(SEARCH(" "&amp;Search!$P$10,N196)))),ROW(),""))</f>
        <v/>
      </c>
      <c r="N196" s="0" t="str">
        <f aca="false">IF(D196="",""," "&amp;SUBSTITUTE(SUBSTITUTE(SUBSTITUTE(SUBSTITUTE(SUBSTITUTE(SUBSTITUTE(SUBSTITUTE(B196&amp;" "&amp;C196&amp;" "&amp;D196&amp;" "&amp;E196&amp;" "&amp;F196&amp;" "&amp;G196&amp;" "&amp;H196&amp;" "&amp;'04 Mirrors'!R23,"("," "),")"," "),"/"," "),"-"," "),","," "),";"," "),":"," ")&amp;" ")</f>
        <v/>
      </c>
    </row>
    <row r="197" customFormat="false" ht="15" hidden="false" customHeight="false" outlineLevel="0" collapsed="false">
      <c r="A197" s="56" t="str">
        <f aca="false">IF('04 Mirrors'!$C$24="","","Mirrors")</f>
        <v/>
      </c>
      <c r="B197" s="57" t="str">
        <f aca="false">IF('04 Mirrors'!$C$24="","",'04 Mirrors'!A24)</f>
        <v/>
      </c>
      <c r="C197" s="56" t="str">
        <f aca="false">IF('04 Mirrors'!$C$24="","",'04 Mirrors'!B24)</f>
        <v/>
      </c>
      <c r="D197" s="56" t="str">
        <f aca="false">IF('04 Mirrors'!$C$24="","",'04 Mirrors'!C24)</f>
        <v/>
      </c>
      <c r="E197" s="56" t="str">
        <f aca="false">IF('04 Mirrors'!$C$24="","",'04 Mirrors'!D24)</f>
        <v/>
      </c>
      <c r="F197" s="56" t="str">
        <f aca="false">IF('04 Mirrors'!$C$24="","",'04 Mirrors'!E24)</f>
        <v/>
      </c>
      <c r="G197" s="56" t="str">
        <f aca="false">IF('04 Mirrors'!$C$24="","",'04 Mirrors'!F24)</f>
        <v/>
      </c>
      <c r="H197" s="57" t="str">
        <f aca="false">IF('04 Mirrors'!$C$24="","",'04 Mirrors'!G24)</f>
        <v/>
      </c>
      <c r="I197" s="58" t="str">
        <f aca="false">IF('04 Mirrors'!$C$24="","",'04 Mirrors'!J24)</f>
        <v/>
      </c>
      <c r="J197" s="58" t="str">
        <f aca="false">IF('04 Mirrors'!$C$24="","",'04 Mirrors'!K24)</f>
        <v/>
      </c>
      <c r="K197" s="58" t="str">
        <f aca="false">IF('04 Mirrors'!$C$24="","",'04 Mirrors'!L24)</f>
        <v/>
      </c>
      <c r="L197" s="57" t="str">
        <f aca="false">IF('04 Mirrors'!$C$24="","",'04 Mirrors'!M24)</f>
        <v/>
      </c>
      <c r="M197" s="59" t="str">
        <f aca="false">IF(D197="","",IF(AND(OR(Search!$C$6="All Categories",A197=Search!$C$6),OR(Search!$P$5="",ISNUMBER(SEARCH(" "&amp;Search!$P$5,N197))),OR(Search!$P$6="",ISNUMBER(SEARCH(" "&amp;Search!$P$6,N197))),OR(Search!$P$7="",ISNUMBER(SEARCH(" "&amp;Search!$P$7,N197))),OR(Search!$P$8="",ISNUMBER(SEARCH(" "&amp;Search!$P$8,N197))),OR(Search!$P$9="",ISNUMBER(SEARCH(" "&amp;Search!$P$9,N197))),OR(Search!$P$10="",ISNUMBER(SEARCH(" "&amp;Search!$P$10,N197)))),ROW(),""))</f>
        <v/>
      </c>
      <c r="N197" s="0" t="str">
        <f aca="false">IF(D197="",""," "&amp;SUBSTITUTE(SUBSTITUTE(SUBSTITUTE(SUBSTITUTE(SUBSTITUTE(SUBSTITUTE(SUBSTITUTE(B197&amp;" "&amp;C197&amp;" "&amp;D197&amp;" "&amp;E197&amp;" "&amp;F197&amp;" "&amp;G197&amp;" "&amp;H197&amp;" "&amp;'04 Mirrors'!R24,"("," "),")"," "),"/"," "),"-"," "),","," "),";"," "),":"," ")&amp;" ")</f>
        <v/>
      </c>
    </row>
    <row r="198" customFormat="false" ht="15" hidden="false" customHeight="false" outlineLevel="0" collapsed="false">
      <c r="A198" s="56" t="str">
        <f aca="false">IF('04 Mirrors'!$C$25="","","Mirrors")</f>
        <v/>
      </c>
      <c r="B198" s="57" t="str">
        <f aca="false">IF('04 Mirrors'!$C$25="","",'04 Mirrors'!A25)</f>
        <v/>
      </c>
      <c r="C198" s="56" t="str">
        <f aca="false">IF('04 Mirrors'!$C$25="","",'04 Mirrors'!B25)</f>
        <v/>
      </c>
      <c r="D198" s="56" t="str">
        <f aca="false">IF('04 Mirrors'!$C$25="","",'04 Mirrors'!C25)</f>
        <v/>
      </c>
      <c r="E198" s="56" t="str">
        <f aca="false">IF('04 Mirrors'!$C$25="","",'04 Mirrors'!D25)</f>
        <v/>
      </c>
      <c r="F198" s="56" t="str">
        <f aca="false">IF('04 Mirrors'!$C$25="","",'04 Mirrors'!E25)</f>
        <v/>
      </c>
      <c r="G198" s="56" t="str">
        <f aca="false">IF('04 Mirrors'!$C$25="","",'04 Mirrors'!F25)</f>
        <v/>
      </c>
      <c r="H198" s="57" t="str">
        <f aca="false">IF('04 Mirrors'!$C$25="","",'04 Mirrors'!G25)</f>
        <v/>
      </c>
      <c r="I198" s="58" t="str">
        <f aca="false">IF('04 Mirrors'!$C$25="","",'04 Mirrors'!J25)</f>
        <v/>
      </c>
      <c r="J198" s="58" t="str">
        <f aca="false">IF('04 Mirrors'!$C$25="","",'04 Mirrors'!K25)</f>
        <v/>
      </c>
      <c r="K198" s="58" t="str">
        <f aca="false">IF('04 Mirrors'!$C$25="","",'04 Mirrors'!L25)</f>
        <v/>
      </c>
      <c r="L198" s="57" t="str">
        <f aca="false">IF('04 Mirrors'!$C$25="","",'04 Mirrors'!M25)</f>
        <v/>
      </c>
      <c r="M198" s="59" t="str">
        <f aca="false">IF(D198="","",IF(AND(OR(Search!$C$6="All Categories",A198=Search!$C$6),OR(Search!$P$5="",ISNUMBER(SEARCH(" "&amp;Search!$P$5,N198))),OR(Search!$P$6="",ISNUMBER(SEARCH(" "&amp;Search!$P$6,N198))),OR(Search!$P$7="",ISNUMBER(SEARCH(" "&amp;Search!$P$7,N198))),OR(Search!$P$8="",ISNUMBER(SEARCH(" "&amp;Search!$P$8,N198))),OR(Search!$P$9="",ISNUMBER(SEARCH(" "&amp;Search!$P$9,N198))),OR(Search!$P$10="",ISNUMBER(SEARCH(" "&amp;Search!$P$10,N198)))),ROW(),""))</f>
        <v/>
      </c>
      <c r="N198" s="0" t="str">
        <f aca="false">IF(D198="",""," "&amp;SUBSTITUTE(SUBSTITUTE(SUBSTITUTE(SUBSTITUTE(SUBSTITUTE(SUBSTITUTE(SUBSTITUTE(B198&amp;" "&amp;C198&amp;" "&amp;D198&amp;" "&amp;E198&amp;" "&amp;F198&amp;" "&amp;G198&amp;" "&amp;H198&amp;" "&amp;'04 Mirrors'!R25,"("," "),")"," "),"/"," "),"-"," "),","," "),";"," "),":"," ")&amp;" ")</f>
        <v/>
      </c>
    </row>
    <row r="199" customFormat="false" ht="15" hidden="false" customHeight="false" outlineLevel="0" collapsed="false">
      <c r="A199" s="56" t="str">
        <f aca="false">IF('04 Mirrors'!$C$26="","","Mirrors")</f>
        <v/>
      </c>
      <c r="B199" s="57" t="str">
        <f aca="false">IF('04 Mirrors'!$C$26="","",'04 Mirrors'!A26)</f>
        <v/>
      </c>
      <c r="C199" s="56" t="str">
        <f aca="false">IF('04 Mirrors'!$C$26="","",'04 Mirrors'!B26)</f>
        <v/>
      </c>
      <c r="D199" s="56" t="str">
        <f aca="false">IF('04 Mirrors'!$C$26="","",'04 Mirrors'!C26)</f>
        <v/>
      </c>
      <c r="E199" s="56" t="str">
        <f aca="false">IF('04 Mirrors'!$C$26="","",'04 Mirrors'!D26)</f>
        <v/>
      </c>
      <c r="F199" s="56" t="str">
        <f aca="false">IF('04 Mirrors'!$C$26="","",'04 Mirrors'!E26)</f>
        <v/>
      </c>
      <c r="G199" s="56" t="str">
        <f aca="false">IF('04 Mirrors'!$C$26="","",'04 Mirrors'!F26)</f>
        <v/>
      </c>
      <c r="H199" s="57" t="str">
        <f aca="false">IF('04 Mirrors'!$C$26="","",'04 Mirrors'!G26)</f>
        <v/>
      </c>
      <c r="I199" s="58" t="str">
        <f aca="false">IF('04 Mirrors'!$C$26="","",'04 Mirrors'!J26)</f>
        <v/>
      </c>
      <c r="J199" s="58" t="str">
        <f aca="false">IF('04 Mirrors'!$C$26="","",'04 Mirrors'!K26)</f>
        <v/>
      </c>
      <c r="K199" s="58" t="str">
        <f aca="false">IF('04 Mirrors'!$C$26="","",'04 Mirrors'!L26)</f>
        <v/>
      </c>
      <c r="L199" s="57" t="str">
        <f aca="false">IF('04 Mirrors'!$C$26="","",'04 Mirrors'!M26)</f>
        <v/>
      </c>
      <c r="M199" s="59" t="str">
        <f aca="false">IF(D199="","",IF(AND(OR(Search!$C$6="All Categories",A199=Search!$C$6),OR(Search!$P$5="",ISNUMBER(SEARCH(" "&amp;Search!$P$5,N199))),OR(Search!$P$6="",ISNUMBER(SEARCH(" "&amp;Search!$P$6,N199))),OR(Search!$P$7="",ISNUMBER(SEARCH(" "&amp;Search!$P$7,N199))),OR(Search!$P$8="",ISNUMBER(SEARCH(" "&amp;Search!$P$8,N199))),OR(Search!$P$9="",ISNUMBER(SEARCH(" "&amp;Search!$P$9,N199))),OR(Search!$P$10="",ISNUMBER(SEARCH(" "&amp;Search!$P$10,N199)))),ROW(),""))</f>
        <v/>
      </c>
      <c r="N199" s="0" t="str">
        <f aca="false">IF(D199="",""," "&amp;SUBSTITUTE(SUBSTITUTE(SUBSTITUTE(SUBSTITUTE(SUBSTITUTE(SUBSTITUTE(SUBSTITUTE(B199&amp;" "&amp;C199&amp;" "&amp;D199&amp;" "&amp;E199&amp;" "&amp;F199&amp;" "&amp;G199&amp;" "&amp;H199&amp;" "&amp;'04 Mirrors'!R26,"("," "),")"," "),"/"," "),"-"," "),","," "),";"," "),":"," ")&amp;" ")</f>
        <v/>
      </c>
    </row>
    <row r="200" customFormat="false" ht="15" hidden="false" customHeight="false" outlineLevel="0" collapsed="false">
      <c r="A200" s="56" t="str">
        <f aca="false">IF('04 Mirrors'!$C$27="","","Mirrors")</f>
        <v/>
      </c>
      <c r="B200" s="57" t="str">
        <f aca="false">IF('04 Mirrors'!$C$27="","",'04 Mirrors'!A27)</f>
        <v/>
      </c>
      <c r="C200" s="56" t="str">
        <f aca="false">IF('04 Mirrors'!$C$27="","",'04 Mirrors'!B27)</f>
        <v/>
      </c>
      <c r="D200" s="56" t="str">
        <f aca="false">IF('04 Mirrors'!$C$27="","",'04 Mirrors'!C27)</f>
        <v/>
      </c>
      <c r="E200" s="56" t="str">
        <f aca="false">IF('04 Mirrors'!$C$27="","",'04 Mirrors'!D27)</f>
        <v/>
      </c>
      <c r="F200" s="56" t="str">
        <f aca="false">IF('04 Mirrors'!$C$27="","",'04 Mirrors'!E27)</f>
        <v/>
      </c>
      <c r="G200" s="56" t="str">
        <f aca="false">IF('04 Mirrors'!$C$27="","",'04 Mirrors'!F27)</f>
        <v/>
      </c>
      <c r="H200" s="57" t="str">
        <f aca="false">IF('04 Mirrors'!$C$27="","",'04 Mirrors'!G27)</f>
        <v/>
      </c>
      <c r="I200" s="58" t="str">
        <f aca="false">IF('04 Mirrors'!$C$27="","",'04 Mirrors'!J27)</f>
        <v/>
      </c>
      <c r="J200" s="58" t="str">
        <f aca="false">IF('04 Mirrors'!$C$27="","",'04 Mirrors'!K27)</f>
        <v/>
      </c>
      <c r="K200" s="58" t="str">
        <f aca="false">IF('04 Mirrors'!$C$27="","",'04 Mirrors'!L27)</f>
        <v/>
      </c>
      <c r="L200" s="57" t="str">
        <f aca="false">IF('04 Mirrors'!$C$27="","",'04 Mirrors'!M27)</f>
        <v/>
      </c>
      <c r="M200" s="59" t="str">
        <f aca="false">IF(D200="","",IF(AND(OR(Search!$C$6="All Categories",A200=Search!$C$6),OR(Search!$P$5="",ISNUMBER(SEARCH(" "&amp;Search!$P$5,N200))),OR(Search!$P$6="",ISNUMBER(SEARCH(" "&amp;Search!$P$6,N200))),OR(Search!$P$7="",ISNUMBER(SEARCH(" "&amp;Search!$P$7,N200))),OR(Search!$P$8="",ISNUMBER(SEARCH(" "&amp;Search!$P$8,N200))),OR(Search!$P$9="",ISNUMBER(SEARCH(" "&amp;Search!$P$9,N200))),OR(Search!$P$10="",ISNUMBER(SEARCH(" "&amp;Search!$P$10,N200)))),ROW(),""))</f>
        <v/>
      </c>
      <c r="N200" s="0" t="str">
        <f aca="false">IF(D200="",""," "&amp;SUBSTITUTE(SUBSTITUTE(SUBSTITUTE(SUBSTITUTE(SUBSTITUTE(SUBSTITUTE(SUBSTITUTE(B200&amp;" "&amp;C200&amp;" "&amp;D200&amp;" "&amp;E200&amp;" "&amp;F200&amp;" "&amp;G200&amp;" "&amp;H200&amp;" "&amp;'04 Mirrors'!R27,"("," "),")"," "),"/"," "),"-"," "),","," "),";"," "),":"," ")&amp;" ")</f>
        <v/>
      </c>
    </row>
    <row r="201" customFormat="false" ht="15" hidden="false" customHeight="false" outlineLevel="0" collapsed="false">
      <c r="A201" s="56" t="str">
        <f aca="false">IF('04 Mirrors'!$C$28="","","Mirrors")</f>
        <v/>
      </c>
      <c r="B201" s="57" t="str">
        <f aca="false">IF('04 Mirrors'!$C$28="","",'04 Mirrors'!A28)</f>
        <v/>
      </c>
      <c r="C201" s="56" t="str">
        <f aca="false">IF('04 Mirrors'!$C$28="","",'04 Mirrors'!B28)</f>
        <v/>
      </c>
      <c r="D201" s="56" t="str">
        <f aca="false">IF('04 Mirrors'!$C$28="","",'04 Mirrors'!C28)</f>
        <v/>
      </c>
      <c r="E201" s="56" t="str">
        <f aca="false">IF('04 Mirrors'!$C$28="","",'04 Mirrors'!D28)</f>
        <v/>
      </c>
      <c r="F201" s="56" t="str">
        <f aca="false">IF('04 Mirrors'!$C$28="","",'04 Mirrors'!E28)</f>
        <v/>
      </c>
      <c r="G201" s="56" t="str">
        <f aca="false">IF('04 Mirrors'!$C$28="","",'04 Mirrors'!F28)</f>
        <v/>
      </c>
      <c r="H201" s="57" t="str">
        <f aca="false">IF('04 Mirrors'!$C$28="","",'04 Mirrors'!G28)</f>
        <v/>
      </c>
      <c r="I201" s="58" t="str">
        <f aca="false">IF('04 Mirrors'!$C$28="","",'04 Mirrors'!J28)</f>
        <v/>
      </c>
      <c r="J201" s="58" t="str">
        <f aca="false">IF('04 Mirrors'!$C$28="","",'04 Mirrors'!K28)</f>
        <v/>
      </c>
      <c r="K201" s="58" t="str">
        <f aca="false">IF('04 Mirrors'!$C$28="","",'04 Mirrors'!L28)</f>
        <v/>
      </c>
      <c r="L201" s="57" t="str">
        <f aca="false">IF('04 Mirrors'!$C$28="","",'04 Mirrors'!M28)</f>
        <v/>
      </c>
      <c r="M201" s="59" t="str">
        <f aca="false">IF(D201="","",IF(AND(OR(Search!$C$6="All Categories",A201=Search!$C$6),OR(Search!$P$5="",ISNUMBER(SEARCH(" "&amp;Search!$P$5,N201))),OR(Search!$P$6="",ISNUMBER(SEARCH(" "&amp;Search!$P$6,N201))),OR(Search!$P$7="",ISNUMBER(SEARCH(" "&amp;Search!$P$7,N201))),OR(Search!$P$8="",ISNUMBER(SEARCH(" "&amp;Search!$P$8,N201))),OR(Search!$P$9="",ISNUMBER(SEARCH(" "&amp;Search!$P$9,N201))),OR(Search!$P$10="",ISNUMBER(SEARCH(" "&amp;Search!$P$10,N201)))),ROW(),""))</f>
        <v/>
      </c>
      <c r="N201" s="0" t="str">
        <f aca="false">IF(D201="",""," "&amp;SUBSTITUTE(SUBSTITUTE(SUBSTITUTE(SUBSTITUTE(SUBSTITUTE(SUBSTITUTE(SUBSTITUTE(B201&amp;" "&amp;C201&amp;" "&amp;D201&amp;" "&amp;E201&amp;" "&amp;F201&amp;" "&amp;G201&amp;" "&amp;H201&amp;" "&amp;'04 Mirrors'!R28,"("," "),")"," "),"/"," "),"-"," "),","," "),";"," "),":"," ")&amp;" ")</f>
        <v/>
      </c>
    </row>
    <row r="202" customFormat="false" ht="15" hidden="false" customHeight="false" outlineLevel="0" collapsed="false">
      <c r="A202" s="56" t="str">
        <f aca="false">IF('04 Mirrors'!$C$29="","","Mirrors")</f>
        <v/>
      </c>
      <c r="B202" s="57" t="str">
        <f aca="false">IF('04 Mirrors'!$C$29="","",'04 Mirrors'!A29)</f>
        <v/>
      </c>
      <c r="C202" s="56" t="str">
        <f aca="false">IF('04 Mirrors'!$C$29="","",'04 Mirrors'!B29)</f>
        <v/>
      </c>
      <c r="D202" s="56" t="str">
        <f aca="false">IF('04 Mirrors'!$C$29="","",'04 Mirrors'!C29)</f>
        <v/>
      </c>
      <c r="E202" s="56" t="str">
        <f aca="false">IF('04 Mirrors'!$C$29="","",'04 Mirrors'!D29)</f>
        <v/>
      </c>
      <c r="F202" s="56" t="str">
        <f aca="false">IF('04 Mirrors'!$C$29="","",'04 Mirrors'!E29)</f>
        <v/>
      </c>
      <c r="G202" s="56" t="str">
        <f aca="false">IF('04 Mirrors'!$C$29="","",'04 Mirrors'!F29)</f>
        <v/>
      </c>
      <c r="H202" s="57" t="str">
        <f aca="false">IF('04 Mirrors'!$C$29="","",'04 Mirrors'!G29)</f>
        <v/>
      </c>
      <c r="I202" s="58" t="str">
        <f aca="false">IF('04 Mirrors'!$C$29="","",'04 Mirrors'!J29)</f>
        <v/>
      </c>
      <c r="J202" s="58" t="str">
        <f aca="false">IF('04 Mirrors'!$C$29="","",'04 Mirrors'!K29)</f>
        <v/>
      </c>
      <c r="K202" s="58" t="str">
        <f aca="false">IF('04 Mirrors'!$C$29="","",'04 Mirrors'!L29)</f>
        <v/>
      </c>
      <c r="L202" s="57" t="str">
        <f aca="false">IF('04 Mirrors'!$C$29="","",'04 Mirrors'!M29)</f>
        <v/>
      </c>
      <c r="M202" s="59" t="str">
        <f aca="false">IF(D202="","",IF(AND(OR(Search!$C$6="All Categories",A202=Search!$C$6),OR(Search!$P$5="",ISNUMBER(SEARCH(" "&amp;Search!$P$5,N202))),OR(Search!$P$6="",ISNUMBER(SEARCH(" "&amp;Search!$P$6,N202))),OR(Search!$P$7="",ISNUMBER(SEARCH(" "&amp;Search!$P$7,N202))),OR(Search!$P$8="",ISNUMBER(SEARCH(" "&amp;Search!$P$8,N202))),OR(Search!$P$9="",ISNUMBER(SEARCH(" "&amp;Search!$P$9,N202))),OR(Search!$P$10="",ISNUMBER(SEARCH(" "&amp;Search!$P$10,N202)))),ROW(),""))</f>
        <v/>
      </c>
      <c r="N202" s="0" t="str">
        <f aca="false">IF(D202="",""," "&amp;SUBSTITUTE(SUBSTITUTE(SUBSTITUTE(SUBSTITUTE(SUBSTITUTE(SUBSTITUTE(SUBSTITUTE(B202&amp;" "&amp;C202&amp;" "&amp;D202&amp;" "&amp;E202&amp;" "&amp;F202&amp;" "&amp;G202&amp;" "&amp;H202&amp;" "&amp;'04 Mirrors'!R29,"("," "),")"," "),"/"," "),"-"," "),","," "),";"," "),":"," ")&amp;" ")</f>
        <v/>
      </c>
    </row>
    <row r="203" customFormat="false" ht="15" hidden="false" customHeight="false" outlineLevel="0" collapsed="false">
      <c r="A203" s="56" t="str">
        <f aca="false">IF('04 Mirrors'!$C$30="","","Mirrors")</f>
        <v/>
      </c>
      <c r="B203" s="57" t="str">
        <f aca="false">IF('04 Mirrors'!$C$30="","",'04 Mirrors'!A30)</f>
        <v/>
      </c>
      <c r="C203" s="56" t="str">
        <f aca="false">IF('04 Mirrors'!$C$30="","",'04 Mirrors'!B30)</f>
        <v/>
      </c>
      <c r="D203" s="56" t="str">
        <f aca="false">IF('04 Mirrors'!$C$30="","",'04 Mirrors'!C30)</f>
        <v/>
      </c>
      <c r="E203" s="56" t="str">
        <f aca="false">IF('04 Mirrors'!$C$30="","",'04 Mirrors'!D30)</f>
        <v/>
      </c>
      <c r="F203" s="56" t="str">
        <f aca="false">IF('04 Mirrors'!$C$30="","",'04 Mirrors'!E30)</f>
        <v/>
      </c>
      <c r="G203" s="56" t="str">
        <f aca="false">IF('04 Mirrors'!$C$30="","",'04 Mirrors'!F30)</f>
        <v/>
      </c>
      <c r="H203" s="57" t="str">
        <f aca="false">IF('04 Mirrors'!$C$30="","",'04 Mirrors'!G30)</f>
        <v/>
      </c>
      <c r="I203" s="58" t="str">
        <f aca="false">IF('04 Mirrors'!$C$30="","",'04 Mirrors'!J30)</f>
        <v/>
      </c>
      <c r="J203" s="58" t="str">
        <f aca="false">IF('04 Mirrors'!$C$30="","",'04 Mirrors'!K30)</f>
        <v/>
      </c>
      <c r="K203" s="58" t="str">
        <f aca="false">IF('04 Mirrors'!$C$30="","",'04 Mirrors'!L30)</f>
        <v/>
      </c>
      <c r="L203" s="57" t="str">
        <f aca="false">IF('04 Mirrors'!$C$30="","",'04 Mirrors'!M30)</f>
        <v/>
      </c>
      <c r="M203" s="59" t="str">
        <f aca="false">IF(D203="","",IF(AND(OR(Search!$C$6="All Categories",A203=Search!$C$6),OR(Search!$P$5="",ISNUMBER(SEARCH(" "&amp;Search!$P$5,N203))),OR(Search!$P$6="",ISNUMBER(SEARCH(" "&amp;Search!$P$6,N203))),OR(Search!$P$7="",ISNUMBER(SEARCH(" "&amp;Search!$P$7,N203))),OR(Search!$P$8="",ISNUMBER(SEARCH(" "&amp;Search!$P$8,N203))),OR(Search!$P$9="",ISNUMBER(SEARCH(" "&amp;Search!$P$9,N203))),OR(Search!$P$10="",ISNUMBER(SEARCH(" "&amp;Search!$P$10,N203)))),ROW(),""))</f>
        <v/>
      </c>
      <c r="N203" s="0" t="str">
        <f aca="false">IF(D203="",""," "&amp;SUBSTITUTE(SUBSTITUTE(SUBSTITUTE(SUBSTITUTE(SUBSTITUTE(SUBSTITUTE(SUBSTITUTE(B203&amp;" "&amp;C203&amp;" "&amp;D203&amp;" "&amp;E203&amp;" "&amp;F203&amp;" "&amp;G203&amp;" "&amp;H203&amp;" "&amp;'04 Mirrors'!R30,"("," "),")"," "),"/"," "),"-"," "),","," "),";"," "),":"," ")&amp;" ")</f>
        <v/>
      </c>
    </row>
    <row r="204" customFormat="false" ht="15" hidden="false" customHeight="false" outlineLevel="0" collapsed="false">
      <c r="A204" s="56" t="str">
        <f aca="false">IF('04 Mirrors'!$C$31="","","Mirrors")</f>
        <v/>
      </c>
      <c r="B204" s="57" t="str">
        <f aca="false">IF('04 Mirrors'!$C$31="","",'04 Mirrors'!A31)</f>
        <v/>
      </c>
      <c r="C204" s="56" t="str">
        <f aca="false">IF('04 Mirrors'!$C$31="","",'04 Mirrors'!B31)</f>
        <v/>
      </c>
      <c r="D204" s="56" t="str">
        <f aca="false">IF('04 Mirrors'!$C$31="","",'04 Mirrors'!C31)</f>
        <v/>
      </c>
      <c r="E204" s="56" t="str">
        <f aca="false">IF('04 Mirrors'!$C$31="","",'04 Mirrors'!D31)</f>
        <v/>
      </c>
      <c r="F204" s="56" t="str">
        <f aca="false">IF('04 Mirrors'!$C$31="","",'04 Mirrors'!E31)</f>
        <v/>
      </c>
      <c r="G204" s="56" t="str">
        <f aca="false">IF('04 Mirrors'!$C$31="","",'04 Mirrors'!F31)</f>
        <v/>
      </c>
      <c r="H204" s="57" t="str">
        <f aca="false">IF('04 Mirrors'!$C$31="","",'04 Mirrors'!G31)</f>
        <v/>
      </c>
      <c r="I204" s="58" t="str">
        <f aca="false">IF('04 Mirrors'!$C$31="","",'04 Mirrors'!J31)</f>
        <v/>
      </c>
      <c r="J204" s="58" t="str">
        <f aca="false">IF('04 Mirrors'!$C$31="","",'04 Mirrors'!K31)</f>
        <v/>
      </c>
      <c r="K204" s="58" t="str">
        <f aca="false">IF('04 Mirrors'!$C$31="","",'04 Mirrors'!L31)</f>
        <v/>
      </c>
      <c r="L204" s="57" t="str">
        <f aca="false">IF('04 Mirrors'!$C$31="","",'04 Mirrors'!M31)</f>
        <v/>
      </c>
      <c r="M204" s="59" t="str">
        <f aca="false">IF(D204="","",IF(AND(OR(Search!$C$6="All Categories",A204=Search!$C$6),OR(Search!$P$5="",ISNUMBER(SEARCH(" "&amp;Search!$P$5,N204))),OR(Search!$P$6="",ISNUMBER(SEARCH(" "&amp;Search!$P$6,N204))),OR(Search!$P$7="",ISNUMBER(SEARCH(" "&amp;Search!$P$7,N204))),OR(Search!$P$8="",ISNUMBER(SEARCH(" "&amp;Search!$P$8,N204))),OR(Search!$P$9="",ISNUMBER(SEARCH(" "&amp;Search!$P$9,N204))),OR(Search!$P$10="",ISNUMBER(SEARCH(" "&amp;Search!$P$10,N204)))),ROW(),""))</f>
        <v/>
      </c>
      <c r="N204" s="0" t="str">
        <f aca="false">IF(D204="",""," "&amp;SUBSTITUTE(SUBSTITUTE(SUBSTITUTE(SUBSTITUTE(SUBSTITUTE(SUBSTITUTE(SUBSTITUTE(B204&amp;" "&amp;C204&amp;" "&amp;D204&amp;" "&amp;E204&amp;" "&amp;F204&amp;" "&amp;G204&amp;" "&amp;H204&amp;" "&amp;'04 Mirrors'!R31,"("," "),")"," "),"/"," "),"-"," "),","," "),";"," "),":"," ")&amp;" ")</f>
        <v/>
      </c>
    </row>
    <row r="205" customFormat="false" ht="15" hidden="false" customHeight="false" outlineLevel="0" collapsed="false">
      <c r="A205" s="56" t="str">
        <f aca="false">IF('04 Mirrors'!$C$32="","","Mirrors")</f>
        <v/>
      </c>
      <c r="B205" s="57" t="str">
        <f aca="false">IF('04 Mirrors'!$C$32="","",'04 Mirrors'!A32)</f>
        <v/>
      </c>
      <c r="C205" s="56" t="str">
        <f aca="false">IF('04 Mirrors'!$C$32="","",'04 Mirrors'!B32)</f>
        <v/>
      </c>
      <c r="D205" s="56" t="str">
        <f aca="false">IF('04 Mirrors'!$C$32="","",'04 Mirrors'!C32)</f>
        <v/>
      </c>
      <c r="E205" s="56" t="str">
        <f aca="false">IF('04 Mirrors'!$C$32="","",'04 Mirrors'!D32)</f>
        <v/>
      </c>
      <c r="F205" s="56" t="str">
        <f aca="false">IF('04 Mirrors'!$C$32="","",'04 Mirrors'!E32)</f>
        <v/>
      </c>
      <c r="G205" s="56" t="str">
        <f aca="false">IF('04 Mirrors'!$C$32="","",'04 Mirrors'!F32)</f>
        <v/>
      </c>
      <c r="H205" s="57" t="str">
        <f aca="false">IF('04 Mirrors'!$C$32="","",'04 Mirrors'!G32)</f>
        <v/>
      </c>
      <c r="I205" s="58" t="str">
        <f aca="false">IF('04 Mirrors'!$C$32="","",'04 Mirrors'!J32)</f>
        <v/>
      </c>
      <c r="J205" s="58" t="str">
        <f aca="false">IF('04 Mirrors'!$C$32="","",'04 Mirrors'!K32)</f>
        <v/>
      </c>
      <c r="K205" s="58" t="str">
        <f aca="false">IF('04 Mirrors'!$C$32="","",'04 Mirrors'!L32)</f>
        <v/>
      </c>
      <c r="L205" s="57" t="str">
        <f aca="false">IF('04 Mirrors'!$C$32="","",'04 Mirrors'!M32)</f>
        <v/>
      </c>
      <c r="M205" s="59" t="str">
        <f aca="false">IF(D205="","",IF(AND(OR(Search!$C$6="All Categories",A205=Search!$C$6),OR(Search!$P$5="",ISNUMBER(SEARCH(" "&amp;Search!$P$5,N205))),OR(Search!$P$6="",ISNUMBER(SEARCH(" "&amp;Search!$P$6,N205))),OR(Search!$P$7="",ISNUMBER(SEARCH(" "&amp;Search!$P$7,N205))),OR(Search!$P$8="",ISNUMBER(SEARCH(" "&amp;Search!$P$8,N205))),OR(Search!$P$9="",ISNUMBER(SEARCH(" "&amp;Search!$P$9,N205))),OR(Search!$P$10="",ISNUMBER(SEARCH(" "&amp;Search!$P$10,N205)))),ROW(),""))</f>
        <v/>
      </c>
      <c r="N205" s="0" t="str">
        <f aca="false">IF(D205="",""," "&amp;SUBSTITUTE(SUBSTITUTE(SUBSTITUTE(SUBSTITUTE(SUBSTITUTE(SUBSTITUTE(SUBSTITUTE(B205&amp;" "&amp;C205&amp;" "&amp;D205&amp;" "&amp;E205&amp;" "&amp;F205&amp;" "&amp;G205&amp;" "&amp;H205&amp;" "&amp;'04 Mirrors'!R32,"("," "),")"," "),"/"," "),"-"," "),","," "),";"," "),":"," ")&amp;" ")</f>
        <v/>
      </c>
    </row>
    <row r="206" customFormat="false" ht="15" hidden="false" customHeight="false" outlineLevel="0" collapsed="false">
      <c r="A206" s="56" t="str">
        <f aca="false">IF('04 Mirrors'!$C$33="","","Mirrors")</f>
        <v/>
      </c>
      <c r="B206" s="57" t="str">
        <f aca="false">IF('04 Mirrors'!$C$33="","",'04 Mirrors'!A33)</f>
        <v/>
      </c>
      <c r="C206" s="56" t="str">
        <f aca="false">IF('04 Mirrors'!$C$33="","",'04 Mirrors'!B33)</f>
        <v/>
      </c>
      <c r="D206" s="56" t="str">
        <f aca="false">IF('04 Mirrors'!$C$33="","",'04 Mirrors'!C33)</f>
        <v/>
      </c>
      <c r="E206" s="56" t="str">
        <f aca="false">IF('04 Mirrors'!$C$33="","",'04 Mirrors'!D33)</f>
        <v/>
      </c>
      <c r="F206" s="56" t="str">
        <f aca="false">IF('04 Mirrors'!$C$33="","",'04 Mirrors'!E33)</f>
        <v/>
      </c>
      <c r="G206" s="56" t="str">
        <f aca="false">IF('04 Mirrors'!$C$33="","",'04 Mirrors'!F33)</f>
        <v/>
      </c>
      <c r="H206" s="57" t="str">
        <f aca="false">IF('04 Mirrors'!$C$33="","",'04 Mirrors'!G33)</f>
        <v/>
      </c>
      <c r="I206" s="58" t="str">
        <f aca="false">IF('04 Mirrors'!$C$33="","",'04 Mirrors'!J33)</f>
        <v/>
      </c>
      <c r="J206" s="58" t="str">
        <f aca="false">IF('04 Mirrors'!$C$33="","",'04 Mirrors'!K33)</f>
        <v/>
      </c>
      <c r="K206" s="58" t="str">
        <f aca="false">IF('04 Mirrors'!$C$33="","",'04 Mirrors'!L33)</f>
        <v/>
      </c>
      <c r="L206" s="57" t="str">
        <f aca="false">IF('04 Mirrors'!$C$33="","",'04 Mirrors'!M33)</f>
        <v/>
      </c>
      <c r="M206" s="59" t="str">
        <f aca="false">IF(D206="","",IF(AND(OR(Search!$C$6="All Categories",A206=Search!$C$6),OR(Search!$P$5="",ISNUMBER(SEARCH(" "&amp;Search!$P$5,N206))),OR(Search!$P$6="",ISNUMBER(SEARCH(" "&amp;Search!$P$6,N206))),OR(Search!$P$7="",ISNUMBER(SEARCH(" "&amp;Search!$P$7,N206))),OR(Search!$P$8="",ISNUMBER(SEARCH(" "&amp;Search!$P$8,N206))),OR(Search!$P$9="",ISNUMBER(SEARCH(" "&amp;Search!$P$9,N206))),OR(Search!$P$10="",ISNUMBER(SEARCH(" "&amp;Search!$P$10,N206)))),ROW(),""))</f>
        <v/>
      </c>
      <c r="N206" s="0" t="str">
        <f aca="false">IF(D206="",""," "&amp;SUBSTITUTE(SUBSTITUTE(SUBSTITUTE(SUBSTITUTE(SUBSTITUTE(SUBSTITUTE(SUBSTITUTE(B206&amp;" "&amp;C206&amp;" "&amp;D206&amp;" "&amp;E206&amp;" "&amp;F206&amp;" "&amp;G206&amp;" "&amp;H206&amp;" "&amp;'04 Mirrors'!R33,"("," "),")"," "),"/"," "),"-"," "),","," "),";"," "),":"," ")&amp;" ")</f>
        <v/>
      </c>
    </row>
    <row r="207" customFormat="false" ht="15" hidden="false" customHeight="false" outlineLevel="0" collapsed="false">
      <c r="A207" s="56" t="str">
        <f aca="false">IF('04 Mirrors'!$C$34="","","Mirrors")</f>
        <v/>
      </c>
      <c r="B207" s="57" t="str">
        <f aca="false">IF('04 Mirrors'!$C$34="","",'04 Mirrors'!A34)</f>
        <v/>
      </c>
      <c r="C207" s="56" t="str">
        <f aca="false">IF('04 Mirrors'!$C$34="","",'04 Mirrors'!B34)</f>
        <v/>
      </c>
      <c r="D207" s="56" t="str">
        <f aca="false">IF('04 Mirrors'!$C$34="","",'04 Mirrors'!C34)</f>
        <v/>
      </c>
      <c r="E207" s="56" t="str">
        <f aca="false">IF('04 Mirrors'!$C$34="","",'04 Mirrors'!D34)</f>
        <v/>
      </c>
      <c r="F207" s="56" t="str">
        <f aca="false">IF('04 Mirrors'!$C$34="","",'04 Mirrors'!E34)</f>
        <v/>
      </c>
      <c r="G207" s="56" t="str">
        <f aca="false">IF('04 Mirrors'!$C$34="","",'04 Mirrors'!F34)</f>
        <v/>
      </c>
      <c r="H207" s="57" t="str">
        <f aca="false">IF('04 Mirrors'!$C$34="","",'04 Mirrors'!G34)</f>
        <v/>
      </c>
      <c r="I207" s="58" t="str">
        <f aca="false">IF('04 Mirrors'!$C$34="","",'04 Mirrors'!J34)</f>
        <v/>
      </c>
      <c r="J207" s="58" t="str">
        <f aca="false">IF('04 Mirrors'!$C$34="","",'04 Mirrors'!K34)</f>
        <v/>
      </c>
      <c r="K207" s="58" t="str">
        <f aca="false">IF('04 Mirrors'!$C$34="","",'04 Mirrors'!L34)</f>
        <v/>
      </c>
      <c r="L207" s="57" t="str">
        <f aca="false">IF('04 Mirrors'!$C$34="","",'04 Mirrors'!M34)</f>
        <v/>
      </c>
      <c r="M207" s="59" t="str">
        <f aca="false">IF(D207="","",IF(AND(OR(Search!$C$6="All Categories",A207=Search!$C$6),OR(Search!$P$5="",ISNUMBER(SEARCH(" "&amp;Search!$P$5,N207))),OR(Search!$P$6="",ISNUMBER(SEARCH(" "&amp;Search!$P$6,N207))),OR(Search!$P$7="",ISNUMBER(SEARCH(" "&amp;Search!$P$7,N207))),OR(Search!$P$8="",ISNUMBER(SEARCH(" "&amp;Search!$P$8,N207))),OR(Search!$P$9="",ISNUMBER(SEARCH(" "&amp;Search!$P$9,N207))),OR(Search!$P$10="",ISNUMBER(SEARCH(" "&amp;Search!$P$10,N207)))),ROW(),""))</f>
        <v/>
      </c>
      <c r="N207" s="0" t="str">
        <f aca="false">IF(D207="",""," "&amp;SUBSTITUTE(SUBSTITUTE(SUBSTITUTE(SUBSTITUTE(SUBSTITUTE(SUBSTITUTE(SUBSTITUTE(B207&amp;" "&amp;C207&amp;" "&amp;D207&amp;" "&amp;E207&amp;" "&amp;F207&amp;" "&amp;G207&amp;" "&amp;H207&amp;" "&amp;'04 Mirrors'!R34,"("," "),")"," "),"/"," "),"-"," "),","," "),";"," "),":"," ")&amp;" ")</f>
        <v/>
      </c>
    </row>
    <row r="208" customFormat="false" ht="15" hidden="false" customHeight="false" outlineLevel="0" collapsed="false">
      <c r="A208" s="56" t="str">
        <f aca="false">IF('04 Mirrors'!$C$35="","","Mirrors")</f>
        <v/>
      </c>
      <c r="B208" s="57" t="str">
        <f aca="false">IF('04 Mirrors'!$C$35="","",'04 Mirrors'!A35)</f>
        <v/>
      </c>
      <c r="C208" s="56" t="str">
        <f aca="false">IF('04 Mirrors'!$C$35="","",'04 Mirrors'!B35)</f>
        <v/>
      </c>
      <c r="D208" s="56" t="str">
        <f aca="false">IF('04 Mirrors'!$C$35="","",'04 Mirrors'!C35)</f>
        <v/>
      </c>
      <c r="E208" s="56" t="str">
        <f aca="false">IF('04 Mirrors'!$C$35="","",'04 Mirrors'!D35)</f>
        <v/>
      </c>
      <c r="F208" s="56" t="str">
        <f aca="false">IF('04 Mirrors'!$C$35="","",'04 Mirrors'!E35)</f>
        <v/>
      </c>
      <c r="G208" s="56" t="str">
        <f aca="false">IF('04 Mirrors'!$C$35="","",'04 Mirrors'!F35)</f>
        <v/>
      </c>
      <c r="H208" s="57" t="str">
        <f aca="false">IF('04 Mirrors'!$C$35="","",'04 Mirrors'!G35)</f>
        <v/>
      </c>
      <c r="I208" s="58" t="str">
        <f aca="false">IF('04 Mirrors'!$C$35="","",'04 Mirrors'!J35)</f>
        <v/>
      </c>
      <c r="J208" s="58" t="str">
        <f aca="false">IF('04 Mirrors'!$C$35="","",'04 Mirrors'!K35)</f>
        <v/>
      </c>
      <c r="K208" s="58" t="str">
        <f aca="false">IF('04 Mirrors'!$C$35="","",'04 Mirrors'!L35)</f>
        <v/>
      </c>
      <c r="L208" s="57" t="str">
        <f aca="false">IF('04 Mirrors'!$C$35="","",'04 Mirrors'!M35)</f>
        <v/>
      </c>
      <c r="M208" s="59" t="str">
        <f aca="false">IF(D208="","",IF(AND(OR(Search!$C$6="All Categories",A208=Search!$C$6),OR(Search!$P$5="",ISNUMBER(SEARCH(" "&amp;Search!$P$5,N208))),OR(Search!$P$6="",ISNUMBER(SEARCH(" "&amp;Search!$P$6,N208))),OR(Search!$P$7="",ISNUMBER(SEARCH(" "&amp;Search!$P$7,N208))),OR(Search!$P$8="",ISNUMBER(SEARCH(" "&amp;Search!$P$8,N208))),OR(Search!$P$9="",ISNUMBER(SEARCH(" "&amp;Search!$P$9,N208))),OR(Search!$P$10="",ISNUMBER(SEARCH(" "&amp;Search!$P$10,N208)))),ROW(),""))</f>
        <v/>
      </c>
      <c r="N208" s="0" t="str">
        <f aca="false">IF(D208="",""," "&amp;SUBSTITUTE(SUBSTITUTE(SUBSTITUTE(SUBSTITUTE(SUBSTITUTE(SUBSTITUTE(SUBSTITUTE(B208&amp;" "&amp;C208&amp;" "&amp;D208&amp;" "&amp;E208&amp;" "&amp;F208&amp;" "&amp;G208&amp;" "&amp;H208&amp;" "&amp;'04 Mirrors'!R35,"("," "),")"," "),"/"," "),"-"," "),","," "),";"," "),":"," ")&amp;" ")</f>
        <v/>
      </c>
    </row>
    <row r="209" customFormat="false" ht="15" hidden="false" customHeight="false" outlineLevel="0" collapsed="false">
      <c r="A209" s="56" t="str">
        <f aca="false">IF('04 Mirrors'!$C$36="","","Mirrors")</f>
        <v/>
      </c>
      <c r="B209" s="57" t="str">
        <f aca="false">IF('04 Mirrors'!$C$36="","",'04 Mirrors'!A36)</f>
        <v/>
      </c>
      <c r="C209" s="56" t="str">
        <f aca="false">IF('04 Mirrors'!$C$36="","",'04 Mirrors'!B36)</f>
        <v/>
      </c>
      <c r="D209" s="56" t="str">
        <f aca="false">IF('04 Mirrors'!$C$36="","",'04 Mirrors'!C36)</f>
        <v/>
      </c>
      <c r="E209" s="56" t="str">
        <f aca="false">IF('04 Mirrors'!$C$36="","",'04 Mirrors'!D36)</f>
        <v/>
      </c>
      <c r="F209" s="56" t="str">
        <f aca="false">IF('04 Mirrors'!$C$36="","",'04 Mirrors'!E36)</f>
        <v/>
      </c>
      <c r="G209" s="56" t="str">
        <f aca="false">IF('04 Mirrors'!$C$36="","",'04 Mirrors'!F36)</f>
        <v/>
      </c>
      <c r="H209" s="57" t="str">
        <f aca="false">IF('04 Mirrors'!$C$36="","",'04 Mirrors'!G36)</f>
        <v/>
      </c>
      <c r="I209" s="58" t="str">
        <f aca="false">IF('04 Mirrors'!$C$36="","",'04 Mirrors'!J36)</f>
        <v/>
      </c>
      <c r="J209" s="58" t="str">
        <f aca="false">IF('04 Mirrors'!$C$36="","",'04 Mirrors'!K36)</f>
        <v/>
      </c>
      <c r="K209" s="58" t="str">
        <f aca="false">IF('04 Mirrors'!$C$36="","",'04 Mirrors'!L36)</f>
        <v/>
      </c>
      <c r="L209" s="57" t="str">
        <f aca="false">IF('04 Mirrors'!$C$36="","",'04 Mirrors'!M36)</f>
        <v/>
      </c>
      <c r="M209" s="59" t="str">
        <f aca="false">IF(D209="","",IF(AND(OR(Search!$C$6="All Categories",A209=Search!$C$6),OR(Search!$P$5="",ISNUMBER(SEARCH(" "&amp;Search!$P$5,N209))),OR(Search!$P$6="",ISNUMBER(SEARCH(" "&amp;Search!$P$6,N209))),OR(Search!$P$7="",ISNUMBER(SEARCH(" "&amp;Search!$P$7,N209))),OR(Search!$P$8="",ISNUMBER(SEARCH(" "&amp;Search!$P$8,N209))),OR(Search!$P$9="",ISNUMBER(SEARCH(" "&amp;Search!$P$9,N209))),OR(Search!$P$10="",ISNUMBER(SEARCH(" "&amp;Search!$P$10,N209)))),ROW(),""))</f>
        <v/>
      </c>
      <c r="N209" s="0" t="str">
        <f aca="false">IF(D209="",""," "&amp;SUBSTITUTE(SUBSTITUTE(SUBSTITUTE(SUBSTITUTE(SUBSTITUTE(SUBSTITUTE(SUBSTITUTE(B209&amp;" "&amp;C209&amp;" "&amp;D209&amp;" "&amp;E209&amp;" "&amp;F209&amp;" "&amp;G209&amp;" "&amp;H209&amp;" "&amp;'04 Mirrors'!R36,"("," "),")"," "),"/"," "),"-"," "),","," "),";"," "),":"," ")&amp;" ")</f>
        <v/>
      </c>
    </row>
    <row r="210" customFormat="false" ht="15" hidden="false" customHeight="false" outlineLevel="0" collapsed="false">
      <c r="A210" s="56" t="str">
        <f aca="false">IF('05 Door &amp; Window HW'!$C$5="","","Hardware - Doors &amp; Windows")</f>
        <v>Hardware - Doors &amp; Windows</v>
      </c>
      <c r="B210" s="57" t="str">
        <f aca="false">IF('05 Door &amp; Window HW'!$C$5="","",'05 Door &amp; Window HW'!A5)</f>
        <v>HW-001</v>
      </c>
      <c r="C210" s="56" t="str">
        <f aca="false">IF('05 Door &amp; Window HW'!$C$5="","",'05 Door &amp; Window HW'!B5)</f>
        <v>Floor Springs &amp; Closers</v>
      </c>
      <c r="D210" s="56" t="str">
        <f aca="false">IF('05 Door &amp; Window HW'!$C$5="","",'05 Door &amp; Window HW'!C5)</f>
        <v>Floor spring</v>
      </c>
      <c r="E210" s="56" t="str">
        <f aca="false">IF('05 Door &amp; Window HW'!$C$5="","",'05 Door &amp; Window HW'!D5)</f>
        <v>Up to 150 kg, EN 1-4</v>
      </c>
      <c r="F210" s="56" t="str">
        <f aca="false">IF('05 Door &amp; Window HW'!$C$5="","",'05 Door &amp; Window HW'!E5)</f>
        <v>SS cover</v>
      </c>
      <c r="G210" s="56" t="str">
        <f aca="false">IF('05 Door &amp; Window HW'!$C$5="","",'05 Door &amp; Window HW'!F5)</f>
        <v>dormakaba BTS 75V / Equiv.</v>
      </c>
      <c r="H210" s="57" t="str">
        <f aca="false">IF('05 Door &amp; Window HW'!$C$5="","",'05 Door &amp; Window HW'!G5)</f>
        <v>nos</v>
      </c>
      <c r="I210" s="58" t="n">
        <f aca="false">IF('05 Door &amp; Window HW'!$C$5="","",'05 Door &amp; Window HW'!J5)</f>
        <v>850</v>
      </c>
      <c r="J210" s="58" t="n">
        <f aca="false">IF('05 Door &amp; Window HW'!$C$5="","",'05 Door &amp; Window HW'!K5)</f>
        <v>1020</v>
      </c>
      <c r="K210" s="58" t="n">
        <f aca="false">IF('05 Door &amp; Window HW'!$C$5="","",'05 Door &amp; Window HW'!L5)</f>
        <v>1071</v>
      </c>
      <c r="L210" s="57" t="str">
        <f aca="false">IF('05 Door &amp; Window HW'!$C$5="","",'05 Door &amp; Window HW'!M5)</f>
        <v>Indicative</v>
      </c>
      <c r="M210" s="59" t="str">
        <f aca="false">IF(D210="","",IF(AND(OR(Search!$C$6="All Categories",A210=Search!$C$6),OR(Search!$P$5="",ISNUMBER(SEARCH(" "&amp;Search!$P$5,N210))),OR(Search!$P$6="",ISNUMBER(SEARCH(" "&amp;Search!$P$6,N210))),OR(Search!$P$7="",ISNUMBER(SEARCH(" "&amp;Search!$P$7,N210))),OR(Search!$P$8="",ISNUMBER(SEARCH(" "&amp;Search!$P$8,N210))),OR(Search!$P$9="",ISNUMBER(SEARCH(" "&amp;Search!$P$9,N210))),OR(Search!$P$10="",ISNUMBER(SEARCH(" "&amp;Search!$P$10,N210)))),ROW(),""))</f>
        <v/>
      </c>
      <c r="N210" s="0" t="str">
        <f aca="false">IF(D210="",""," "&amp;SUBSTITUTE(SUBSTITUTE(SUBSTITUTE(SUBSTITUTE(SUBSTITUTE(SUBSTITUTE(SUBSTITUTE(B210&amp;" "&amp;C210&amp;" "&amp;D210&amp;" "&amp;E210&amp;" "&amp;F210&amp;" "&amp;G210&amp;" "&amp;H210&amp;" "&amp;'05 Door &amp; Window HW'!R5,"("," "),")"," "),"/"," "),"-"," "),","," "),";"," "),":"," ")&amp;" ")</f>
        <v> HW 001 Floor Springs &amp; Closers Floor spring Up to 150 kg  EN 1 4 SS cover dormakaba BTS 75V   Equiv. nos door stainless steel </v>
      </c>
    </row>
    <row r="211" customFormat="false" ht="15" hidden="false" customHeight="false" outlineLevel="0" collapsed="false">
      <c r="A211" s="56" t="str">
        <f aca="false">IF('05 Door &amp; Window HW'!$C$6="","","Hardware - Doors &amp; Windows")</f>
        <v>Hardware - Doors &amp; Windows</v>
      </c>
      <c r="B211" s="57" t="str">
        <f aca="false">IF('05 Door &amp; Window HW'!$C$6="","",'05 Door &amp; Window HW'!A6)</f>
        <v>HW-002</v>
      </c>
      <c r="C211" s="56" t="str">
        <f aca="false">IF('05 Door &amp; Window HW'!$C$6="","",'05 Door &amp; Window HW'!B6)</f>
        <v>Floor Springs &amp; Closers</v>
      </c>
      <c r="D211" s="56" t="str">
        <f aca="false">IF('05 Door &amp; Window HW'!$C$6="","",'05 Door &amp; Window HW'!C6)</f>
        <v>Floor spring</v>
      </c>
      <c r="E211" s="56" t="str">
        <f aca="false">IF('05 Door &amp; Window HW'!$C$6="","",'05 Door &amp; Window HW'!D6)</f>
        <v>Up to 120 kg</v>
      </c>
      <c r="F211" s="56" t="str">
        <f aca="false">IF('05 Door &amp; Window HW'!$C$6="","",'05 Door &amp; Window HW'!E6)</f>
        <v>SS cover</v>
      </c>
      <c r="G211" s="56" t="str">
        <f aca="false">IF('05 Door &amp; Window HW'!$C$6="","",'05 Door &amp; Window HW'!F6)</f>
        <v>Local / China</v>
      </c>
      <c r="H211" s="57" t="str">
        <f aca="false">IF('05 Door &amp; Window HW'!$C$6="","",'05 Door &amp; Window HW'!G6)</f>
        <v>nos</v>
      </c>
      <c r="I211" s="58" t="n">
        <f aca="false">IF('05 Door &amp; Window HW'!$C$6="","",'05 Door &amp; Window HW'!J6)</f>
        <v>300</v>
      </c>
      <c r="J211" s="58" t="n">
        <f aca="false">IF('05 Door &amp; Window HW'!$C$6="","",'05 Door &amp; Window HW'!K6)</f>
        <v>360</v>
      </c>
      <c r="K211" s="58" t="n">
        <f aca="false">IF('05 Door &amp; Window HW'!$C$6="","",'05 Door &amp; Window HW'!L6)</f>
        <v>378</v>
      </c>
      <c r="L211" s="57" t="str">
        <f aca="false">IF('05 Door &amp; Window HW'!$C$6="","",'05 Door &amp; Window HW'!M6)</f>
        <v>Indicative</v>
      </c>
      <c r="M211" s="59" t="str">
        <f aca="false">IF(D211="","",IF(AND(OR(Search!$C$6="All Categories",A211=Search!$C$6),OR(Search!$P$5="",ISNUMBER(SEARCH(" "&amp;Search!$P$5,N211))),OR(Search!$P$6="",ISNUMBER(SEARCH(" "&amp;Search!$P$6,N211))),OR(Search!$P$7="",ISNUMBER(SEARCH(" "&amp;Search!$P$7,N211))),OR(Search!$P$8="",ISNUMBER(SEARCH(" "&amp;Search!$P$8,N211))),OR(Search!$P$9="",ISNUMBER(SEARCH(" "&amp;Search!$P$9,N211))),OR(Search!$P$10="",ISNUMBER(SEARCH(" "&amp;Search!$P$10,N211)))),ROW(),""))</f>
        <v/>
      </c>
      <c r="N211" s="0" t="str">
        <f aca="false">IF(D211="",""," "&amp;SUBSTITUTE(SUBSTITUTE(SUBSTITUTE(SUBSTITUTE(SUBSTITUTE(SUBSTITUTE(SUBSTITUTE(B211&amp;" "&amp;C211&amp;" "&amp;D211&amp;" "&amp;E211&amp;" "&amp;F211&amp;" "&amp;G211&amp;" "&amp;H211&amp;" "&amp;'05 Door &amp; Window HW'!R6,"("," "),")"," "),"/"," "),"-"," "),","," "),";"," "),":"," ")&amp;" ")</f>
        <v> HW 002 Floor Springs &amp; Closers Floor spring Up to 120 kg SS cover Local   China nos door stainless steel </v>
      </c>
    </row>
    <row r="212" customFormat="false" ht="15" hidden="false" customHeight="false" outlineLevel="0" collapsed="false">
      <c r="A212" s="56" t="str">
        <f aca="false">IF('05 Door &amp; Window HW'!$C$7="","","Hardware - Doors &amp; Windows")</f>
        <v>Hardware - Doors &amp; Windows</v>
      </c>
      <c r="B212" s="57" t="str">
        <f aca="false">IF('05 Door &amp; Window HW'!$C$7="","",'05 Door &amp; Window HW'!A7)</f>
        <v>HW-003</v>
      </c>
      <c r="C212" s="56" t="str">
        <f aca="false">IF('05 Door &amp; Window HW'!$C$7="","",'05 Door &amp; Window HW'!B7)</f>
        <v>Floor Springs &amp; Closers</v>
      </c>
      <c r="D212" s="56" t="str">
        <f aca="false">IF('05 Door &amp; Window HW'!$C$7="","",'05 Door &amp; Window HW'!C7)</f>
        <v>Overhead door closer</v>
      </c>
      <c r="E212" s="56" t="str">
        <f aca="false">IF('05 Door &amp; Window HW'!$C$7="","",'05 Door &amp; Window HW'!D7)</f>
        <v>EN 2-4, with arm</v>
      </c>
      <c r="F212" s="56" t="str">
        <f aca="false">IF('05 Door &amp; Window HW'!$C$7="","",'05 Door &amp; Window HW'!E7)</f>
        <v>Silver</v>
      </c>
      <c r="G212" s="56" t="str">
        <f aca="false">IF('05 Door &amp; Window HW'!$C$7="","",'05 Door &amp; Window HW'!F7)</f>
        <v>dormakaba TS 83 / Equiv.</v>
      </c>
      <c r="H212" s="57" t="str">
        <f aca="false">IF('05 Door &amp; Window HW'!$C$7="","",'05 Door &amp; Window HW'!G7)</f>
        <v>nos</v>
      </c>
      <c r="I212" s="58" t="n">
        <f aca="false">IF('05 Door &amp; Window HW'!$C$7="","",'05 Door &amp; Window HW'!J7)</f>
        <v>380</v>
      </c>
      <c r="J212" s="58" t="n">
        <f aca="false">IF('05 Door &amp; Window HW'!$C$7="","",'05 Door &amp; Window HW'!K7)</f>
        <v>456</v>
      </c>
      <c r="K212" s="58" t="n">
        <f aca="false">IF('05 Door &amp; Window HW'!$C$7="","",'05 Door &amp; Window HW'!L7)</f>
        <v>478.8</v>
      </c>
      <c r="L212" s="57" t="str">
        <f aca="false">IF('05 Door &amp; Window HW'!$C$7="","",'05 Door &amp; Window HW'!M7)</f>
        <v>Indicative</v>
      </c>
      <c r="M212" s="59" t="str">
        <f aca="false">IF(D212="","",IF(AND(OR(Search!$C$6="All Categories",A212=Search!$C$6),OR(Search!$P$5="",ISNUMBER(SEARCH(" "&amp;Search!$P$5,N212))),OR(Search!$P$6="",ISNUMBER(SEARCH(" "&amp;Search!$P$6,N212))),OR(Search!$P$7="",ISNUMBER(SEARCH(" "&amp;Search!$P$7,N212))),OR(Search!$P$8="",ISNUMBER(SEARCH(" "&amp;Search!$P$8,N212))),OR(Search!$P$9="",ISNUMBER(SEARCH(" "&amp;Search!$P$9,N212))),OR(Search!$P$10="",ISNUMBER(SEARCH(" "&amp;Search!$P$10,N212)))),ROW(),""))</f>
        <v/>
      </c>
      <c r="N212" s="0" t="str">
        <f aca="false">IF(D212="",""," "&amp;SUBSTITUTE(SUBSTITUTE(SUBSTITUTE(SUBSTITUTE(SUBSTITUTE(SUBSTITUTE(SUBSTITUTE(B212&amp;" "&amp;C212&amp;" "&amp;D212&amp;" "&amp;E212&amp;" "&amp;F212&amp;" "&amp;G212&amp;" "&amp;H212&amp;" "&amp;'05 Door &amp; Window HW'!R7,"("," "),")"," "),"/"," "),"-"," "),","," "),";"," "),":"," ")&amp;" ")</f>
        <v> HW 003 Floor Springs &amp; Closers Overhead door closer EN 2 4  with arm Silver dormakaba TS 83   Equiv. nos door </v>
      </c>
    </row>
    <row r="213" customFormat="false" ht="15" hidden="false" customHeight="false" outlineLevel="0" collapsed="false">
      <c r="A213" s="56" t="str">
        <f aca="false">IF('05 Door &amp; Window HW'!$C$8="","","Hardware - Doors &amp; Windows")</f>
        <v>Hardware - Doors &amp; Windows</v>
      </c>
      <c r="B213" s="57" t="str">
        <f aca="false">IF('05 Door &amp; Window HW'!$C$8="","",'05 Door &amp; Window HW'!A8)</f>
        <v>HW-004</v>
      </c>
      <c r="C213" s="56" t="str">
        <f aca="false">IF('05 Door &amp; Window HW'!$C$8="","",'05 Door &amp; Window HW'!B8)</f>
        <v>Floor Springs &amp; Closers</v>
      </c>
      <c r="D213" s="56" t="str">
        <f aca="false">IF('05 Door &amp; Window HW'!$C$8="","",'05 Door &amp; Window HW'!C8)</f>
        <v>Overhead door closer - slide arm</v>
      </c>
      <c r="E213" s="56" t="str">
        <f aca="false">IF('05 Door &amp; Window HW'!$C$8="","",'05 Door &amp; Window HW'!D8)</f>
        <v>EN 1-4</v>
      </c>
      <c r="F213" s="56" t="str">
        <f aca="false">IF('05 Door &amp; Window HW'!$C$8="","",'05 Door &amp; Window HW'!E8)</f>
        <v>Silver</v>
      </c>
      <c r="G213" s="56" t="str">
        <f aca="false">IF('05 Door &amp; Window HW'!$C$8="","",'05 Door &amp; Window HW'!F8)</f>
        <v>GEZE TS 4000 / Equiv.</v>
      </c>
      <c r="H213" s="57" t="str">
        <f aca="false">IF('05 Door &amp; Window HW'!$C$8="","",'05 Door &amp; Window HW'!G8)</f>
        <v>nos</v>
      </c>
      <c r="I213" s="58" t="n">
        <f aca="false">IF('05 Door &amp; Window HW'!$C$8="","",'05 Door &amp; Window HW'!J8)</f>
        <v>450</v>
      </c>
      <c r="J213" s="58" t="n">
        <f aca="false">IF('05 Door &amp; Window HW'!$C$8="","",'05 Door &amp; Window HW'!K8)</f>
        <v>540</v>
      </c>
      <c r="K213" s="58" t="n">
        <f aca="false">IF('05 Door &amp; Window HW'!$C$8="","",'05 Door &amp; Window HW'!L8)</f>
        <v>567</v>
      </c>
      <c r="L213" s="57" t="str">
        <f aca="false">IF('05 Door &amp; Window HW'!$C$8="","",'05 Door &amp; Window HW'!M8)</f>
        <v>Indicative</v>
      </c>
      <c r="M213" s="59" t="str">
        <f aca="false">IF(D213="","",IF(AND(OR(Search!$C$6="All Categories",A213=Search!$C$6),OR(Search!$P$5="",ISNUMBER(SEARCH(" "&amp;Search!$P$5,N213))),OR(Search!$P$6="",ISNUMBER(SEARCH(" "&amp;Search!$P$6,N213))),OR(Search!$P$7="",ISNUMBER(SEARCH(" "&amp;Search!$P$7,N213))),OR(Search!$P$8="",ISNUMBER(SEARCH(" "&amp;Search!$P$8,N213))),OR(Search!$P$9="",ISNUMBER(SEARCH(" "&amp;Search!$P$9,N213))),OR(Search!$P$10="",ISNUMBER(SEARCH(" "&amp;Search!$P$10,N213)))),ROW(),""))</f>
        <v/>
      </c>
      <c r="N213" s="0" t="str">
        <f aca="false">IF(D213="",""," "&amp;SUBSTITUTE(SUBSTITUTE(SUBSTITUTE(SUBSTITUTE(SUBSTITUTE(SUBSTITUTE(SUBSTITUTE(B213&amp;" "&amp;C213&amp;" "&amp;D213&amp;" "&amp;E213&amp;" "&amp;F213&amp;" "&amp;G213&amp;" "&amp;H213&amp;" "&amp;'05 Door &amp; Window HW'!R8,"("," "),")"," "),"/"," "),"-"," "),","," "),";"," "),":"," ")&amp;" ")</f>
        <v> HW 004 Floor Springs &amp; Closers Overhead door closer   slide arm EN 1 4 Silver GEZE TS 4000   Equiv. nos door </v>
      </c>
    </row>
    <row r="214" customFormat="false" ht="15" hidden="false" customHeight="false" outlineLevel="0" collapsed="false">
      <c r="A214" s="56" t="str">
        <f aca="false">IF('05 Door &amp; Window HW'!$C$9="","","Hardware - Doors &amp; Windows")</f>
        <v>Hardware - Doors &amp; Windows</v>
      </c>
      <c r="B214" s="57" t="str">
        <f aca="false">IF('05 Door &amp; Window HW'!$C$9="","",'05 Door &amp; Window HW'!A9)</f>
        <v>HW-005</v>
      </c>
      <c r="C214" s="56" t="str">
        <f aca="false">IF('05 Door &amp; Window HW'!$C$9="","",'05 Door &amp; Window HW'!B9)</f>
        <v>Floor Springs &amp; Closers</v>
      </c>
      <c r="D214" s="56" t="str">
        <f aca="false">IF('05 Door &amp; Window HW'!$C$9="","",'05 Door &amp; Window HW'!C9)</f>
        <v>Concealed door closer</v>
      </c>
      <c r="E214" s="56" t="str">
        <f aca="false">IF('05 Door &amp; Window HW'!$C$9="","",'05 Door &amp; Window HW'!D9)</f>
        <v>EN 2-3</v>
      </c>
      <c r="F214" s="56" t="str">
        <f aca="false">IF('05 Door &amp; Window HW'!$C$9="","",'05 Door &amp; Window HW'!E9)</f>
        <v>-</v>
      </c>
      <c r="G214" s="56" t="str">
        <f aca="false">IF('05 Door &amp; Window HW'!$C$9="","",'05 Door &amp; Window HW'!F9)</f>
        <v>dormakaba ITS 96 / Equiv.</v>
      </c>
      <c r="H214" s="57" t="str">
        <f aca="false">IF('05 Door &amp; Window HW'!$C$9="","",'05 Door &amp; Window HW'!G9)</f>
        <v>nos</v>
      </c>
      <c r="I214" s="58" t="n">
        <f aca="false">IF('05 Door &amp; Window HW'!$C$9="","",'05 Door &amp; Window HW'!J9)</f>
        <v>950</v>
      </c>
      <c r="J214" s="58" t="n">
        <f aca="false">IF('05 Door &amp; Window HW'!$C$9="","",'05 Door &amp; Window HW'!K9)</f>
        <v>1140</v>
      </c>
      <c r="K214" s="58" t="n">
        <f aca="false">IF('05 Door &amp; Window HW'!$C$9="","",'05 Door &amp; Window HW'!L9)</f>
        <v>1197</v>
      </c>
      <c r="L214" s="57" t="str">
        <f aca="false">IF('05 Door &amp; Window HW'!$C$9="","",'05 Door &amp; Window HW'!M9)</f>
        <v>Indicative</v>
      </c>
      <c r="M214" s="59" t="str">
        <f aca="false">IF(D214="","",IF(AND(OR(Search!$C$6="All Categories",A214=Search!$C$6),OR(Search!$P$5="",ISNUMBER(SEARCH(" "&amp;Search!$P$5,N214))),OR(Search!$P$6="",ISNUMBER(SEARCH(" "&amp;Search!$P$6,N214))),OR(Search!$P$7="",ISNUMBER(SEARCH(" "&amp;Search!$P$7,N214))),OR(Search!$P$8="",ISNUMBER(SEARCH(" "&amp;Search!$P$8,N214))),OR(Search!$P$9="",ISNUMBER(SEARCH(" "&amp;Search!$P$9,N214))),OR(Search!$P$10="",ISNUMBER(SEARCH(" "&amp;Search!$P$10,N214)))),ROW(),""))</f>
        <v/>
      </c>
      <c r="N214" s="0" t="str">
        <f aca="false">IF(D214="",""," "&amp;SUBSTITUTE(SUBSTITUTE(SUBSTITUTE(SUBSTITUTE(SUBSTITUTE(SUBSTITUTE(SUBSTITUTE(B214&amp;" "&amp;C214&amp;" "&amp;D214&amp;" "&amp;E214&amp;" "&amp;F214&amp;" "&amp;G214&amp;" "&amp;H214&amp;" "&amp;'05 Door &amp; Window HW'!R9,"("," "),")"," "),"/"," "),"-"," "),","," "),";"," "),":"," ")&amp;" ")</f>
        <v> HW 005 Floor Springs &amp; Closers Concealed door closer EN 2 3   dormakaba ITS 96   Equiv. nos door </v>
      </c>
    </row>
    <row r="215" customFormat="false" ht="15" hidden="false" customHeight="false" outlineLevel="0" collapsed="false">
      <c r="A215" s="56" t="str">
        <f aca="false">IF('05 Door &amp; Window HW'!$C$10="","","Hardware - Doors &amp; Windows")</f>
        <v>Hardware - Doors &amp; Windows</v>
      </c>
      <c r="B215" s="57" t="str">
        <f aca="false">IF('05 Door &amp; Window HW'!$C$10="","",'05 Door &amp; Window HW'!A10)</f>
        <v>HW-006</v>
      </c>
      <c r="C215" s="56" t="str">
        <f aca="false">IF('05 Door &amp; Window HW'!$C$10="","",'05 Door &amp; Window HW'!B10)</f>
        <v>Floor Springs &amp; Closers</v>
      </c>
      <c r="D215" s="56" t="str">
        <f aca="false">IF('05 Door &amp; Window HW'!$C$10="","",'05 Door &amp; Window HW'!C10)</f>
        <v>Overhead door closer</v>
      </c>
      <c r="E215" s="56" t="str">
        <f aca="false">IF('05 Door &amp; Window HW'!$C$10="","",'05 Door &amp; Window HW'!D10)</f>
        <v>EN 2-4</v>
      </c>
      <c r="F215" s="56" t="str">
        <f aca="false">IF('05 Door &amp; Window HW'!$C$10="","",'05 Door &amp; Window HW'!E10)</f>
        <v>Silver</v>
      </c>
      <c r="G215" s="56" t="str">
        <f aca="false">IF('05 Door &amp; Window HW'!$C$10="","",'05 Door &amp; Window HW'!F10)</f>
        <v>Local / China</v>
      </c>
      <c r="H215" s="57" t="str">
        <f aca="false">IF('05 Door &amp; Window HW'!$C$10="","",'05 Door &amp; Window HW'!G10)</f>
        <v>nos</v>
      </c>
      <c r="I215" s="58" t="n">
        <f aca="false">IF('05 Door &amp; Window HW'!$C$10="","",'05 Door &amp; Window HW'!J10)</f>
        <v>120</v>
      </c>
      <c r="J215" s="58" t="n">
        <f aca="false">IF('05 Door &amp; Window HW'!$C$10="","",'05 Door &amp; Window HW'!K10)</f>
        <v>144</v>
      </c>
      <c r="K215" s="58" t="n">
        <f aca="false">IF('05 Door &amp; Window HW'!$C$10="","",'05 Door &amp; Window HW'!L10)</f>
        <v>151.2</v>
      </c>
      <c r="L215" s="57" t="str">
        <f aca="false">IF('05 Door &amp; Window HW'!$C$10="","",'05 Door &amp; Window HW'!M10)</f>
        <v>Indicative</v>
      </c>
      <c r="M215" s="59" t="str">
        <f aca="false">IF(D215="","",IF(AND(OR(Search!$C$6="All Categories",A215=Search!$C$6),OR(Search!$P$5="",ISNUMBER(SEARCH(" "&amp;Search!$P$5,N215))),OR(Search!$P$6="",ISNUMBER(SEARCH(" "&amp;Search!$P$6,N215))),OR(Search!$P$7="",ISNUMBER(SEARCH(" "&amp;Search!$P$7,N215))),OR(Search!$P$8="",ISNUMBER(SEARCH(" "&amp;Search!$P$8,N215))),OR(Search!$P$9="",ISNUMBER(SEARCH(" "&amp;Search!$P$9,N215))),OR(Search!$P$10="",ISNUMBER(SEARCH(" "&amp;Search!$P$10,N215)))),ROW(),""))</f>
        <v/>
      </c>
      <c r="N215" s="0" t="str">
        <f aca="false">IF(D215="",""," "&amp;SUBSTITUTE(SUBSTITUTE(SUBSTITUTE(SUBSTITUTE(SUBSTITUTE(SUBSTITUTE(SUBSTITUTE(B215&amp;" "&amp;C215&amp;" "&amp;D215&amp;" "&amp;E215&amp;" "&amp;F215&amp;" "&amp;G215&amp;" "&amp;H215&amp;" "&amp;'05 Door &amp; Window HW'!R10,"("," "),")"," "),"/"," "),"-"," "),","," "),";"," "),":"," ")&amp;" ")</f>
        <v> HW 006 Floor Springs &amp; Closers Overhead door closer EN 2 4 Silver Local   China nos door </v>
      </c>
    </row>
    <row r="216" customFormat="false" ht="15" hidden="false" customHeight="false" outlineLevel="0" collapsed="false">
      <c r="A216" s="56" t="str">
        <f aca="false">IF('05 Door &amp; Window HW'!$C$11="","","Hardware - Doors &amp; Windows")</f>
        <v>Hardware - Doors &amp; Windows</v>
      </c>
      <c r="B216" s="57" t="str">
        <f aca="false">IF('05 Door &amp; Window HW'!$C$11="","",'05 Door &amp; Window HW'!A11)</f>
        <v>HW-007</v>
      </c>
      <c r="C216" s="56" t="str">
        <f aca="false">IF('05 Door &amp; Window HW'!$C$11="","",'05 Door &amp; Window HW'!B11)</f>
        <v>Floor Springs &amp; Closers</v>
      </c>
      <c r="D216" s="56" t="str">
        <f aca="false">IF('05 Door &amp; Window HW'!$C$11="","",'05 Door &amp; Window HW'!C11)</f>
        <v>Door stopper - floor mounted</v>
      </c>
      <c r="E216" s="56" t="str">
        <f aca="false">IF('05 Door &amp; Window HW'!$C$11="","",'05 Door &amp; Window HW'!D11)</f>
        <v>-</v>
      </c>
      <c r="F216" s="56" t="str">
        <f aca="false">IF('05 Door &amp; Window HW'!$C$11="","",'05 Door &amp; Window HW'!E11)</f>
        <v>SS satin</v>
      </c>
      <c r="G216" s="56" t="str">
        <f aca="false">IF('05 Door &amp; Window HW'!$C$11="","",'05 Door &amp; Window HW'!F11)</f>
        <v>Local</v>
      </c>
      <c r="H216" s="57" t="str">
        <f aca="false">IF('05 Door &amp; Window HW'!$C$11="","",'05 Door &amp; Window HW'!G11)</f>
        <v>nos</v>
      </c>
      <c r="I216" s="58" t="n">
        <f aca="false">IF('05 Door &amp; Window HW'!$C$11="","",'05 Door &amp; Window HW'!J11)</f>
        <v>25</v>
      </c>
      <c r="J216" s="58" t="n">
        <f aca="false">IF('05 Door &amp; Window HW'!$C$11="","",'05 Door &amp; Window HW'!K11)</f>
        <v>30</v>
      </c>
      <c r="K216" s="58" t="n">
        <f aca="false">IF('05 Door &amp; Window HW'!$C$11="","",'05 Door &amp; Window HW'!L11)</f>
        <v>31.5</v>
      </c>
      <c r="L216" s="57" t="str">
        <f aca="false">IF('05 Door &amp; Window HW'!$C$11="","",'05 Door &amp; Window HW'!M11)</f>
        <v>Indicative</v>
      </c>
      <c r="M216" s="59" t="str">
        <f aca="false">IF(D216="","",IF(AND(OR(Search!$C$6="All Categories",A216=Search!$C$6),OR(Search!$P$5="",ISNUMBER(SEARCH(" "&amp;Search!$P$5,N216))),OR(Search!$P$6="",ISNUMBER(SEARCH(" "&amp;Search!$P$6,N216))),OR(Search!$P$7="",ISNUMBER(SEARCH(" "&amp;Search!$P$7,N216))),OR(Search!$P$8="",ISNUMBER(SEARCH(" "&amp;Search!$P$8,N216))),OR(Search!$P$9="",ISNUMBER(SEARCH(" "&amp;Search!$P$9,N216))),OR(Search!$P$10="",ISNUMBER(SEARCH(" "&amp;Search!$P$10,N216)))),ROW(),""))</f>
        <v/>
      </c>
      <c r="N216" s="0" t="str">
        <f aca="false">IF(D216="",""," "&amp;SUBSTITUTE(SUBSTITUTE(SUBSTITUTE(SUBSTITUTE(SUBSTITUTE(SUBSTITUTE(SUBSTITUTE(B216&amp;" "&amp;C216&amp;" "&amp;D216&amp;" "&amp;E216&amp;" "&amp;F216&amp;" "&amp;G216&amp;" "&amp;H216&amp;" "&amp;'05 Door &amp; Window HW'!R11,"("," "),")"," "),"/"," "),"-"," "),","," "),";"," "),":"," ")&amp;" ")</f>
        <v> HW 007 Floor Springs &amp; Closers Door stopper   floor mounted   SS satin Local nos door stainless steel </v>
      </c>
    </row>
    <row r="217" customFormat="false" ht="15" hidden="false" customHeight="false" outlineLevel="0" collapsed="false">
      <c r="A217" s="56" t="str">
        <f aca="false">IF('05 Door &amp; Window HW'!$C$12="","","Hardware - Doors &amp; Windows")</f>
        <v>Hardware - Doors &amp; Windows</v>
      </c>
      <c r="B217" s="57" t="str">
        <f aca="false">IF('05 Door &amp; Window HW'!$C$12="","",'05 Door &amp; Window HW'!A12)</f>
        <v>HW-008</v>
      </c>
      <c r="C217" s="56" t="str">
        <f aca="false">IF('05 Door &amp; Window HW'!$C$12="","",'05 Door &amp; Window HW'!B12)</f>
        <v>Locks &amp; Cylinders</v>
      </c>
      <c r="D217" s="56" t="str">
        <f aca="false">IF('05 Door &amp; Window HW'!$C$12="","",'05 Door &amp; Window HW'!C12)</f>
        <v>Mortise lock - narrow stile (aluminium door)</v>
      </c>
      <c r="E217" s="56" t="str">
        <f aca="false">IF('05 Door &amp; Window HW'!$C$12="","",'05 Door &amp; Window HW'!D12)</f>
        <v>Backset 25/30 mm</v>
      </c>
      <c r="F217" s="56" t="str">
        <f aca="false">IF('05 Door &amp; Window HW'!$C$12="","",'05 Door &amp; Window HW'!E12)</f>
        <v>SS</v>
      </c>
      <c r="G217" s="56" t="str">
        <f aca="false">IF('05 Door &amp; Window HW'!$C$12="","",'05 Door &amp; Window HW'!F12)</f>
        <v>Giesse / CISA / Equiv.</v>
      </c>
      <c r="H217" s="57" t="str">
        <f aca="false">IF('05 Door &amp; Window HW'!$C$12="","",'05 Door &amp; Window HW'!G12)</f>
        <v>nos</v>
      </c>
      <c r="I217" s="58" t="n">
        <f aca="false">IF('05 Door &amp; Window HW'!$C$12="","",'05 Door &amp; Window HW'!J12)</f>
        <v>120</v>
      </c>
      <c r="J217" s="58" t="n">
        <f aca="false">IF('05 Door &amp; Window HW'!$C$12="","",'05 Door &amp; Window HW'!K12)</f>
        <v>144</v>
      </c>
      <c r="K217" s="58" t="n">
        <f aca="false">IF('05 Door &amp; Window HW'!$C$12="","",'05 Door &amp; Window HW'!L12)</f>
        <v>151.2</v>
      </c>
      <c r="L217" s="57" t="str">
        <f aca="false">IF('05 Door &amp; Window HW'!$C$12="","",'05 Door &amp; Window HW'!M12)</f>
        <v>Indicative</v>
      </c>
      <c r="M217" s="59" t="str">
        <f aca="false">IF(D217="","",IF(AND(OR(Search!$C$6="All Categories",A217=Search!$C$6),OR(Search!$P$5="",ISNUMBER(SEARCH(" "&amp;Search!$P$5,N217))),OR(Search!$P$6="",ISNUMBER(SEARCH(" "&amp;Search!$P$6,N217))),OR(Search!$P$7="",ISNUMBER(SEARCH(" "&amp;Search!$P$7,N217))),OR(Search!$P$8="",ISNUMBER(SEARCH(" "&amp;Search!$P$8,N217))),OR(Search!$P$9="",ISNUMBER(SEARCH(" "&amp;Search!$P$9,N217))),OR(Search!$P$10="",ISNUMBER(SEARCH(" "&amp;Search!$P$10,N217)))),ROW(),""))</f>
        <v/>
      </c>
      <c r="N217" s="0" t="str">
        <f aca="false">IF(D217="",""," "&amp;SUBSTITUTE(SUBSTITUTE(SUBSTITUTE(SUBSTITUTE(SUBSTITUTE(SUBSTITUTE(SUBSTITUTE(B217&amp;" "&amp;C217&amp;" "&amp;D217&amp;" "&amp;E217&amp;" "&amp;F217&amp;" "&amp;G217&amp;" "&amp;H217&amp;" "&amp;'05 Door &amp; Window HW'!R12,"("," "),")"," "),"/"," "),"-"," "),","," "),";"," "),":"," ")&amp;" ")</f>
        <v> HW 008 Locks &amp; Cylinders Mortise lock   narrow stile  aluminium door  Backset 25 30 mm SS Giesse   CISA   Equiv. nos 30mm aluminum alu stainless steel </v>
      </c>
    </row>
    <row r="218" customFormat="false" ht="15" hidden="false" customHeight="false" outlineLevel="0" collapsed="false">
      <c r="A218" s="56" t="str">
        <f aca="false">IF('05 Door &amp; Window HW'!$C$13="","","Hardware - Doors &amp; Windows")</f>
        <v>Hardware - Doors &amp; Windows</v>
      </c>
      <c r="B218" s="57" t="str">
        <f aca="false">IF('05 Door &amp; Window HW'!$C$13="","",'05 Door &amp; Window HW'!A13)</f>
        <v>HW-009</v>
      </c>
      <c r="C218" s="56" t="str">
        <f aca="false">IF('05 Door &amp; Window HW'!$C$13="","",'05 Door &amp; Window HW'!B13)</f>
        <v>Locks &amp; Cylinders</v>
      </c>
      <c r="D218" s="56" t="str">
        <f aca="false">IF('05 Door &amp; Window HW'!$C$13="","",'05 Door &amp; Window HW'!C13)</f>
        <v>Euro profile cylinder</v>
      </c>
      <c r="E218" s="56" t="str">
        <f aca="false">IF('05 Door &amp; Window HW'!$C$13="","",'05 Door &amp; Window HW'!D13)</f>
        <v>70 mm, key/key</v>
      </c>
      <c r="F218" s="56" t="str">
        <f aca="false">IF('05 Door &amp; Window HW'!$C$13="","",'05 Door &amp; Window HW'!E13)</f>
        <v>Satin nickel</v>
      </c>
      <c r="G218" s="56" t="str">
        <f aca="false">IF('05 Door &amp; Window HW'!$C$13="","",'05 Door &amp; Window HW'!F13)</f>
        <v>dormakaba / Equiv.</v>
      </c>
      <c r="H218" s="57" t="str">
        <f aca="false">IF('05 Door &amp; Window HW'!$C$13="","",'05 Door &amp; Window HW'!G13)</f>
        <v>nos</v>
      </c>
      <c r="I218" s="58" t="n">
        <f aca="false">IF('05 Door &amp; Window HW'!$C$13="","",'05 Door &amp; Window HW'!J13)</f>
        <v>75</v>
      </c>
      <c r="J218" s="58" t="n">
        <f aca="false">IF('05 Door &amp; Window HW'!$C$13="","",'05 Door &amp; Window HW'!K13)</f>
        <v>90</v>
      </c>
      <c r="K218" s="58" t="n">
        <f aca="false">IF('05 Door &amp; Window HW'!$C$13="","",'05 Door &amp; Window HW'!L13)</f>
        <v>94.5</v>
      </c>
      <c r="L218" s="57" t="str">
        <f aca="false">IF('05 Door &amp; Window HW'!$C$13="","",'05 Door &amp; Window HW'!M13)</f>
        <v>Indicative</v>
      </c>
      <c r="M218" s="59" t="str">
        <f aca="false">IF(D218="","",IF(AND(OR(Search!$C$6="All Categories",A218=Search!$C$6),OR(Search!$P$5="",ISNUMBER(SEARCH(" "&amp;Search!$P$5,N218))),OR(Search!$P$6="",ISNUMBER(SEARCH(" "&amp;Search!$P$6,N218))),OR(Search!$P$7="",ISNUMBER(SEARCH(" "&amp;Search!$P$7,N218))),OR(Search!$P$8="",ISNUMBER(SEARCH(" "&amp;Search!$P$8,N218))),OR(Search!$P$9="",ISNUMBER(SEARCH(" "&amp;Search!$P$9,N218))),OR(Search!$P$10="",ISNUMBER(SEARCH(" "&amp;Search!$P$10,N218)))),ROW(),""))</f>
        <v/>
      </c>
      <c r="N218" s="0" t="str">
        <f aca="false">IF(D218="",""," "&amp;SUBSTITUTE(SUBSTITUTE(SUBSTITUTE(SUBSTITUTE(SUBSTITUTE(SUBSTITUTE(SUBSTITUTE(B218&amp;" "&amp;C218&amp;" "&amp;D218&amp;" "&amp;E218&amp;" "&amp;F218&amp;" "&amp;G218&amp;" "&amp;H218&amp;" "&amp;'05 Door &amp; Window HW'!R13,"("," "),")"," "),"/"," "),"-"," "),","," "),";"," "),":"," ")&amp;" ")</f>
        <v> HW 009 Locks &amp; Cylinders Euro profile cylinder 70 mm  key key Satin nickel dormakaba   Equiv. nos 70mm </v>
      </c>
    </row>
    <row r="219" customFormat="false" ht="15" hidden="false" customHeight="false" outlineLevel="0" collapsed="false">
      <c r="A219" s="56" t="str">
        <f aca="false">IF('05 Door &amp; Window HW'!$C$14="","","Hardware - Doors &amp; Windows")</f>
        <v>Hardware - Doors &amp; Windows</v>
      </c>
      <c r="B219" s="57" t="str">
        <f aca="false">IF('05 Door &amp; Window HW'!$C$14="","",'05 Door &amp; Window HW'!A14)</f>
        <v>HW-010</v>
      </c>
      <c r="C219" s="56" t="str">
        <f aca="false">IF('05 Door &amp; Window HW'!$C$14="","",'05 Door &amp; Window HW'!B14)</f>
        <v>Locks &amp; Cylinders</v>
      </c>
      <c r="D219" s="56" t="str">
        <f aca="false">IF('05 Door &amp; Window HW'!$C$14="","",'05 Door &amp; Window HW'!C14)</f>
        <v>Euro profile cylinder</v>
      </c>
      <c r="E219" s="56" t="str">
        <f aca="false">IF('05 Door &amp; Window HW'!$C$14="","",'05 Door &amp; Window HW'!D14)</f>
        <v>70 mm, key/thumb-turn</v>
      </c>
      <c r="F219" s="56" t="str">
        <f aca="false">IF('05 Door &amp; Window HW'!$C$14="","",'05 Door &amp; Window HW'!E14)</f>
        <v>Satin nickel</v>
      </c>
      <c r="G219" s="56" t="str">
        <f aca="false">IF('05 Door &amp; Window HW'!$C$14="","",'05 Door &amp; Window HW'!F14)</f>
        <v>dormakaba / Equiv.</v>
      </c>
      <c r="H219" s="57" t="str">
        <f aca="false">IF('05 Door &amp; Window HW'!$C$14="","",'05 Door &amp; Window HW'!G14)</f>
        <v>nos</v>
      </c>
      <c r="I219" s="58" t="n">
        <f aca="false">IF('05 Door &amp; Window HW'!$C$14="","",'05 Door &amp; Window HW'!J14)</f>
        <v>90</v>
      </c>
      <c r="J219" s="58" t="n">
        <f aca="false">IF('05 Door &amp; Window HW'!$C$14="","",'05 Door &amp; Window HW'!K14)</f>
        <v>108</v>
      </c>
      <c r="K219" s="58" t="n">
        <f aca="false">IF('05 Door &amp; Window HW'!$C$14="","",'05 Door &amp; Window HW'!L14)</f>
        <v>113.4</v>
      </c>
      <c r="L219" s="57" t="str">
        <f aca="false">IF('05 Door &amp; Window HW'!$C$14="","",'05 Door &amp; Window HW'!M14)</f>
        <v>Indicative</v>
      </c>
      <c r="M219" s="59" t="str">
        <f aca="false">IF(D219="","",IF(AND(OR(Search!$C$6="All Categories",A219=Search!$C$6),OR(Search!$P$5="",ISNUMBER(SEARCH(" "&amp;Search!$P$5,N219))),OR(Search!$P$6="",ISNUMBER(SEARCH(" "&amp;Search!$P$6,N219))),OR(Search!$P$7="",ISNUMBER(SEARCH(" "&amp;Search!$P$7,N219))),OR(Search!$P$8="",ISNUMBER(SEARCH(" "&amp;Search!$P$8,N219))),OR(Search!$P$9="",ISNUMBER(SEARCH(" "&amp;Search!$P$9,N219))),OR(Search!$P$10="",ISNUMBER(SEARCH(" "&amp;Search!$P$10,N219)))),ROW(),""))</f>
        <v/>
      </c>
      <c r="N219" s="0" t="str">
        <f aca="false">IF(D219="",""," "&amp;SUBSTITUTE(SUBSTITUTE(SUBSTITUTE(SUBSTITUTE(SUBSTITUTE(SUBSTITUTE(SUBSTITUTE(B219&amp;" "&amp;C219&amp;" "&amp;D219&amp;" "&amp;E219&amp;" "&amp;F219&amp;" "&amp;G219&amp;" "&amp;H219&amp;" "&amp;'05 Door &amp; Window HW'!R14,"("," "),")"," "),"/"," "),"-"," "),","," "),";"," "),":"," ")&amp;" ")</f>
        <v> HW 010 Locks &amp; Cylinders Euro profile cylinder 70 mm  key thumb turn Satin nickel dormakaba   Equiv. nos 70mm </v>
      </c>
    </row>
    <row r="220" customFormat="false" ht="15" hidden="false" customHeight="false" outlineLevel="0" collapsed="false">
      <c r="A220" s="56" t="str">
        <f aca="false">IF('05 Door &amp; Window HW'!$C$15="","","Hardware - Doors &amp; Windows")</f>
        <v>Hardware - Doors &amp; Windows</v>
      </c>
      <c r="B220" s="57" t="str">
        <f aca="false">IF('05 Door &amp; Window HW'!$C$15="","",'05 Door &amp; Window HW'!A15)</f>
        <v>HW-011</v>
      </c>
      <c r="C220" s="56" t="str">
        <f aca="false">IF('05 Door &amp; Window HW'!$C$15="","",'05 Door &amp; Window HW'!B15)</f>
        <v>Locks &amp; Cylinders</v>
      </c>
      <c r="D220" s="56" t="str">
        <f aca="false">IF('05 Door &amp; Window HW'!$C$15="","",'05 Door &amp; Window HW'!C15)</f>
        <v>Multipoint lock (hinged door)</v>
      </c>
      <c r="E220" s="56" t="str">
        <f aca="false">IF('05 Door &amp; Window HW'!$C$15="","",'05 Door &amp; Window HW'!D15)</f>
        <v>2-4 locking points</v>
      </c>
      <c r="F220" s="56" t="str">
        <f aca="false">IF('05 Door &amp; Window HW'!$C$15="","",'05 Door &amp; Window HW'!E15)</f>
        <v>-</v>
      </c>
      <c r="G220" s="56" t="str">
        <f aca="false">IF('05 Door &amp; Window HW'!$C$15="","",'05 Door &amp; Window HW'!F15)</f>
        <v>Giesse / Savio / Equiv.</v>
      </c>
      <c r="H220" s="57" t="str">
        <f aca="false">IF('05 Door &amp; Window HW'!$C$15="","",'05 Door &amp; Window HW'!G15)</f>
        <v>nos</v>
      </c>
      <c r="I220" s="58" t="n">
        <f aca="false">IF('05 Door &amp; Window HW'!$C$15="","",'05 Door &amp; Window HW'!J15)</f>
        <v>180</v>
      </c>
      <c r="J220" s="58" t="n">
        <f aca="false">IF('05 Door &amp; Window HW'!$C$15="","",'05 Door &amp; Window HW'!K15)</f>
        <v>216</v>
      </c>
      <c r="K220" s="58" t="n">
        <f aca="false">IF('05 Door &amp; Window HW'!$C$15="","",'05 Door &amp; Window HW'!L15)</f>
        <v>226.8</v>
      </c>
      <c r="L220" s="57" t="str">
        <f aca="false">IF('05 Door &amp; Window HW'!$C$15="","",'05 Door &amp; Window HW'!M15)</f>
        <v>Indicative</v>
      </c>
      <c r="M220" s="59" t="str">
        <f aca="false">IF(D220="","",IF(AND(OR(Search!$C$6="All Categories",A220=Search!$C$6),OR(Search!$P$5="",ISNUMBER(SEARCH(" "&amp;Search!$P$5,N220))),OR(Search!$P$6="",ISNUMBER(SEARCH(" "&amp;Search!$P$6,N220))),OR(Search!$P$7="",ISNUMBER(SEARCH(" "&amp;Search!$P$7,N220))),OR(Search!$P$8="",ISNUMBER(SEARCH(" "&amp;Search!$P$8,N220))),OR(Search!$P$9="",ISNUMBER(SEARCH(" "&amp;Search!$P$9,N220))),OR(Search!$P$10="",ISNUMBER(SEARCH(" "&amp;Search!$P$10,N220)))),ROW(),""))</f>
        <v/>
      </c>
      <c r="N220" s="0" t="str">
        <f aca="false">IF(D220="",""," "&amp;SUBSTITUTE(SUBSTITUTE(SUBSTITUTE(SUBSTITUTE(SUBSTITUTE(SUBSTITUTE(SUBSTITUTE(B220&amp;" "&amp;C220&amp;" "&amp;D220&amp;" "&amp;E220&amp;" "&amp;F220&amp;" "&amp;G220&amp;" "&amp;H220&amp;" "&amp;'05 Door &amp; Window HW'!R15,"("," "),")"," "),"/"," "),"-"," "),","," "),";"," "),":"," ")&amp;" ")</f>
        <v> HW 011 Locks &amp; Cylinders Multipoint lock  hinged door  2 4 locking points   Giesse   Savio   Equiv. nos  </v>
      </c>
    </row>
    <row r="221" customFormat="false" ht="15" hidden="false" customHeight="false" outlineLevel="0" collapsed="false">
      <c r="A221" s="56" t="str">
        <f aca="false">IF('05 Door &amp; Window HW'!$C$16="","","Hardware - Doors &amp; Windows")</f>
        <v>Hardware - Doors &amp; Windows</v>
      </c>
      <c r="B221" s="57" t="str">
        <f aca="false">IF('05 Door &amp; Window HW'!$C$16="","",'05 Door &amp; Window HW'!A16)</f>
        <v>HW-012</v>
      </c>
      <c r="C221" s="56" t="str">
        <f aca="false">IF('05 Door &amp; Window HW'!$C$16="","",'05 Door &amp; Window HW'!B16)</f>
        <v>Locks &amp; Cylinders</v>
      </c>
      <c r="D221" s="56" t="str">
        <f aca="false">IF('05 Door &amp; Window HW'!$C$16="","",'05 Door &amp; Window HW'!C16)</f>
        <v>Sliding door hook lock</v>
      </c>
      <c r="E221" s="56" t="str">
        <f aca="false">IF('05 Door &amp; Window HW'!$C$16="","",'05 Door &amp; Window HW'!D16)</f>
        <v>With cylinder</v>
      </c>
      <c r="F221" s="56" t="str">
        <f aca="false">IF('05 Door &amp; Window HW'!$C$16="","",'05 Door &amp; Window HW'!E16)</f>
        <v>-</v>
      </c>
      <c r="G221" s="56" t="str">
        <f aca="false">IF('05 Door &amp; Window HW'!$C$16="","",'05 Door &amp; Window HW'!F16)</f>
        <v>Giesse / Equiv.</v>
      </c>
      <c r="H221" s="57" t="str">
        <f aca="false">IF('05 Door &amp; Window HW'!$C$16="","",'05 Door &amp; Window HW'!G16)</f>
        <v>nos</v>
      </c>
      <c r="I221" s="58" t="n">
        <f aca="false">IF('05 Door &amp; Window HW'!$C$16="","",'05 Door &amp; Window HW'!J16)</f>
        <v>85</v>
      </c>
      <c r="J221" s="58" t="n">
        <f aca="false">IF('05 Door &amp; Window HW'!$C$16="","",'05 Door &amp; Window HW'!K16)</f>
        <v>102</v>
      </c>
      <c r="K221" s="58" t="n">
        <f aca="false">IF('05 Door &amp; Window HW'!$C$16="","",'05 Door &amp; Window HW'!L16)</f>
        <v>107.1</v>
      </c>
      <c r="L221" s="57" t="str">
        <f aca="false">IF('05 Door &amp; Window HW'!$C$16="","",'05 Door &amp; Window HW'!M16)</f>
        <v>Indicative</v>
      </c>
      <c r="M221" s="59" t="str">
        <f aca="false">IF(D221="","",IF(AND(OR(Search!$C$6="All Categories",A221=Search!$C$6),OR(Search!$P$5="",ISNUMBER(SEARCH(" "&amp;Search!$P$5,N221))),OR(Search!$P$6="",ISNUMBER(SEARCH(" "&amp;Search!$P$6,N221))),OR(Search!$P$7="",ISNUMBER(SEARCH(" "&amp;Search!$P$7,N221))),OR(Search!$P$8="",ISNUMBER(SEARCH(" "&amp;Search!$P$8,N221))),OR(Search!$P$9="",ISNUMBER(SEARCH(" "&amp;Search!$P$9,N221))),OR(Search!$P$10="",ISNUMBER(SEARCH(" "&amp;Search!$P$10,N221)))),ROW(),""))</f>
        <v/>
      </c>
      <c r="N221" s="0" t="str">
        <f aca="false">IF(D221="",""," "&amp;SUBSTITUTE(SUBSTITUTE(SUBSTITUTE(SUBSTITUTE(SUBSTITUTE(SUBSTITUTE(SUBSTITUTE(B221&amp;" "&amp;C221&amp;" "&amp;D221&amp;" "&amp;E221&amp;" "&amp;F221&amp;" "&amp;G221&amp;" "&amp;H221&amp;" "&amp;'05 Door &amp; Window HW'!R16,"("," "),")"," "),"/"," "),"-"," "),","," "),";"," "),":"," ")&amp;" ")</f>
        <v> HW 012 Locks &amp; Cylinders Sliding door hook lock With cylinder   Giesse   Equiv. nos  </v>
      </c>
    </row>
    <row r="222" customFormat="false" ht="15" hidden="false" customHeight="false" outlineLevel="0" collapsed="false">
      <c r="A222" s="56" t="str">
        <f aca="false">IF('05 Door &amp; Window HW'!$C$17="","","Hardware - Doors &amp; Windows")</f>
        <v>Hardware - Doors &amp; Windows</v>
      </c>
      <c r="B222" s="57" t="str">
        <f aca="false">IF('05 Door &amp; Window HW'!$C$17="","",'05 Door &amp; Window HW'!A17)</f>
        <v>HW-013</v>
      </c>
      <c r="C222" s="56" t="str">
        <f aca="false">IF('05 Door &amp; Window HW'!$C$17="","",'05 Door &amp; Window HW'!B17)</f>
        <v>Locks &amp; Cylinders</v>
      </c>
      <c r="D222" s="56" t="str">
        <f aca="false">IF('05 Door &amp; Window HW'!$C$17="","",'05 Door &amp; Window HW'!C17)</f>
        <v>Sliding window crescent lock</v>
      </c>
      <c r="E222" s="56" t="str">
        <f aca="false">IF('05 Door &amp; Window HW'!$C$17="","",'05 Door &amp; Window HW'!D17)</f>
        <v>-</v>
      </c>
      <c r="F222" s="56" t="str">
        <f aca="false">IF('05 Door &amp; Window HW'!$C$17="","",'05 Door &amp; Window HW'!E17)</f>
        <v>Silver / Black</v>
      </c>
      <c r="G222" s="56" t="str">
        <f aca="false">IF('05 Door &amp; Window HW'!$C$17="","",'05 Door &amp; Window HW'!F17)</f>
        <v>Local / China</v>
      </c>
      <c r="H222" s="57" t="str">
        <f aca="false">IF('05 Door &amp; Window HW'!$C$17="","",'05 Door &amp; Window HW'!G17)</f>
        <v>nos</v>
      </c>
      <c r="I222" s="58" t="n">
        <f aca="false">IF('05 Door &amp; Window HW'!$C$17="","",'05 Door &amp; Window HW'!J17)</f>
        <v>15</v>
      </c>
      <c r="J222" s="58" t="n">
        <f aca="false">IF('05 Door &amp; Window HW'!$C$17="","",'05 Door &amp; Window HW'!K17)</f>
        <v>18</v>
      </c>
      <c r="K222" s="58" t="n">
        <f aca="false">IF('05 Door &amp; Window HW'!$C$17="","",'05 Door &amp; Window HW'!L17)</f>
        <v>18.9</v>
      </c>
      <c r="L222" s="57" t="str">
        <f aca="false">IF('05 Door &amp; Window HW'!$C$17="","",'05 Door &amp; Window HW'!M17)</f>
        <v>Indicative</v>
      </c>
      <c r="M222" s="59" t="str">
        <f aca="false">IF(D222="","",IF(AND(OR(Search!$C$6="All Categories",A222=Search!$C$6),OR(Search!$P$5="",ISNUMBER(SEARCH(" "&amp;Search!$P$5,N222))),OR(Search!$P$6="",ISNUMBER(SEARCH(" "&amp;Search!$P$6,N222))),OR(Search!$P$7="",ISNUMBER(SEARCH(" "&amp;Search!$P$7,N222))),OR(Search!$P$8="",ISNUMBER(SEARCH(" "&amp;Search!$P$8,N222))),OR(Search!$P$9="",ISNUMBER(SEARCH(" "&amp;Search!$P$9,N222))),OR(Search!$P$10="",ISNUMBER(SEARCH(" "&amp;Search!$P$10,N222)))),ROW(),""))</f>
        <v/>
      </c>
      <c r="N222" s="0" t="str">
        <f aca="false">IF(D222="",""," "&amp;SUBSTITUTE(SUBSTITUTE(SUBSTITUTE(SUBSTITUTE(SUBSTITUTE(SUBSTITUTE(SUBSTITUTE(B222&amp;" "&amp;C222&amp;" "&amp;D222&amp;" "&amp;E222&amp;" "&amp;F222&amp;" "&amp;G222&amp;" "&amp;H222&amp;" "&amp;'05 Door &amp; Window HW'!R17,"("," "),")"," "),"/"," "),"-"," "),","," "),";"," "),":"," ")&amp;" ")</f>
        <v> HW 013 Locks &amp; Cylinders Sliding window crescent lock   Silver   Black Local   China nos  </v>
      </c>
    </row>
    <row r="223" customFormat="false" ht="15" hidden="false" customHeight="false" outlineLevel="0" collapsed="false">
      <c r="A223" s="56" t="str">
        <f aca="false">IF('05 Door &amp; Window HW'!$C$18="","","Hardware - Doors &amp; Windows")</f>
        <v>Hardware - Doors &amp; Windows</v>
      </c>
      <c r="B223" s="57" t="str">
        <f aca="false">IF('05 Door &amp; Window HW'!$C$18="","",'05 Door &amp; Window HW'!A18)</f>
        <v>HW-014</v>
      </c>
      <c r="C223" s="56" t="str">
        <f aca="false">IF('05 Door &amp; Window HW'!$C$18="","",'05 Door &amp; Window HW'!B18)</f>
        <v>Locks &amp; Cylinders</v>
      </c>
      <c r="D223" s="56" t="str">
        <f aca="false">IF('05 Door &amp; Window HW'!$C$18="","",'05 Door &amp; Window HW'!C18)</f>
        <v>Electromagnetic lock</v>
      </c>
      <c r="E223" s="56" t="str">
        <f aca="false">IF('05 Door &amp; Window HW'!$C$18="","",'05 Door &amp; Window HW'!D18)</f>
        <v>600 lbs, with bracket</v>
      </c>
      <c r="F223" s="56" t="str">
        <f aca="false">IF('05 Door &amp; Window HW'!$C$18="","",'05 Door &amp; Window HW'!E18)</f>
        <v>-</v>
      </c>
      <c r="G223" s="56" t="str">
        <f aca="false">IF('05 Door &amp; Window HW'!$C$18="","",'05 Door &amp; Window HW'!F18)</f>
        <v>Local / China</v>
      </c>
      <c r="H223" s="57" t="str">
        <f aca="false">IF('05 Door &amp; Window HW'!$C$18="","",'05 Door &amp; Window HW'!G18)</f>
        <v>nos</v>
      </c>
      <c r="I223" s="58" t="n">
        <f aca="false">IF('05 Door &amp; Window HW'!$C$18="","",'05 Door &amp; Window HW'!J18)</f>
        <v>220</v>
      </c>
      <c r="J223" s="58" t="n">
        <f aca="false">IF('05 Door &amp; Window HW'!$C$18="","",'05 Door &amp; Window HW'!K18)</f>
        <v>264</v>
      </c>
      <c r="K223" s="58" t="n">
        <f aca="false">IF('05 Door &amp; Window HW'!$C$18="","",'05 Door &amp; Window HW'!L18)</f>
        <v>277.2</v>
      </c>
      <c r="L223" s="57" t="str">
        <f aca="false">IF('05 Door &amp; Window HW'!$C$18="","",'05 Door &amp; Window HW'!M18)</f>
        <v>Indicative</v>
      </c>
      <c r="M223" s="59" t="str">
        <f aca="false">IF(D223="","",IF(AND(OR(Search!$C$6="All Categories",A223=Search!$C$6),OR(Search!$P$5="",ISNUMBER(SEARCH(" "&amp;Search!$P$5,N223))),OR(Search!$P$6="",ISNUMBER(SEARCH(" "&amp;Search!$P$6,N223))),OR(Search!$P$7="",ISNUMBER(SEARCH(" "&amp;Search!$P$7,N223))),OR(Search!$P$8="",ISNUMBER(SEARCH(" "&amp;Search!$P$8,N223))),OR(Search!$P$9="",ISNUMBER(SEARCH(" "&amp;Search!$P$9,N223))),OR(Search!$P$10="",ISNUMBER(SEARCH(" "&amp;Search!$P$10,N223)))),ROW(),""))</f>
        <v/>
      </c>
      <c r="N223" s="0" t="str">
        <f aca="false">IF(D223="",""," "&amp;SUBSTITUTE(SUBSTITUTE(SUBSTITUTE(SUBSTITUTE(SUBSTITUTE(SUBSTITUTE(SUBSTITUTE(B223&amp;" "&amp;C223&amp;" "&amp;D223&amp;" "&amp;E223&amp;" "&amp;F223&amp;" "&amp;G223&amp;" "&amp;H223&amp;" "&amp;'05 Door &amp; Window HW'!R18,"("," "),")"," "),"/"," "),"-"," "),","," "),";"," "),":"," ")&amp;" ")</f>
        <v> HW 014 Locks &amp; Cylinders Electromagnetic lock 600 lbs  with bracket   Local   China nos  </v>
      </c>
    </row>
    <row r="224" customFormat="false" ht="15" hidden="false" customHeight="false" outlineLevel="0" collapsed="false">
      <c r="A224" s="56" t="str">
        <f aca="false">IF('05 Door &amp; Window HW'!$C$19="","","Hardware - Doors &amp; Windows")</f>
        <v>Hardware - Doors &amp; Windows</v>
      </c>
      <c r="B224" s="57" t="str">
        <f aca="false">IF('05 Door &amp; Window HW'!$C$19="","",'05 Door &amp; Window HW'!A19)</f>
        <v>HW-015</v>
      </c>
      <c r="C224" s="56" t="str">
        <f aca="false">IF('05 Door &amp; Window HW'!$C$19="","",'05 Door &amp; Window HW'!B19)</f>
        <v>Locks &amp; Cylinders</v>
      </c>
      <c r="D224" s="56" t="str">
        <f aca="false">IF('05 Door &amp; Window HW'!$C$19="","",'05 Door &amp; Window HW'!C19)</f>
        <v>Panic bar (push bar)</v>
      </c>
      <c r="E224" s="56" t="str">
        <f aca="false">IF('05 Door &amp; Window HW'!$C$19="","",'05 Door &amp; Window HW'!D19)</f>
        <v>Single door</v>
      </c>
      <c r="F224" s="56" t="str">
        <f aca="false">IF('05 Door &amp; Window HW'!$C$19="","",'05 Door &amp; Window HW'!E19)</f>
        <v>SS / Silver</v>
      </c>
      <c r="G224" s="56" t="str">
        <f aca="false">IF('05 Door &amp; Window HW'!$C$19="","",'05 Door &amp; Window HW'!F19)</f>
        <v>dormakaba / Equiv.</v>
      </c>
      <c r="H224" s="57" t="str">
        <f aca="false">IF('05 Door &amp; Window HW'!$C$19="","",'05 Door &amp; Window HW'!G19)</f>
        <v>nos</v>
      </c>
      <c r="I224" s="58" t="n">
        <f aca="false">IF('05 Door &amp; Window HW'!$C$19="","",'05 Door &amp; Window HW'!J19)</f>
        <v>650</v>
      </c>
      <c r="J224" s="58" t="n">
        <f aca="false">IF('05 Door &amp; Window HW'!$C$19="","",'05 Door &amp; Window HW'!K19)</f>
        <v>780</v>
      </c>
      <c r="K224" s="58" t="n">
        <f aca="false">IF('05 Door &amp; Window HW'!$C$19="","",'05 Door &amp; Window HW'!L19)</f>
        <v>819</v>
      </c>
      <c r="L224" s="57" t="str">
        <f aca="false">IF('05 Door &amp; Window HW'!$C$19="","",'05 Door &amp; Window HW'!M19)</f>
        <v>Indicative</v>
      </c>
      <c r="M224" s="59" t="str">
        <f aca="false">IF(D224="","",IF(AND(OR(Search!$C$6="All Categories",A224=Search!$C$6),OR(Search!$P$5="",ISNUMBER(SEARCH(" "&amp;Search!$P$5,N224))),OR(Search!$P$6="",ISNUMBER(SEARCH(" "&amp;Search!$P$6,N224))),OR(Search!$P$7="",ISNUMBER(SEARCH(" "&amp;Search!$P$7,N224))),OR(Search!$P$8="",ISNUMBER(SEARCH(" "&amp;Search!$P$8,N224))),OR(Search!$P$9="",ISNUMBER(SEARCH(" "&amp;Search!$P$9,N224))),OR(Search!$P$10="",ISNUMBER(SEARCH(" "&amp;Search!$P$10,N224)))),ROW(),""))</f>
        <v/>
      </c>
      <c r="N224" s="0" t="str">
        <f aca="false">IF(D224="",""," "&amp;SUBSTITUTE(SUBSTITUTE(SUBSTITUTE(SUBSTITUTE(SUBSTITUTE(SUBSTITUTE(SUBSTITUTE(B224&amp;" "&amp;C224&amp;" "&amp;D224&amp;" "&amp;E224&amp;" "&amp;F224&amp;" "&amp;G224&amp;" "&amp;H224&amp;" "&amp;'05 Door &amp; Window HW'!R19,"("," "),")"," "),"/"," "),"-"," "),","," "),";"," "),":"," ")&amp;" ")</f>
        <v> HW 015 Locks &amp; Cylinders Panic bar  push bar  Single door SS   Silver dormakaba   Equiv. nos stainless steel </v>
      </c>
    </row>
    <row r="225" customFormat="false" ht="15" hidden="false" customHeight="false" outlineLevel="0" collapsed="false">
      <c r="A225" s="56" t="str">
        <f aca="false">IF('05 Door &amp; Window HW'!$C$20="","","Hardware - Doors &amp; Windows")</f>
        <v>Hardware - Doors &amp; Windows</v>
      </c>
      <c r="B225" s="57" t="str">
        <f aca="false">IF('05 Door &amp; Window HW'!$C$20="","",'05 Door &amp; Window HW'!A20)</f>
        <v>HW-016</v>
      </c>
      <c r="C225" s="56" t="str">
        <f aca="false">IF('05 Door &amp; Window HW'!$C$20="","",'05 Door &amp; Window HW'!B20)</f>
        <v>Handles</v>
      </c>
      <c r="D225" s="56" t="str">
        <f aca="false">IF('05 Door &amp; Window HW'!$C$20="","",'05 Door &amp; Window HW'!C20)</f>
        <v>Pull handle - H type</v>
      </c>
      <c r="E225" s="56" t="str">
        <f aca="false">IF('05 Door &amp; Window HW'!$C$20="","",'05 Door &amp; Window HW'!D20)</f>
        <v>600 mm, dia 32 mm</v>
      </c>
      <c r="F225" s="56" t="str">
        <f aca="false">IF('05 Door &amp; Window HW'!$C$20="","",'05 Door &amp; Window HW'!E20)</f>
        <v>SS 304 satin</v>
      </c>
      <c r="G225" s="56" t="str">
        <f aca="false">IF('05 Door &amp; Window HW'!$C$20="","",'05 Door &amp; Window HW'!F20)</f>
        <v>Local</v>
      </c>
      <c r="H225" s="57" t="str">
        <f aca="false">IF('05 Door &amp; Window HW'!$C$20="","",'05 Door &amp; Window HW'!G20)</f>
        <v>pair</v>
      </c>
      <c r="I225" s="58" t="n">
        <f aca="false">IF('05 Door &amp; Window HW'!$C$20="","",'05 Door &amp; Window HW'!J20)</f>
        <v>120</v>
      </c>
      <c r="J225" s="58" t="n">
        <f aca="false">IF('05 Door &amp; Window HW'!$C$20="","",'05 Door &amp; Window HW'!K20)</f>
        <v>144</v>
      </c>
      <c r="K225" s="58" t="n">
        <f aca="false">IF('05 Door &amp; Window HW'!$C$20="","",'05 Door &amp; Window HW'!L20)</f>
        <v>151.2</v>
      </c>
      <c r="L225" s="57" t="str">
        <f aca="false">IF('05 Door &amp; Window HW'!$C$20="","",'05 Door &amp; Window HW'!M20)</f>
        <v>Indicative</v>
      </c>
      <c r="M225" s="59" t="str">
        <f aca="false">IF(D225="","",IF(AND(OR(Search!$C$6="All Categories",A225=Search!$C$6),OR(Search!$P$5="",ISNUMBER(SEARCH(" "&amp;Search!$P$5,N225))),OR(Search!$P$6="",ISNUMBER(SEARCH(" "&amp;Search!$P$6,N225))),OR(Search!$P$7="",ISNUMBER(SEARCH(" "&amp;Search!$P$7,N225))),OR(Search!$P$8="",ISNUMBER(SEARCH(" "&amp;Search!$P$8,N225))),OR(Search!$P$9="",ISNUMBER(SEARCH(" "&amp;Search!$P$9,N225))),OR(Search!$P$10="",ISNUMBER(SEARCH(" "&amp;Search!$P$10,N225)))),ROW(),""))</f>
        <v/>
      </c>
      <c r="N225" s="0" t="str">
        <f aca="false">IF(D225="",""," "&amp;SUBSTITUTE(SUBSTITUTE(SUBSTITUTE(SUBSTITUTE(SUBSTITUTE(SUBSTITUTE(SUBSTITUTE(B225&amp;" "&amp;C225&amp;" "&amp;D225&amp;" "&amp;E225&amp;" "&amp;F225&amp;" "&amp;G225&amp;" "&amp;H225&amp;" "&amp;'05 Door &amp; Window HW'!R20,"("," "),")"," "),"/"," "),"-"," "),","," "),";"," "),":"," ")&amp;" ")</f>
        <v> HW 016 Handles Pull handle   H type 600 mm  dia 32 mm SS 304 satin Local pair 600mm 32mm ss304 sus304 door stainless steel </v>
      </c>
    </row>
    <row r="226" customFormat="false" ht="15" hidden="false" customHeight="false" outlineLevel="0" collapsed="false">
      <c r="A226" s="56" t="str">
        <f aca="false">IF('05 Door &amp; Window HW'!$C$21="","","Hardware - Doors &amp; Windows")</f>
        <v>Hardware - Doors &amp; Windows</v>
      </c>
      <c r="B226" s="57" t="str">
        <f aca="false">IF('05 Door &amp; Window HW'!$C$21="","",'05 Door &amp; Window HW'!A21)</f>
        <v>HW-017</v>
      </c>
      <c r="C226" s="56" t="str">
        <f aca="false">IF('05 Door &amp; Window HW'!$C$21="","",'05 Door &amp; Window HW'!B21)</f>
        <v>Handles</v>
      </c>
      <c r="D226" s="56" t="str">
        <f aca="false">IF('05 Door &amp; Window HW'!$C$21="","",'05 Door &amp; Window HW'!C21)</f>
        <v>Pull handle - H type</v>
      </c>
      <c r="E226" s="56" t="str">
        <f aca="false">IF('05 Door &amp; Window HW'!$C$21="","",'05 Door &amp; Window HW'!D21)</f>
        <v>1200 mm, dia 32 mm</v>
      </c>
      <c r="F226" s="56" t="str">
        <f aca="false">IF('05 Door &amp; Window HW'!$C$21="","",'05 Door &amp; Window HW'!E21)</f>
        <v>SS 304 satin</v>
      </c>
      <c r="G226" s="56" t="str">
        <f aca="false">IF('05 Door &amp; Window HW'!$C$21="","",'05 Door &amp; Window HW'!F21)</f>
        <v>Local</v>
      </c>
      <c r="H226" s="57" t="str">
        <f aca="false">IF('05 Door &amp; Window HW'!$C$21="","",'05 Door &amp; Window HW'!G21)</f>
        <v>pair</v>
      </c>
      <c r="I226" s="58" t="n">
        <f aca="false">IF('05 Door &amp; Window HW'!$C$21="","",'05 Door &amp; Window HW'!J21)</f>
        <v>220</v>
      </c>
      <c r="J226" s="58" t="n">
        <f aca="false">IF('05 Door &amp; Window HW'!$C$21="","",'05 Door &amp; Window HW'!K21)</f>
        <v>264</v>
      </c>
      <c r="K226" s="58" t="n">
        <f aca="false">IF('05 Door &amp; Window HW'!$C$21="","",'05 Door &amp; Window HW'!L21)</f>
        <v>277.2</v>
      </c>
      <c r="L226" s="57" t="str">
        <f aca="false">IF('05 Door &amp; Window HW'!$C$21="","",'05 Door &amp; Window HW'!M21)</f>
        <v>Indicative</v>
      </c>
      <c r="M226" s="59" t="str">
        <f aca="false">IF(D226="","",IF(AND(OR(Search!$C$6="All Categories",A226=Search!$C$6),OR(Search!$P$5="",ISNUMBER(SEARCH(" "&amp;Search!$P$5,N226))),OR(Search!$P$6="",ISNUMBER(SEARCH(" "&amp;Search!$P$6,N226))),OR(Search!$P$7="",ISNUMBER(SEARCH(" "&amp;Search!$P$7,N226))),OR(Search!$P$8="",ISNUMBER(SEARCH(" "&amp;Search!$P$8,N226))),OR(Search!$P$9="",ISNUMBER(SEARCH(" "&amp;Search!$P$9,N226))),OR(Search!$P$10="",ISNUMBER(SEARCH(" "&amp;Search!$P$10,N226)))),ROW(),""))</f>
        <v/>
      </c>
      <c r="N226" s="0" t="str">
        <f aca="false">IF(D226="",""," "&amp;SUBSTITUTE(SUBSTITUTE(SUBSTITUTE(SUBSTITUTE(SUBSTITUTE(SUBSTITUTE(SUBSTITUTE(B226&amp;" "&amp;C226&amp;" "&amp;D226&amp;" "&amp;E226&amp;" "&amp;F226&amp;" "&amp;G226&amp;" "&amp;H226&amp;" "&amp;'05 Door &amp; Window HW'!R21,"("," "),")"," "),"/"," "),"-"," "),","," "),";"," "),":"," ")&amp;" ")</f>
        <v> HW 017 Handles Pull handle   H type 1200 mm  dia 32 mm SS 304 satin Local pair 1200mm 32mm ss304 sus304 door stainless steel </v>
      </c>
    </row>
    <row r="227" customFormat="false" ht="15" hidden="false" customHeight="false" outlineLevel="0" collapsed="false">
      <c r="A227" s="56" t="str">
        <f aca="false">IF('05 Door &amp; Window HW'!$C$22="","","Hardware - Doors &amp; Windows")</f>
        <v>Hardware - Doors &amp; Windows</v>
      </c>
      <c r="B227" s="57" t="str">
        <f aca="false">IF('05 Door &amp; Window HW'!$C$22="","",'05 Door &amp; Window HW'!A22)</f>
        <v>HW-018</v>
      </c>
      <c r="C227" s="56" t="str">
        <f aca="false">IF('05 Door &amp; Window HW'!$C$22="","",'05 Door &amp; Window HW'!B22)</f>
        <v>Handles</v>
      </c>
      <c r="D227" s="56" t="str">
        <f aca="false">IF('05 Door &amp; Window HW'!$C$22="","",'05 Door &amp; Window HW'!C22)</f>
        <v>Pull handle - H type</v>
      </c>
      <c r="E227" s="56" t="str">
        <f aca="false">IF('05 Door &amp; Window HW'!$C$22="","",'05 Door &amp; Window HW'!D22)</f>
        <v>1800 mm, dia 38 mm</v>
      </c>
      <c r="F227" s="56" t="str">
        <f aca="false">IF('05 Door &amp; Window HW'!$C$22="","",'05 Door &amp; Window HW'!E22)</f>
        <v>SS 316 satin</v>
      </c>
      <c r="G227" s="56" t="str">
        <f aca="false">IF('05 Door &amp; Window HW'!$C$22="","",'05 Door &amp; Window HW'!F22)</f>
        <v>Imported</v>
      </c>
      <c r="H227" s="57" t="str">
        <f aca="false">IF('05 Door &amp; Window HW'!$C$22="","",'05 Door &amp; Window HW'!G22)</f>
        <v>pair</v>
      </c>
      <c r="I227" s="58" t="n">
        <f aca="false">IF('05 Door &amp; Window HW'!$C$22="","",'05 Door &amp; Window HW'!J22)</f>
        <v>450</v>
      </c>
      <c r="J227" s="58" t="n">
        <f aca="false">IF('05 Door &amp; Window HW'!$C$22="","",'05 Door &amp; Window HW'!K22)</f>
        <v>540</v>
      </c>
      <c r="K227" s="58" t="n">
        <f aca="false">IF('05 Door &amp; Window HW'!$C$22="","",'05 Door &amp; Window HW'!L22)</f>
        <v>567</v>
      </c>
      <c r="L227" s="57" t="str">
        <f aca="false">IF('05 Door &amp; Window HW'!$C$22="","",'05 Door &amp; Window HW'!M22)</f>
        <v>Indicative</v>
      </c>
      <c r="M227" s="59" t="str">
        <f aca="false">IF(D227="","",IF(AND(OR(Search!$C$6="All Categories",A227=Search!$C$6),OR(Search!$P$5="",ISNUMBER(SEARCH(" "&amp;Search!$P$5,N227))),OR(Search!$P$6="",ISNUMBER(SEARCH(" "&amp;Search!$P$6,N227))),OR(Search!$P$7="",ISNUMBER(SEARCH(" "&amp;Search!$P$7,N227))),OR(Search!$P$8="",ISNUMBER(SEARCH(" "&amp;Search!$P$8,N227))),OR(Search!$P$9="",ISNUMBER(SEARCH(" "&amp;Search!$P$9,N227))),OR(Search!$P$10="",ISNUMBER(SEARCH(" "&amp;Search!$P$10,N227)))),ROW(),""))</f>
        <v/>
      </c>
      <c r="N227" s="0" t="str">
        <f aca="false">IF(D227="",""," "&amp;SUBSTITUTE(SUBSTITUTE(SUBSTITUTE(SUBSTITUTE(SUBSTITUTE(SUBSTITUTE(SUBSTITUTE(B227&amp;" "&amp;C227&amp;" "&amp;D227&amp;" "&amp;E227&amp;" "&amp;F227&amp;" "&amp;G227&amp;" "&amp;H227&amp;" "&amp;'05 Door &amp; Window HW'!R22,"("," "),")"," "),"/"," "),"-"," "),","," "),";"," "),":"," ")&amp;" ")</f>
        <v> HW 018 Handles Pull handle   H type 1800 mm  dia 38 mm SS 316 satin Imported pair 1800mm 38mm ss316 sus316 door stainless steel </v>
      </c>
    </row>
    <row r="228" customFormat="false" ht="15" hidden="false" customHeight="false" outlineLevel="0" collapsed="false">
      <c r="A228" s="56" t="str">
        <f aca="false">IF('05 Door &amp; Window HW'!$C$23="","","Hardware - Doors &amp; Windows")</f>
        <v>Hardware - Doors &amp; Windows</v>
      </c>
      <c r="B228" s="57" t="str">
        <f aca="false">IF('05 Door &amp; Window HW'!$C$23="","",'05 Door &amp; Window HW'!A23)</f>
        <v>HW-019</v>
      </c>
      <c r="C228" s="56" t="str">
        <f aca="false">IF('05 Door &amp; Window HW'!$C$23="","",'05 Door &amp; Window HW'!B23)</f>
        <v>Handles</v>
      </c>
      <c r="D228" s="56" t="str">
        <f aca="false">IF('05 Door &amp; Window HW'!$C$23="","",'05 Door &amp; Window HW'!C23)</f>
        <v>Lever handle set on rose</v>
      </c>
      <c r="E228" s="56" t="str">
        <f aca="false">IF('05 Door &amp; Window HW'!$C$23="","",'05 Door &amp; Window HW'!D23)</f>
        <v>-</v>
      </c>
      <c r="F228" s="56" t="str">
        <f aca="false">IF('05 Door &amp; Window HW'!$C$23="","",'05 Door &amp; Window HW'!E23)</f>
        <v>SS satin</v>
      </c>
      <c r="G228" s="56" t="str">
        <f aca="false">IF('05 Door &amp; Window HW'!$C$23="","",'05 Door &amp; Window HW'!F23)</f>
        <v>Hoppe / Equiv.</v>
      </c>
      <c r="H228" s="57" t="str">
        <f aca="false">IF('05 Door &amp; Window HW'!$C$23="","",'05 Door &amp; Window HW'!G23)</f>
        <v>set</v>
      </c>
      <c r="I228" s="58" t="n">
        <f aca="false">IF('05 Door &amp; Window HW'!$C$23="","",'05 Door &amp; Window HW'!J23)</f>
        <v>140</v>
      </c>
      <c r="J228" s="58" t="n">
        <f aca="false">IF('05 Door &amp; Window HW'!$C$23="","",'05 Door &amp; Window HW'!K23)</f>
        <v>168</v>
      </c>
      <c r="K228" s="58" t="n">
        <f aca="false">IF('05 Door &amp; Window HW'!$C$23="","",'05 Door &amp; Window HW'!L23)</f>
        <v>176.4</v>
      </c>
      <c r="L228" s="57" t="str">
        <f aca="false">IF('05 Door &amp; Window HW'!$C$23="","",'05 Door &amp; Window HW'!M23)</f>
        <v>Indicative</v>
      </c>
      <c r="M228" s="59" t="str">
        <f aca="false">IF(D228="","",IF(AND(OR(Search!$C$6="All Categories",A228=Search!$C$6),OR(Search!$P$5="",ISNUMBER(SEARCH(" "&amp;Search!$P$5,N228))),OR(Search!$P$6="",ISNUMBER(SEARCH(" "&amp;Search!$P$6,N228))),OR(Search!$P$7="",ISNUMBER(SEARCH(" "&amp;Search!$P$7,N228))),OR(Search!$P$8="",ISNUMBER(SEARCH(" "&amp;Search!$P$8,N228))),OR(Search!$P$9="",ISNUMBER(SEARCH(" "&amp;Search!$P$9,N228))),OR(Search!$P$10="",ISNUMBER(SEARCH(" "&amp;Search!$P$10,N228)))),ROW(),""))</f>
        <v/>
      </c>
      <c r="N228" s="0" t="str">
        <f aca="false">IF(D228="",""," "&amp;SUBSTITUTE(SUBSTITUTE(SUBSTITUTE(SUBSTITUTE(SUBSTITUTE(SUBSTITUTE(SUBSTITUTE(B228&amp;" "&amp;C228&amp;" "&amp;D228&amp;" "&amp;E228&amp;" "&amp;F228&amp;" "&amp;G228&amp;" "&amp;H228&amp;" "&amp;'05 Door &amp; Window HW'!R23,"("," "),")"," "),"/"," "),"-"," "),","," "),";"," "),":"," ")&amp;" ")</f>
        <v> HW 019 Handles Lever handle set on rose   SS satin Hoppe   Equiv. set door stainless steel </v>
      </c>
    </row>
    <row r="229" customFormat="false" ht="15" hidden="false" customHeight="false" outlineLevel="0" collapsed="false">
      <c r="A229" s="56" t="str">
        <f aca="false">IF('05 Door &amp; Window HW'!$C$24="","","Hardware - Doors &amp; Windows")</f>
        <v>Hardware - Doors &amp; Windows</v>
      </c>
      <c r="B229" s="57" t="str">
        <f aca="false">IF('05 Door &amp; Window HW'!$C$24="","",'05 Door &amp; Window HW'!A24)</f>
        <v>HW-020</v>
      </c>
      <c r="C229" s="56" t="str">
        <f aca="false">IF('05 Door &amp; Window HW'!$C$24="","",'05 Door &amp; Window HW'!B24)</f>
        <v>Handles</v>
      </c>
      <c r="D229" s="56" t="str">
        <f aca="false">IF('05 Door &amp; Window HW'!$C$24="","",'05 Door &amp; Window HW'!C24)</f>
        <v>Lever handle set on rose</v>
      </c>
      <c r="E229" s="56" t="str">
        <f aca="false">IF('05 Door &amp; Window HW'!$C$24="","",'05 Door &amp; Window HW'!D24)</f>
        <v>-</v>
      </c>
      <c r="F229" s="56" t="str">
        <f aca="false">IF('05 Door &amp; Window HW'!$C$24="","",'05 Door &amp; Window HW'!E24)</f>
        <v>SS satin</v>
      </c>
      <c r="G229" s="56" t="str">
        <f aca="false">IF('05 Door &amp; Window HW'!$C$24="","",'05 Door &amp; Window HW'!F24)</f>
        <v>Local / China</v>
      </c>
      <c r="H229" s="57" t="str">
        <f aca="false">IF('05 Door &amp; Window HW'!$C$24="","",'05 Door &amp; Window HW'!G24)</f>
        <v>set</v>
      </c>
      <c r="I229" s="58" t="n">
        <f aca="false">IF('05 Door &amp; Window HW'!$C$24="","",'05 Door &amp; Window HW'!J24)</f>
        <v>45</v>
      </c>
      <c r="J229" s="58" t="n">
        <f aca="false">IF('05 Door &amp; Window HW'!$C$24="","",'05 Door &amp; Window HW'!K24)</f>
        <v>54</v>
      </c>
      <c r="K229" s="58" t="n">
        <f aca="false">IF('05 Door &amp; Window HW'!$C$24="","",'05 Door &amp; Window HW'!L24)</f>
        <v>56.7</v>
      </c>
      <c r="L229" s="57" t="str">
        <f aca="false">IF('05 Door &amp; Window HW'!$C$24="","",'05 Door &amp; Window HW'!M24)</f>
        <v>Indicative</v>
      </c>
      <c r="M229" s="59" t="str">
        <f aca="false">IF(D229="","",IF(AND(OR(Search!$C$6="All Categories",A229=Search!$C$6),OR(Search!$P$5="",ISNUMBER(SEARCH(" "&amp;Search!$P$5,N229))),OR(Search!$P$6="",ISNUMBER(SEARCH(" "&amp;Search!$P$6,N229))),OR(Search!$P$7="",ISNUMBER(SEARCH(" "&amp;Search!$P$7,N229))),OR(Search!$P$8="",ISNUMBER(SEARCH(" "&amp;Search!$P$8,N229))),OR(Search!$P$9="",ISNUMBER(SEARCH(" "&amp;Search!$P$9,N229))),OR(Search!$P$10="",ISNUMBER(SEARCH(" "&amp;Search!$P$10,N229)))),ROW(),""))</f>
        <v/>
      </c>
      <c r="N229" s="0" t="str">
        <f aca="false">IF(D229="",""," "&amp;SUBSTITUTE(SUBSTITUTE(SUBSTITUTE(SUBSTITUTE(SUBSTITUTE(SUBSTITUTE(SUBSTITUTE(B229&amp;" "&amp;C229&amp;" "&amp;D229&amp;" "&amp;E229&amp;" "&amp;F229&amp;" "&amp;G229&amp;" "&amp;H229&amp;" "&amp;'05 Door &amp; Window HW'!R24,"("," "),")"," "),"/"," "),"-"," "),","," "),";"," "),":"," ")&amp;" ")</f>
        <v> HW 020 Handles Lever handle set on rose   SS satin Local   China set door stainless steel </v>
      </c>
    </row>
    <row r="230" customFormat="false" ht="15" hidden="false" customHeight="false" outlineLevel="0" collapsed="false">
      <c r="A230" s="56" t="str">
        <f aca="false">IF('05 Door &amp; Window HW'!$C$25="","","Hardware - Doors &amp; Windows")</f>
        <v>Hardware - Doors &amp; Windows</v>
      </c>
      <c r="B230" s="57" t="str">
        <f aca="false">IF('05 Door &amp; Window HW'!$C$25="","",'05 Door &amp; Window HW'!A25)</f>
        <v>HW-021</v>
      </c>
      <c r="C230" s="56" t="str">
        <f aca="false">IF('05 Door &amp; Window HW'!$C$25="","",'05 Door &amp; Window HW'!B25)</f>
        <v>Handles</v>
      </c>
      <c r="D230" s="56" t="str">
        <f aca="false">IF('05 Door &amp; Window HW'!$C$25="","",'05 Door &amp; Window HW'!C25)</f>
        <v>Window handle (casement)</v>
      </c>
      <c r="E230" s="56" t="str">
        <f aca="false">IF('05 Door &amp; Window HW'!$C$25="","",'05 Door &amp; Window HW'!D25)</f>
        <v>-</v>
      </c>
      <c r="F230" s="56" t="str">
        <f aca="false">IF('05 Door &amp; Window HW'!$C$25="","",'05 Door &amp; Window HW'!E25)</f>
        <v>Silver / Black</v>
      </c>
      <c r="G230" s="56" t="str">
        <f aca="false">IF('05 Door &amp; Window HW'!$C$25="","",'05 Door &amp; Window HW'!F25)</f>
        <v>Giesse / Savio / Equiv.</v>
      </c>
      <c r="H230" s="57" t="str">
        <f aca="false">IF('05 Door &amp; Window HW'!$C$25="","",'05 Door &amp; Window HW'!G25)</f>
        <v>nos</v>
      </c>
      <c r="I230" s="58" t="n">
        <f aca="false">IF('05 Door &amp; Window HW'!$C$25="","",'05 Door &amp; Window HW'!J25)</f>
        <v>25</v>
      </c>
      <c r="J230" s="58" t="n">
        <f aca="false">IF('05 Door &amp; Window HW'!$C$25="","",'05 Door &amp; Window HW'!K25)</f>
        <v>30</v>
      </c>
      <c r="K230" s="58" t="n">
        <f aca="false">IF('05 Door &amp; Window HW'!$C$25="","",'05 Door &amp; Window HW'!L25)</f>
        <v>31.5</v>
      </c>
      <c r="L230" s="57" t="str">
        <f aca="false">IF('05 Door &amp; Window HW'!$C$25="","",'05 Door &amp; Window HW'!M25)</f>
        <v>Indicative</v>
      </c>
      <c r="M230" s="59" t="str">
        <f aca="false">IF(D230="","",IF(AND(OR(Search!$C$6="All Categories",A230=Search!$C$6),OR(Search!$P$5="",ISNUMBER(SEARCH(" "&amp;Search!$P$5,N230))),OR(Search!$P$6="",ISNUMBER(SEARCH(" "&amp;Search!$P$6,N230))),OR(Search!$P$7="",ISNUMBER(SEARCH(" "&amp;Search!$P$7,N230))),OR(Search!$P$8="",ISNUMBER(SEARCH(" "&amp;Search!$P$8,N230))),OR(Search!$P$9="",ISNUMBER(SEARCH(" "&amp;Search!$P$9,N230))),OR(Search!$P$10="",ISNUMBER(SEARCH(" "&amp;Search!$P$10,N230)))),ROW(),""))</f>
        <v/>
      </c>
      <c r="N230" s="0" t="str">
        <f aca="false">IF(D230="",""," "&amp;SUBSTITUTE(SUBSTITUTE(SUBSTITUTE(SUBSTITUTE(SUBSTITUTE(SUBSTITUTE(SUBSTITUTE(B230&amp;" "&amp;C230&amp;" "&amp;D230&amp;" "&amp;E230&amp;" "&amp;F230&amp;" "&amp;G230&amp;" "&amp;H230&amp;" "&amp;'05 Door &amp; Window HW'!R25,"("," "),")"," "),"/"," "),"-"," "),","," "),";"," "),":"," ")&amp;" ")</f>
        <v> HW 021 Handles Window handle  casement    Silver   Black Giesse   Savio   Equiv. nos door </v>
      </c>
    </row>
    <row r="231" customFormat="false" ht="15" hidden="false" customHeight="false" outlineLevel="0" collapsed="false">
      <c r="A231" s="56" t="str">
        <f aca="false">IF('05 Door &amp; Window HW'!$C$26="","","Hardware - Doors &amp; Windows")</f>
        <v>Hardware - Doors &amp; Windows</v>
      </c>
      <c r="B231" s="57" t="str">
        <f aca="false">IF('05 Door &amp; Window HW'!$C$26="","",'05 Door &amp; Window HW'!A26)</f>
        <v>HW-022</v>
      </c>
      <c r="C231" s="56" t="str">
        <f aca="false">IF('05 Door &amp; Window HW'!$C$26="","",'05 Door &amp; Window HW'!B26)</f>
        <v>Handles</v>
      </c>
      <c r="D231" s="56" t="str">
        <f aca="false">IF('05 Door &amp; Window HW'!$C$26="","",'05 Door &amp; Window HW'!C26)</f>
        <v>Sliding door flush handle</v>
      </c>
      <c r="E231" s="56" t="str">
        <f aca="false">IF('05 Door &amp; Window HW'!$C$26="","",'05 Door &amp; Window HW'!D26)</f>
        <v>-</v>
      </c>
      <c r="F231" s="56" t="str">
        <f aca="false">IF('05 Door &amp; Window HW'!$C$26="","",'05 Door &amp; Window HW'!E26)</f>
        <v>Silver / Black</v>
      </c>
      <c r="G231" s="56" t="str">
        <f aca="false">IF('05 Door &amp; Window HW'!$C$26="","",'05 Door &amp; Window HW'!F26)</f>
        <v>Local</v>
      </c>
      <c r="H231" s="57" t="str">
        <f aca="false">IF('05 Door &amp; Window HW'!$C$26="","",'05 Door &amp; Window HW'!G26)</f>
        <v>nos</v>
      </c>
      <c r="I231" s="58" t="n">
        <f aca="false">IF('05 Door &amp; Window HW'!$C$26="","",'05 Door &amp; Window HW'!J26)</f>
        <v>18</v>
      </c>
      <c r="J231" s="58" t="n">
        <f aca="false">IF('05 Door &amp; Window HW'!$C$26="","",'05 Door &amp; Window HW'!K26)</f>
        <v>21.6</v>
      </c>
      <c r="K231" s="58" t="n">
        <f aca="false">IF('05 Door &amp; Window HW'!$C$26="","",'05 Door &amp; Window HW'!L26)</f>
        <v>22.68</v>
      </c>
      <c r="L231" s="57" t="str">
        <f aca="false">IF('05 Door &amp; Window HW'!$C$26="","",'05 Door &amp; Window HW'!M26)</f>
        <v>Indicative</v>
      </c>
      <c r="M231" s="59" t="str">
        <f aca="false">IF(D231="","",IF(AND(OR(Search!$C$6="All Categories",A231=Search!$C$6),OR(Search!$P$5="",ISNUMBER(SEARCH(" "&amp;Search!$P$5,N231))),OR(Search!$P$6="",ISNUMBER(SEARCH(" "&amp;Search!$P$6,N231))),OR(Search!$P$7="",ISNUMBER(SEARCH(" "&amp;Search!$P$7,N231))),OR(Search!$P$8="",ISNUMBER(SEARCH(" "&amp;Search!$P$8,N231))),OR(Search!$P$9="",ISNUMBER(SEARCH(" "&amp;Search!$P$9,N231))),OR(Search!$P$10="",ISNUMBER(SEARCH(" "&amp;Search!$P$10,N231)))),ROW(),""))</f>
        <v/>
      </c>
      <c r="N231" s="0" t="str">
        <f aca="false">IF(D231="",""," "&amp;SUBSTITUTE(SUBSTITUTE(SUBSTITUTE(SUBSTITUTE(SUBSTITUTE(SUBSTITUTE(SUBSTITUTE(B231&amp;" "&amp;C231&amp;" "&amp;D231&amp;" "&amp;E231&amp;" "&amp;F231&amp;" "&amp;G231&amp;" "&amp;H231&amp;" "&amp;'05 Door &amp; Window HW'!R26,"("," "),")"," "),"/"," "),"-"," "),","," "),";"," "),":"," ")&amp;" ")</f>
        <v> HW 022 Handles Sliding door flush handle   Silver   Black Local nos door </v>
      </c>
    </row>
    <row r="232" customFormat="false" ht="15" hidden="false" customHeight="false" outlineLevel="0" collapsed="false">
      <c r="A232" s="56" t="str">
        <f aca="false">IF('05 Door &amp; Window HW'!$C$27="","","Hardware - Doors &amp; Windows")</f>
        <v>Hardware - Doors &amp; Windows</v>
      </c>
      <c r="B232" s="57" t="str">
        <f aca="false">IF('05 Door &amp; Window HW'!$C$27="","",'05 Door &amp; Window HW'!A27)</f>
        <v>HW-023</v>
      </c>
      <c r="C232" s="56" t="str">
        <f aca="false">IF('05 Door &amp; Window HW'!$C$27="","",'05 Door &amp; Window HW'!B27)</f>
        <v>Hinges &amp; Pivots</v>
      </c>
      <c r="D232" s="56" t="str">
        <f aca="false">IF('05 Door &amp; Window HW'!$C$27="","",'05 Door &amp; Window HW'!C27)</f>
        <v>Aluminium door hinge (3D adjustable)</v>
      </c>
      <c r="E232" s="56" t="str">
        <f aca="false">IF('05 Door &amp; Window HW'!$C$27="","",'05 Door &amp; Window HW'!D27)</f>
        <v>Up to 100 kg</v>
      </c>
      <c r="F232" s="56" t="str">
        <f aca="false">IF('05 Door &amp; Window HW'!$C$27="","",'05 Door &amp; Window HW'!E27)</f>
        <v>Powder coated</v>
      </c>
      <c r="G232" s="56" t="str">
        <f aca="false">IF('05 Door &amp; Window HW'!$C$27="","",'05 Door &amp; Window HW'!F27)</f>
        <v>Giesse / Savio / Equiv.</v>
      </c>
      <c r="H232" s="57" t="str">
        <f aca="false">IF('05 Door &amp; Window HW'!$C$27="","",'05 Door &amp; Window HW'!G27)</f>
        <v>nos</v>
      </c>
      <c r="I232" s="58" t="n">
        <f aca="false">IF('05 Door &amp; Window HW'!$C$27="","",'05 Door &amp; Window HW'!J27)</f>
        <v>45</v>
      </c>
      <c r="J232" s="58" t="n">
        <f aca="false">IF('05 Door &amp; Window HW'!$C$27="","",'05 Door &amp; Window HW'!K27)</f>
        <v>54</v>
      </c>
      <c r="K232" s="58" t="n">
        <f aca="false">IF('05 Door &amp; Window HW'!$C$27="","",'05 Door &amp; Window HW'!L27)</f>
        <v>56.7</v>
      </c>
      <c r="L232" s="57" t="str">
        <f aca="false">IF('05 Door &amp; Window HW'!$C$27="","",'05 Door &amp; Window HW'!M27)</f>
        <v>Indicative</v>
      </c>
      <c r="M232" s="59" t="str">
        <f aca="false">IF(D232="","",IF(AND(OR(Search!$C$6="All Categories",A232=Search!$C$6),OR(Search!$P$5="",ISNUMBER(SEARCH(" "&amp;Search!$P$5,N232))),OR(Search!$P$6="",ISNUMBER(SEARCH(" "&amp;Search!$P$6,N232))),OR(Search!$P$7="",ISNUMBER(SEARCH(" "&amp;Search!$P$7,N232))),OR(Search!$P$8="",ISNUMBER(SEARCH(" "&amp;Search!$P$8,N232))),OR(Search!$P$9="",ISNUMBER(SEARCH(" "&amp;Search!$P$9,N232))),OR(Search!$P$10="",ISNUMBER(SEARCH(" "&amp;Search!$P$10,N232)))),ROW(),""))</f>
        <v/>
      </c>
      <c r="N232" s="0" t="str">
        <f aca="false">IF(D232="",""," "&amp;SUBSTITUTE(SUBSTITUTE(SUBSTITUTE(SUBSTITUTE(SUBSTITUTE(SUBSTITUTE(SUBSTITUTE(B232&amp;" "&amp;C232&amp;" "&amp;D232&amp;" "&amp;E232&amp;" "&amp;F232&amp;" "&amp;G232&amp;" "&amp;H232&amp;" "&amp;'05 Door &amp; Window HW'!R27,"("," "),")"," "),"/"," "),"-"," "),","," "),";"," "),":"," ")&amp;" ")</f>
        <v> HW 023 Hinges &amp; Pivots Aluminium door hinge  3D adjustable  Up to 100 kg Powder coated Giesse   Savio   Equiv. nos aluminum alu pc </v>
      </c>
    </row>
    <row r="233" customFormat="false" ht="15" hidden="false" customHeight="false" outlineLevel="0" collapsed="false">
      <c r="A233" s="56" t="str">
        <f aca="false">IF('05 Door &amp; Window HW'!$C$28="","","Hardware - Doors &amp; Windows")</f>
        <v>Hardware - Doors &amp; Windows</v>
      </c>
      <c r="B233" s="57" t="str">
        <f aca="false">IF('05 Door &amp; Window HW'!$C$28="","",'05 Door &amp; Window HW'!A28)</f>
        <v>HW-024</v>
      </c>
      <c r="C233" s="56" t="str">
        <f aca="false">IF('05 Door &amp; Window HW'!$C$28="","",'05 Door &amp; Window HW'!B28)</f>
        <v>Hinges &amp; Pivots</v>
      </c>
      <c r="D233" s="56" t="str">
        <f aca="false">IF('05 Door &amp; Window HW'!$C$28="","",'05 Door &amp; Window HW'!C28)</f>
        <v>Butt hinge SS</v>
      </c>
      <c r="E233" s="56" t="str">
        <f aca="false">IF('05 Door &amp; Window HW'!$C$28="","",'05 Door &amp; Window HW'!D28)</f>
        <v>100 x 75 x 3 mm</v>
      </c>
      <c r="F233" s="56" t="str">
        <f aca="false">IF('05 Door &amp; Window HW'!$C$28="","",'05 Door &amp; Window HW'!E28)</f>
        <v>SS 304</v>
      </c>
      <c r="G233" s="56" t="str">
        <f aca="false">IF('05 Door &amp; Window HW'!$C$28="","",'05 Door &amp; Window HW'!F28)</f>
        <v>Local</v>
      </c>
      <c r="H233" s="57" t="str">
        <f aca="false">IF('05 Door &amp; Window HW'!$C$28="","",'05 Door &amp; Window HW'!G28)</f>
        <v>nos</v>
      </c>
      <c r="I233" s="58" t="n">
        <f aca="false">IF('05 Door &amp; Window HW'!$C$28="","",'05 Door &amp; Window HW'!J28)</f>
        <v>15</v>
      </c>
      <c r="J233" s="58" t="n">
        <f aca="false">IF('05 Door &amp; Window HW'!$C$28="","",'05 Door &amp; Window HW'!K28)</f>
        <v>18</v>
      </c>
      <c r="K233" s="58" t="n">
        <f aca="false">IF('05 Door &amp; Window HW'!$C$28="","",'05 Door &amp; Window HW'!L28)</f>
        <v>18.9</v>
      </c>
      <c r="L233" s="57" t="str">
        <f aca="false">IF('05 Door &amp; Window HW'!$C$28="","",'05 Door &amp; Window HW'!M28)</f>
        <v>Indicative</v>
      </c>
      <c r="M233" s="59" t="str">
        <f aca="false">IF(D233="","",IF(AND(OR(Search!$C$6="All Categories",A233=Search!$C$6),OR(Search!$P$5="",ISNUMBER(SEARCH(" "&amp;Search!$P$5,N233))),OR(Search!$P$6="",ISNUMBER(SEARCH(" "&amp;Search!$P$6,N233))),OR(Search!$P$7="",ISNUMBER(SEARCH(" "&amp;Search!$P$7,N233))),OR(Search!$P$8="",ISNUMBER(SEARCH(" "&amp;Search!$P$8,N233))),OR(Search!$P$9="",ISNUMBER(SEARCH(" "&amp;Search!$P$9,N233))),OR(Search!$P$10="",ISNUMBER(SEARCH(" "&amp;Search!$P$10,N233)))),ROW(),""))</f>
        <v/>
      </c>
      <c r="N233" s="0" t="str">
        <f aca="false">IF(D233="",""," "&amp;SUBSTITUTE(SUBSTITUTE(SUBSTITUTE(SUBSTITUTE(SUBSTITUTE(SUBSTITUTE(SUBSTITUTE(B233&amp;" "&amp;C233&amp;" "&amp;D233&amp;" "&amp;E233&amp;" "&amp;F233&amp;" "&amp;G233&amp;" "&amp;H233&amp;" "&amp;'05 Door &amp; Window HW'!R28,"("," "),")"," "),"/"," "),"-"," "),","," "),";"," "),":"," ")&amp;" ")</f>
        <v> HW 024 Hinges &amp; Pivots Butt hinge SS 100 x 75 x 3 mm SS 304 Local nos 100x75 100x75x3 3mm ss304 sus304 stainless steel </v>
      </c>
    </row>
    <row r="234" customFormat="false" ht="15" hidden="false" customHeight="false" outlineLevel="0" collapsed="false">
      <c r="A234" s="56" t="str">
        <f aca="false">IF('05 Door &amp; Window HW'!$C$29="","","Hardware - Doors &amp; Windows")</f>
        <v>Hardware - Doors &amp; Windows</v>
      </c>
      <c r="B234" s="57" t="str">
        <f aca="false">IF('05 Door &amp; Window HW'!$C$29="","",'05 Door &amp; Window HW'!A29)</f>
        <v>HW-025</v>
      </c>
      <c r="C234" s="56" t="str">
        <f aca="false">IF('05 Door &amp; Window HW'!$C$29="","",'05 Door &amp; Window HW'!B29)</f>
        <v>Hinges &amp; Pivots</v>
      </c>
      <c r="D234" s="56" t="str">
        <f aca="false">IF('05 Door &amp; Window HW'!$C$29="","",'05 Door &amp; Window HW'!C29)</f>
        <v>Concealed hinge (aluminium door)</v>
      </c>
      <c r="E234" s="56" t="str">
        <f aca="false">IF('05 Door &amp; Window HW'!$C$29="","",'05 Door &amp; Window HW'!D29)</f>
        <v>Up to 80 kg</v>
      </c>
      <c r="F234" s="56" t="str">
        <f aca="false">IF('05 Door &amp; Window HW'!$C$29="","",'05 Door &amp; Window HW'!E29)</f>
        <v>-</v>
      </c>
      <c r="G234" s="56" t="str">
        <f aca="false">IF('05 Door &amp; Window HW'!$C$29="","",'05 Door &amp; Window HW'!F29)</f>
        <v>Imported</v>
      </c>
      <c r="H234" s="57" t="str">
        <f aca="false">IF('05 Door &amp; Window HW'!$C$29="","",'05 Door &amp; Window HW'!G29)</f>
        <v>nos</v>
      </c>
      <c r="I234" s="58" t="n">
        <f aca="false">IF('05 Door &amp; Window HW'!$C$29="","",'05 Door &amp; Window HW'!J29)</f>
        <v>120</v>
      </c>
      <c r="J234" s="58" t="n">
        <f aca="false">IF('05 Door &amp; Window HW'!$C$29="","",'05 Door &amp; Window HW'!K29)</f>
        <v>144</v>
      </c>
      <c r="K234" s="58" t="n">
        <f aca="false">IF('05 Door &amp; Window HW'!$C$29="","",'05 Door &amp; Window HW'!L29)</f>
        <v>151.2</v>
      </c>
      <c r="L234" s="57" t="str">
        <f aca="false">IF('05 Door &amp; Window HW'!$C$29="","",'05 Door &amp; Window HW'!M29)</f>
        <v>Indicative</v>
      </c>
      <c r="M234" s="59" t="str">
        <f aca="false">IF(D234="","",IF(AND(OR(Search!$C$6="All Categories",A234=Search!$C$6),OR(Search!$P$5="",ISNUMBER(SEARCH(" "&amp;Search!$P$5,N234))),OR(Search!$P$6="",ISNUMBER(SEARCH(" "&amp;Search!$P$6,N234))),OR(Search!$P$7="",ISNUMBER(SEARCH(" "&amp;Search!$P$7,N234))),OR(Search!$P$8="",ISNUMBER(SEARCH(" "&amp;Search!$P$8,N234))),OR(Search!$P$9="",ISNUMBER(SEARCH(" "&amp;Search!$P$9,N234))),OR(Search!$P$10="",ISNUMBER(SEARCH(" "&amp;Search!$P$10,N234)))),ROW(),""))</f>
        <v/>
      </c>
      <c r="N234" s="0" t="str">
        <f aca="false">IF(D234="",""," "&amp;SUBSTITUTE(SUBSTITUTE(SUBSTITUTE(SUBSTITUTE(SUBSTITUTE(SUBSTITUTE(SUBSTITUTE(B234&amp;" "&amp;C234&amp;" "&amp;D234&amp;" "&amp;E234&amp;" "&amp;F234&amp;" "&amp;G234&amp;" "&amp;H234&amp;" "&amp;'05 Door &amp; Window HW'!R29,"("," "),")"," "),"/"," "),"-"," "),","," "),";"," "),":"," ")&amp;" ")</f>
        <v> HW 025 Hinges &amp; Pivots Concealed hinge  aluminium door  Up to 80 kg   Imported nos aluminum alu </v>
      </c>
    </row>
    <row r="235" customFormat="false" ht="15" hidden="false" customHeight="false" outlineLevel="0" collapsed="false">
      <c r="A235" s="56" t="str">
        <f aca="false">IF('05 Door &amp; Window HW'!$C$30="","","Hardware - Doors &amp; Windows")</f>
        <v>Hardware - Doors &amp; Windows</v>
      </c>
      <c r="B235" s="57" t="str">
        <f aca="false">IF('05 Door &amp; Window HW'!$C$30="","",'05 Door &amp; Window HW'!A30)</f>
        <v>HW-026</v>
      </c>
      <c r="C235" s="56" t="str">
        <f aca="false">IF('05 Door &amp; Window HW'!$C$30="","",'05 Door &amp; Window HW'!B30)</f>
        <v>Hinges &amp; Pivots</v>
      </c>
      <c r="D235" s="56" t="str">
        <f aca="false">IF('05 Door &amp; Window HW'!$C$30="","",'05 Door &amp; Window HW'!C30)</f>
        <v>Pivot set (top &amp; bottom)</v>
      </c>
      <c r="E235" s="56" t="str">
        <f aca="false">IF('05 Door &amp; Window HW'!$C$30="","",'05 Door &amp; Window HW'!D30)</f>
        <v>Up to 250 kg</v>
      </c>
      <c r="F235" s="56" t="str">
        <f aca="false">IF('05 Door &amp; Window HW'!$C$30="","",'05 Door &amp; Window HW'!E30)</f>
        <v>SS</v>
      </c>
      <c r="G235" s="56" t="str">
        <f aca="false">IF('05 Door &amp; Window HW'!$C$30="","",'05 Door &amp; Window HW'!F30)</f>
        <v>FritsJurgens / Equiv.</v>
      </c>
      <c r="H235" s="57" t="str">
        <f aca="false">IF('05 Door &amp; Window HW'!$C$30="","",'05 Door &amp; Window HW'!G30)</f>
        <v>set</v>
      </c>
      <c r="I235" s="58" t="n">
        <f aca="false">IF('05 Door &amp; Window HW'!$C$30="","",'05 Door &amp; Window HW'!J30)</f>
        <v>1800</v>
      </c>
      <c r="J235" s="58" t="n">
        <f aca="false">IF('05 Door &amp; Window HW'!$C$30="","",'05 Door &amp; Window HW'!K30)</f>
        <v>2160</v>
      </c>
      <c r="K235" s="58" t="n">
        <f aca="false">IF('05 Door &amp; Window HW'!$C$30="","",'05 Door &amp; Window HW'!L30)</f>
        <v>2268</v>
      </c>
      <c r="L235" s="57" t="str">
        <f aca="false">IF('05 Door &amp; Window HW'!$C$30="","",'05 Door &amp; Window HW'!M30)</f>
        <v>Indicative</v>
      </c>
      <c r="M235" s="59" t="str">
        <f aca="false">IF(D235="","",IF(AND(OR(Search!$C$6="All Categories",A235=Search!$C$6),OR(Search!$P$5="",ISNUMBER(SEARCH(" "&amp;Search!$P$5,N235))),OR(Search!$P$6="",ISNUMBER(SEARCH(" "&amp;Search!$P$6,N235))),OR(Search!$P$7="",ISNUMBER(SEARCH(" "&amp;Search!$P$7,N235))),OR(Search!$P$8="",ISNUMBER(SEARCH(" "&amp;Search!$P$8,N235))),OR(Search!$P$9="",ISNUMBER(SEARCH(" "&amp;Search!$P$9,N235))),OR(Search!$P$10="",ISNUMBER(SEARCH(" "&amp;Search!$P$10,N235)))),ROW(),""))</f>
        <v/>
      </c>
      <c r="N235" s="0" t="str">
        <f aca="false">IF(D235="",""," "&amp;SUBSTITUTE(SUBSTITUTE(SUBSTITUTE(SUBSTITUTE(SUBSTITUTE(SUBSTITUTE(SUBSTITUTE(B235&amp;" "&amp;C235&amp;" "&amp;D235&amp;" "&amp;E235&amp;" "&amp;F235&amp;" "&amp;G235&amp;" "&amp;H235&amp;" "&amp;'05 Door &amp; Window HW'!R30,"("," "),")"," "),"/"," "),"-"," "),","," "),";"," "),":"," ")&amp;" ")</f>
        <v> HW 026 Hinges &amp; Pivots Pivot set  top &amp; bottom  Up to 250 kg SS FritsJurgens   Equiv. set stainless steel </v>
      </c>
    </row>
    <row r="236" customFormat="false" ht="15" hidden="false" customHeight="false" outlineLevel="0" collapsed="false">
      <c r="A236" s="56" t="str">
        <f aca="false">IF('05 Door &amp; Window HW'!$C$31="","","Hardware - Doors &amp; Windows")</f>
        <v>Hardware - Doors &amp; Windows</v>
      </c>
      <c r="B236" s="57" t="str">
        <f aca="false">IF('05 Door &amp; Window HW'!$C$31="","",'05 Door &amp; Window HW'!A31)</f>
        <v>HW-027</v>
      </c>
      <c r="C236" s="56" t="str">
        <f aca="false">IF('05 Door &amp; Window HW'!$C$31="","",'05 Door &amp; Window HW'!B31)</f>
        <v>Window Hardware</v>
      </c>
      <c r="D236" s="56" t="str">
        <f aca="false">IF('05 Door &amp; Window HW'!$C$31="","",'05 Door &amp; Window HW'!C31)</f>
        <v>Friction stay</v>
      </c>
      <c r="E236" s="56" t="str">
        <f aca="false">IF('05 Door &amp; Window HW'!$C$31="","",'05 Door &amp; Window HW'!D31)</f>
        <v>300-400 mm</v>
      </c>
      <c r="F236" s="56" t="str">
        <f aca="false">IF('05 Door &amp; Window HW'!$C$31="","",'05 Door &amp; Window HW'!E31)</f>
        <v>SS 304</v>
      </c>
      <c r="G236" s="56" t="str">
        <f aca="false">IF('05 Door &amp; Window HW'!$C$31="","",'05 Door &amp; Window HW'!F31)</f>
        <v>Local / Imported</v>
      </c>
      <c r="H236" s="57" t="str">
        <f aca="false">IF('05 Door &amp; Window HW'!$C$31="","",'05 Door &amp; Window HW'!G31)</f>
        <v>pair</v>
      </c>
      <c r="I236" s="58" t="n">
        <f aca="false">IF('05 Door &amp; Window HW'!$C$31="","",'05 Door &amp; Window HW'!J31)</f>
        <v>45</v>
      </c>
      <c r="J236" s="58" t="n">
        <f aca="false">IF('05 Door &amp; Window HW'!$C$31="","",'05 Door &amp; Window HW'!K31)</f>
        <v>54</v>
      </c>
      <c r="K236" s="58" t="n">
        <f aca="false">IF('05 Door &amp; Window HW'!$C$31="","",'05 Door &amp; Window HW'!L31)</f>
        <v>56.7</v>
      </c>
      <c r="L236" s="57" t="str">
        <f aca="false">IF('05 Door &amp; Window HW'!$C$31="","",'05 Door &amp; Window HW'!M31)</f>
        <v>Indicative</v>
      </c>
      <c r="M236" s="59" t="str">
        <f aca="false">IF(D236="","",IF(AND(OR(Search!$C$6="All Categories",A236=Search!$C$6),OR(Search!$P$5="",ISNUMBER(SEARCH(" "&amp;Search!$P$5,N236))),OR(Search!$P$6="",ISNUMBER(SEARCH(" "&amp;Search!$P$6,N236))),OR(Search!$P$7="",ISNUMBER(SEARCH(" "&amp;Search!$P$7,N236))),OR(Search!$P$8="",ISNUMBER(SEARCH(" "&amp;Search!$P$8,N236))),OR(Search!$P$9="",ISNUMBER(SEARCH(" "&amp;Search!$P$9,N236))),OR(Search!$P$10="",ISNUMBER(SEARCH(" "&amp;Search!$P$10,N236)))),ROW(),""))</f>
        <v/>
      </c>
      <c r="N236" s="0" t="str">
        <f aca="false">IF(D236="",""," "&amp;SUBSTITUTE(SUBSTITUTE(SUBSTITUTE(SUBSTITUTE(SUBSTITUTE(SUBSTITUTE(SUBSTITUTE(B236&amp;" "&amp;C236&amp;" "&amp;D236&amp;" "&amp;E236&amp;" "&amp;F236&amp;" "&amp;G236&amp;" "&amp;H236&amp;" "&amp;'05 Door &amp; Window HW'!R31,"("," "),")"," "),"/"," "),"-"," "),","," "),";"," "),":"," ")&amp;" ")</f>
        <v> HW 027 Window Hardware Friction stay 300 400 mm SS 304 Local   Imported pair 400mm ss304 sus304 stainless steel </v>
      </c>
    </row>
    <row r="237" customFormat="false" ht="15" hidden="false" customHeight="false" outlineLevel="0" collapsed="false">
      <c r="A237" s="56" t="str">
        <f aca="false">IF('05 Door &amp; Window HW'!$C$32="","","Hardware - Doors &amp; Windows")</f>
        <v>Hardware - Doors &amp; Windows</v>
      </c>
      <c r="B237" s="57" t="str">
        <f aca="false">IF('05 Door &amp; Window HW'!$C$32="","",'05 Door &amp; Window HW'!A32)</f>
        <v>HW-028</v>
      </c>
      <c r="C237" s="56" t="str">
        <f aca="false">IF('05 Door &amp; Window HW'!$C$32="","",'05 Door &amp; Window HW'!B32)</f>
        <v>Window Hardware</v>
      </c>
      <c r="D237" s="56" t="str">
        <f aca="false">IF('05 Door &amp; Window HW'!$C$32="","",'05 Door &amp; Window HW'!C32)</f>
        <v>Friction stay - heavy duty</v>
      </c>
      <c r="E237" s="56" t="str">
        <f aca="false">IF('05 Door &amp; Window HW'!$C$32="","",'05 Door &amp; Window HW'!D32)</f>
        <v>500-600 mm</v>
      </c>
      <c r="F237" s="56" t="str">
        <f aca="false">IF('05 Door &amp; Window HW'!$C$32="","",'05 Door &amp; Window HW'!E32)</f>
        <v>SS 316</v>
      </c>
      <c r="G237" s="56" t="str">
        <f aca="false">IF('05 Door &amp; Window HW'!$C$32="","",'05 Door &amp; Window HW'!F32)</f>
        <v>Imported</v>
      </c>
      <c r="H237" s="57" t="str">
        <f aca="false">IF('05 Door &amp; Window HW'!$C$32="","",'05 Door &amp; Window HW'!G32)</f>
        <v>pair</v>
      </c>
      <c r="I237" s="58" t="n">
        <f aca="false">IF('05 Door &amp; Window HW'!$C$32="","",'05 Door &amp; Window HW'!J32)</f>
        <v>95</v>
      </c>
      <c r="J237" s="58" t="n">
        <f aca="false">IF('05 Door &amp; Window HW'!$C$32="","",'05 Door &amp; Window HW'!K32)</f>
        <v>114</v>
      </c>
      <c r="K237" s="58" t="n">
        <f aca="false">IF('05 Door &amp; Window HW'!$C$32="","",'05 Door &amp; Window HW'!L32)</f>
        <v>119.7</v>
      </c>
      <c r="L237" s="57" t="str">
        <f aca="false">IF('05 Door &amp; Window HW'!$C$32="","",'05 Door &amp; Window HW'!M32)</f>
        <v>Indicative</v>
      </c>
      <c r="M237" s="59" t="str">
        <f aca="false">IF(D237="","",IF(AND(OR(Search!$C$6="All Categories",A237=Search!$C$6),OR(Search!$P$5="",ISNUMBER(SEARCH(" "&amp;Search!$P$5,N237))),OR(Search!$P$6="",ISNUMBER(SEARCH(" "&amp;Search!$P$6,N237))),OR(Search!$P$7="",ISNUMBER(SEARCH(" "&amp;Search!$P$7,N237))),OR(Search!$P$8="",ISNUMBER(SEARCH(" "&amp;Search!$P$8,N237))),OR(Search!$P$9="",ISNUMBER(SEARCH(" "&amp;Search!$P$9,N237))),OR(Search!$P$10="",ISNUMBER(SEARCH(" "&amp;Search!$P$10,N237)))),ROW(),""))</f>
        <v/>
      </c>
      <c r="N237" s="0" t="str">
        <f aca="false">IF(D237="",""," "&amp;SUBSTITUTE(SUBSTITUTE(SUBSTITUTE(SUBSTITUTE(SUBSTITUTE(SUBSTITUTE(SUBSTITUTE(B237&amp;" "&amp;C237&amp;" "&amp;D237&amp;" "&amp;E237&amp;" "&amp;F237&amp;" "&amp;G237&amp;" "&amp;H237&amp;" "&amp;'05 Door &amp; Window HW'!R32,"("," "),")"," "),"/"," "),"-"," "),","," "),";"," "),":"," ")&amp;" ")</f>
        <v> HW 028 Window Hardware Friction stay   heavy duty 500 600 mm SS 316 Imported pair 600mm ss316 sus316 stainless steel </v>
      </c>
    </row>
    <row r="238" customFormat="false" ht="15" hidden="false" customHeight="false" outlineLevel="0" collapsed="false">
      <c r="A238" s="56" t="str">
        <f aca="false">IF('05 Door &amp; Window HW'!$C$33="","","Hardware - Doors &amp; Windows")</f>
        <v>Hardware - Doors &amp; Windows</v>
      </c>
      <c r="B238" s="57" t="str">
        <f aca="false">IF('05 Door &amp; Window HW'!$C$33="","",'05 Door &amp; Window HW'!A33)</f>
        <v>HW-029</v>
      </c>
      <c r="C238" s="56" t="str">
        <f aca="false">IF('05 Door &amp; Window HW'!$C$33="","",'05 Door &amp; Window HW'!B33)</f>
        <v>Window Hardware</v>
      </c>
      <c r="D238" s="56" t="str">
        <f aca="false">IF('05 Door &amp; Window HW'!$C$33="","",'05 Door &amp; Window HW'!C33)</f>
        <v>Tilt &amp; turn hardware set</v>
      </c>
      <c r="E238" s="56" t="str">
        <f aca="false">IF('05 Door &amp; Window HW'!$C$33="","",'05 Door &amp; Window HW'!D33)</f>
        <v>Per sash</v>
      </c>
      <c r="F238" s="56" t="str">
        <f aca="false">IF('05 Door &amp; Window HW'!$C$33="","",'05 Door &amp; Window HW'!E33)</f>
        <v>-</v>
      </c>
      <c r="G238" s="56" t="str">
        <f aca="false">IF('05 Door &amp; Window HW'!$C$33="","",'05 Door &amp; Window HW'!F33)</f>
        <v>Roto / Siegenia / Equiv.</v>
      </c>
      <c r="H238" s="57" t="str">
        <f aca="false">IF('05 Door &amp; Window HW'!$C$33="","",'05 Door &amp; Window HW'!G33)</f>
        <v>set</v>
      </c>
      <c r="I238" s="58" t="n">
        <f aca="false">IF('05 Door &amp; Window HW'!$C$33="","",'05 Door &amp; Window HW'!J33)</f>
        <v>350</v>
      </c>
      <c r="J238" s="58" t="n">
        <f aca="false">IF('05 Door &amp; Window HW'!$C$33="","",'05 Door &amp; Window HW'!K33)</f>
        <v>420</v>
      </c>
      <c r="K238" s="58" t="n">
        <f aca="false">IF('05 Door &amp; Window HW'!$C$33="","",'05 Door &amp; Window HW'!L33)</f>
        <v>441</v>
      </c>
      <c r="L238" s="57" t="str">
        <f aca="false">IF('05 Door &amp; Window HW'!$C$33="","",'05 Door &amp; Window HW'!M33)</f>
        <v>Indicative</v>
      </c>
      <c r="M238" s="59" t="str">
        <f aca="false">IF(D238="","",IF(AND(OR(Search!$C$6="All Categories",A238=Search!$C$6),OR(Search!$P$5="",ISNUMBER(SEARCH(" "&amp;Search!$P$5,N238))),OR(Search!$P$6="",ISNUMBER(SEARCH(" "&amp;Search!$P$6,N238))),OR(Search!$P$7="",ISNUMBER(SEARCH(" "&amp;Search!$P$7,N238))),OR(Search!$P$8="",ISNUMBER(SEARCH(" "&amp;Search!$P$8,N238))),OR(Search!$P$9="",ISNUMBER(SEARCH(" "&amp;Search!$P$9,N238))),OR(Search!$P$10="",ISNUMBER(SEARCH(" "&amp;Search!$P$10,N238)))),ROW(),""))</f>
        <v/>
      </c>
      <c r="N238" s="0" t="str">
        <f aca="false">IF(D238="",""," "&amp;SUBSTITUTE(SUBSTITUTE(SUBSTITUTE(SUBSTITUTE(SUBSTITUTE(SUBSTITUTE(SUBSTITUTE(B238&amp;" "&amp;C238&amp;" "&amp;D238&amp;" "&amp;E238&amp;" "&amp;F238&amp;" "&amp;G238&amp;" "&amp;H238&amp;" "&amp;'05 Door &amp; Window HW'!R33,"("," "),")"," "),"/"," "),"-"," "),","," "),";"," "),":"," ")&amp;" ")</f>
        <v> HW 029 Window Hardware Tilt &amp; turn hardware set Per sash   Roto   Siegenia   Equiv. set  </v>
      </c>
    </row>
    <row r="239" customFormat="false" ht="15" hidden="false" customHeight="false" outlineLevel="0" collapsed="false">
      <c r="A239" s="56" t="str">
        <f aca="false">IF('05 Door &amp; Window HW'!$C$34="","","Hardware - Doors &amp; Windows")</f>
        <v>Hardware - Doors &amp; Windows</v>
      </c>
      <c r="B239" s="57" t="str">
        <f aca="false">IF('05 Door &amp; Window HW'!$C$34="","",'05 Door &amp; Window HW'!A34)</f>
        <v>HW-030</v>
      </c>
      <c r="C239" s="56" t="str">
        <f aca="false">IF('05 Door &amp; Window HW'!$C$34="","",'05 Door &amp; Window HW'!B34)</f>
        <v>Window Hardware</v>
      </c>
      <c r="D239" s="56" t="str">
        <f aca="false">IF('05 Door &amp; Window HW'!$C$34="","",'05 Door &amp; Window HW'!C34)</f>
        <v>Restrictor / limiter stay</v>
      </c>
      <c r="E239" s="56" t="str">
        <f aca="false">IF('05 Door &amp; Window HW'!$C$34="","",'05 Door &amp; Window HW'!D34)</f>
        <v>100 mm opening</v>
      </c>
      <c r="F239" s="56" t="str">
        <f aca="false">IF('05 Door &amp; Window HW'!$C$34="","",'05 Door &amp; Window HW'!E34)</f>
        <v>SS</v>
      </c>
      <c r="G239" s="56" t="str">
        <f aca="false">IF('05 Door &amp; Window HW'!$C$34="","",'05 Door &amp; Window HW'!F34)</f>
        <v>Local / Imported</v>
      </c>
      <c r="H239" s="57" t="str">
        <f aca="false">IF('05 Door &amp; Window HW'!$C$34="","",'05 Door &amp; Window HW'!G34)</f>
        <v>nos</v>
      </c>
      <c r="I239" s="58" t="n">
        <f aca="false">IF('05 Door &amp; Window HW'!$C$34="","",'05 Door &amp; Window HW'!J34)</f>
        <v>25</v>
      </c>
      <c r="J239" s="58" t="n">
        <f aca="false">IF('05 Door &amp; Window HW'!$C$34="","",'05 Door &amp; Window HW'!K34)</f>
        <v>30</v>
      </c>
      <c r="K239" s="58" t="n">
        <f aca="false">IF('05 Door &amp; Window HW'!$C$34="","",'05 Door &amp; Window HW'!L34)</f>
        <v>31.5</v>
      </c>
      <c r="L239" s="57" t="str">
        <f aca="false">IF('05 Door &amp; Window HW'!$C$34="","",'05 Door &amp; Window HW'!M34)</f>
        <v>Indicative</v>
      </c>
      <c r="M239" s="59" t="str">
        <f aca="false">IF(D239="","",IF(AND(OR(Search!$C$6="All Categories",A239=Search!$C$6),OR(Search!$P$5="",ISNUMBER(SEARCH(" "&amp;Search!$P$5,N239))),OR(Search!$P$6="",ISNUMBER(SEARCH(" "&amp;Search!$P$6,N239))),OR(Search!$P$7="",ISNUMBER(SEARCH(" "&amp;Search!$P$7,N239))),OR(Search!$P$8="",ISNUMBER(SEARCH(" "&amp;Search!$P$8,N239))),OR(Search!$P$9="",ISNUMBER(SEARCH(" "&amp;Search!$P$9,N239))),OR(Search!$P$10="",ISNUMBER(SEARCH(" "&amp;Search!$P$10,N239)))),ROW(),""))</f>
        <v/>
      </c>
      <c r="N239" s="0" t="str">
        <f aca="false">IF(D239="",""," "&amp;SUBSTITUTE(SUBSTITUTE(SUBSTITUTE(SUBSTITUTE(SUBSTITUTE(SUBSTITUTE(SUBSTITUTE(B239&amp;" "&amp;C239&amp;" "&amp;D239&amp;" "&amp;E239&amp;" "&amp;F239&amp;" "&amp;G239&amp;" "&amp;H239&amp;" "&amp;'05 Door &amp; Window HW'!R34,"("," "),")"," "),"/"," "),"-"," "),","," "),";"," "),":"," ")&amp;" ")</f>
        <v> HW 030 Window Hardware Restrictor   limiter stay 100 mm opening SS Local   Imported nos 100mm stainless steel </v>
      </c>
    </row>
    <row r="240" customFormat="false" ht="15" hidden="false" customHeight="false" outlineLevel="0" collapsed="false">
      <c r="A240" s="56" t="str">
        <f aca="false">IF('05 Door &amp; Window HW'!$C$35="","","Hardware - Doors &amp; Windows")</f>
        <v>Hardware - Doors &amp; Windows</v>
      </c>
      <c r="B240" s="57" t="str">
        <f aca="false">IF('05 Door &amp; Window HW'!$C$35="","",'05 Door &amp; Window HW'!A35)</f>
        <v>HW-031</v>
      </c>
      <c r="C240" s="56" t="str">
        <f aca="false">IF('05 Door &amp; Window HW'!$C$35="","",'05 Door &amp; Window HW'!B35)</f>
        <v>Window Hardware</v>
      </c>
      <c r="D240" s="56" t="str">
        <f aca="false">IF('05 Door &amp; Window HW'!$C$35="","",'05 Door &amp; Window HW'!C35)</f>
        <v>Sliding window roller</v>
      </c>
      <c r="E240" s="56" t="str">
        <f aca="false">IF('05 Door &amp; Window HW'!$C$35="","",'05 Door &amp; Window HW'!D35)</f>
        <v>Single, up to 40 kg</v>
      </c>
      <c r="F240" s="56" t="str">
        <f aca="false">IF('05 Door &amp; Window HW'!$C$35="","",'05 Door &amp; Window HW'!E35)</f>
        <v>-</v>
      </c>
      <c r="G240" s="56" t="str">
        <f aca="false">IF('05 Door &amp; Window HW'!$C$35="","",'05 Door &amp; Window HW'!F35)</f>
        <v>Local / China</v>
      </c>
      <c r="H240" s="57" t="str">
        <f aca="false">IF('05 Door &amp; Window HW'!$C$35="","",'05 Door &amp; Window HW'!G35)</f>
        <v>nos</v>
      </c>
      <c r="I240" s="58" t="n">
        <f aca="false">IF('05 Door &amp; Window HW'!$C$35="","",'05 Door &amp; Window HW'!J35)</f>
        <v>12</v>
      </c>
      <c r="J240" s="58" t="n">
        <f aca="false">IF('05 Door &amp; Window HW'!$C$35="","",'05 Door &amp; Window HW'!K35)</f>
        <v>14.4</v>
      </c>
      <c r="K240" s="58" t="n">
        <f aca="false">IF('05 Door &amp; Window HW'!$C$35="","",'05 Door &amp; Window HW'!L35)</f>
        <v>15.12</v>
      </c>
      <c r="L240" s="57" t="str">
        <f aca="false">IF('05 Door &amp; Window HW'!$C$35="","",'05 Door &amp; Window HW'!M35)</f>
        <v>Indicative</v>
      </c>
      <c r="M240" s="59" t="str">
        <f aca="false">IF(D240="","",IF(AND(OR(Search!$C$6="All Categories",A240=Search!$C$6),OR(Search!$P$5="",ISNUMBER(SEARCH(" "&amp;Search!$P$5,N240))),OR(Search!$P$6="",ISNUMBER(SEARCH(" "&amp;Search!$P$6,N240))),OR(Search!$P$7="",ISNUMBER(SEARCH(" "&amp;Search!$P$7,N240))),OR(Search!$P$8="",ISNUMBER(SEARCH(" "&amp;Search!$P$8,N240))),OR(Search!$P$9="",ISNUMBER(SEARCH(" "&amp;Search!$P$9,N240))),OR(Search!$P$10="",ISNUMBER(SEARCH(" "&amp;Search!$P$10,N240)))),ROW(),""))</f>
        <v/>
      </c>
      <c r="N240" s="0" t="str">
        <f aca="false">IF(D240="",""," "&amp;SUBSTITUTE(SUBSTITUTE(SUBSTITUTE(SUBSTITUTE(SUBSTITUTE(SUBSTITUTE(SUBSTITUTE(B240&amp;" "&amp;C240&amp;" "&amp;D240&amp;" "&amp;E240&amp;" "&amp;F240&amp;" "&amp;G240&amp;" "&amp;H240&amp;" "&amp;'05 Door &amp; Window HW'!R35,"("," "),")"," "),"/"," "),"-"," "),","," "),";"," "),":"," ")&amp;" ")</f>
        <v> HW 031 Window Hardware Sliding window roller Single  up to 40 kg   Local   China nos  </v>
      </c>
    </row>
    <row r="241" customFormat="false" ht="15" hidden="false" customHeight="false" outlineLevel="0" collapsed="false">
      <c r="A241" s="56" t="str">
        <f aca="false">IF('05 Door &amp; Window HW'!$C$36="","","Hardware - Doors &amp; Windows")</f>
        <v>Hardware - Doors &amp; Windows</v>
      </c>
      <c r="B241" s="57" t="str">
        <f aca="false">IF('05 Door &amp; Window HW'!$C$36="","",'05 Door &amp; Window HW'!A36)</f>
        <v>HW-032</v>
      </c>
      <c r="C241" s="56" t="str">
        <f aca="false">IF('05 Door &amp; Window HW'!$C$36="","",'05 Door &amp; Window HW'!B36)</f>
        <v>Window Hardware</v>
      </c>
      <c r="D241" s="56" t="str">
        <f aca="false">IF('05 Door &amp; Window HW'!$C$36="","",'05 Door &amp; Window HW'!C36)</f>
        <v>Sliding door roller - tandem</v>
      </c>
      <c r="E241" s="56" t="str">
        <f aca="false">IF('05 Door &amp; Window HW'!$C$36="","",'05 Door &amp; Window HW'!D36)</f>
        <v>Up to 150 kg</v>
      </c>
      <c r="F241" s="56" t="str">
        <f aca="false">IF('05 Door &amp; Window HW'!$C$36="","",'05 Door &amp; Window HW'!E36)</f>
        <v>SS bearing</v>
      </c>
      <c r="G241" s="56" t="str">
        <f aca="false">IF('05 Door &amp; Window HW'!$C$36="","",'05 Door &amp; Window HW'!F36)</f>
        <v>Giesse / Equiv.</v>
      </c>
      <c r="H241" s="57" t="str">
        <f aca="false">IF('05 Door &amp; Window HW'!$C$36="","",'05 Door &amp; Window HW'!G36)</f>
        <v>nos</v>
      </c>
      <c r="I241" s="58" t="n">
        <f aca="false">IF('05 Door &amp; Window HW'!$C$36="","",'05 Door &amp; Window HW'!J36)</f>
        <v>65</v>
      </c>
      <c r="J241" s="58" t="n">
        <f aca="false">IF('05 Door &amp; Window HW'!$C$36="","",'05 Door &amp; Window HW'!K36)</f>
        <v>78</v>
      </c>
      <c r="K241" s="58" t="n">
        <f aca="false">IF('05 Door &amp; Window HW'!$C$36="","",'05 Door &amp; Window HW'!L36)</f>
        <v>81.9</v>
      </c>
      <c r="L241" s="57" t="str">
        <f aca="false">IF('05 Door &amp; Window HW'!$C$36="","",'05 Door &amp; Window HW'!M36)</f>
        <v>Indicative</v>
      </c>
      <c r="M241" s="59" t="str">
        <f aca="false">IF(D241="","",IF(AND(OR(Search!$C$6="All Categories",A241=Search!$C$6),OR(Search!$P$5="",ISNUMBER(SEARCH(" "&amp;Search!$P$5,N241))),OR(Search!$P$6="",ISNUMBER(SEARCH(" "&amp;Search!$P$6,N241))),OR(Search!$P$7="",ISNUMBER(SEARCH(" "&amp;Search!$P$7,N241))),OR(Search!$P$8="",ISNUMBER(SEARCH(" "&amp;Search!$P$8,N241))),OR(Search!$P$9="",ISNUMBER(SEARCH(" "&amp;Search!$P$9,N241))),OR(Search!$P$10="",ISNUMBER(SEARCH(" "&amp;Search!$P$10,N241)))),ROW(),""))</f>
        <v/>
      </c>
      <c r="N241" s="0" t="str">
        <f aca="false">IF(D241="",""," "&amp;SUBSTITUTE(SUBSTITUTE(SUBSTITUTE(SUBSTITUTE(SUBSTITUTE(SUBSTITUTE(SUBSTITUTE(B241&amp;" "&amp;C241&amp;" "&amp;D241&amp;" "&amp;E241&amp;" "&amp;F241&amp;" "&amp;G241&amp;" "&amp;H241&amp;" "&amp;'05 Door &amp; Window HW'!R36,"("," "),")"," "),"/"," "),"-"," "),","," "),";"," "),":"," ")&amp;" ")</f>
        <v> HW 032 Window Hardware Sliding door roller   tandem Up to 150 kg SS bearing Giesse   Equiv. nos stainless steel </v>
      </c>
    </row>
    <row r="242" customFormat="false" ht="15" hidden="false" customHeight="false" outlineLevel="0" collapsed="false">
      <c r="A242" s="56" t="str">
        <f aca="false">IF('05 Door &amp; Window HW'!$C$37="","","Hardware - Doors &amp; Windows")</f>
        <v>Hardware - Doors &amp; Windows</v>
      </c>
      <c r="B242" s="57" t="str">
        <f aca="false">IF('05 Door &amp; Window HW'!$C$37="","",'05 Door &amp; Window HW'!A37)</f>
        <v>HW-033</v>
      </c>
      <c r="C242" s="56" t="str">
        <f aca="false">IF('05 Door &amp; Window HW'!$C$37="","",'05 Door &amp; Window HW'!B37)</f>
        <v>Window Hardware</v>
      </c>
      <c r="D242" s="56" t="str">
        <f aca="false">IF('05 Door &amp; Window HW'!$C$37="","",'05 Door &amp; Window HW'!C37)</f>
        <v>Lift &amp; slide hardware set</v>
      </c>
      <c r="E242" s="56" t="str">
        <f aca="false">IF('05 Door &amp; Window HW'!$C$37="","",'05 Door &amp; Window HW'!D37)</f>
        <v>Per sash, up to 300 kg</v>
      </c>
      <c r="F242" s="56" t="str">
        <f aca="false">IF('05 Door &amp; Window HW'!$C$37="","",'05 Door &amp; Window HW'!E37)</f>
        <v>-</v>
      </c>
      <c r="G242" s="56" t="str">
        <f aca="false">IF('05 Door &amp; Window HW'!$C$37="","",'05 Door &amp; Window HW'!F37)</f>
        <v>Siegenia / Roto / Equiv.</v>
      </c>
      <c r="H242" s="57" t="str">
        <f aca="false">IF('05 Door &amp; Window HW'!$C$37="","",'05 Door &amp; Window HW'!G37)</f>
        <v>set</v>
      </c>
      <c r="I242" s="58" t="n">
        <f aca="false">IF('05 Door &amp; Window HW'!$C$37="","",'05 Door &amp; Window HW'!J37)</f>
        <v>1800</v>
      </c>
      <c r="J242" s="58" t="n">
        <f aca="false">IF('05 Door &amp; Window HW'!$C$37="","",'05 Door &amp; Window HW'!K37)</f>
        <v>2160</v>
      </c>
      <c r="K242" s="58" t="n">
        <f aca="false">IF('05 Door &amp; Window HW'!$C$37="","",'05 Door &amp; Window HW'!L37)</f>
        <v>2268</v>
      </c>
      <c r="L242" s="57" t="str">
        <f aca="false">IF('05 Door &amp; Window HW'!$C$37="","",'05 Door &amp; Window HW'!M37)</f>
        <v>Indicative</v>
      </c>
      <c r="M242" s="59" t="str">
        <f aca="false">IF(D242="","",IF(AND(OR(Search!$C$6="All Categories",A242=Search!$C$6),OR(Search!$P$5="",ISNUMBER(SEARCH(" "&amp;Search!$P$5,N242))),OR(Search!$P$6="",ISNUMBER(SEARCH(" "&amp;Search!$P$6,N242))),OR(Search!$P$7="",ISNUMBER(SEARCH(" "&amp;Search!$P$7,N242))),OR(Search!$P$8="",ISNUMBER(SEARCH(" "&amp;Search!$P$8,N242))),OR(Search!$P$9="",ISNUMBER(SEARCH(" "&amp;Search!$P$9,N242))),OR(Search!$P$10="",ISNUMBER(SEARCH(" "&amp;Search!$P$10,N242)))),ROW(),""))</f>
        <v/>
      </c>
      <c r="N242" s="0" t="str">
        <f aca="false">IF(D242="",""," "&amp;SUBSTITUTE(SUBSTITUTE(SUBSTITUTE(SUBSTITUTE(SUBSTITUTE(SUBSTITUTE(SUBSTITUTE(B242&amp;" "&amp;C242&amp;" "&amp;D242&amp;" "&amp;E242&amp;" "&amp;F242&amp;" "&amp;G242&amp;" "&amp;H242&amp;" "&amp;'05 Door &amp; Window HW'!R37,"("," "),")"," "),"/"," "),"-"," "),","," "),";"," "),":"," ")&amp;" ")</f>
        <v> HW 033 Window Hardware Lift &amp; slide hardware set Per sash  up to 300 kg   Siegenia   Roto   Equiv. set  </v>
      </c>
    </row>
    <row r="243" customFormat="false" ht="15" hidden="false" customHeight="false" outlineLevel="0" collapsed="false">
      <c r="A243" s="56" t="str">
        <f aca="false">IF('05 Door &amp; Window HW'!$C$38="","","Hardware - Doors &amp; Windows")</f>
        <v>Hardware - Doors &amp; Windows</v>
      </c>
      <c r="B243" s="57" t="str">
        <f aca="false">IF('05 Door &amp; Window HW'!$C$38="","",'05 Door &amp; Window HW'!A38)</f>
        <v>HW-034</v>
      </c>
      <c r="C243" s="56" t="str">
        <f aca="false">IF('05 Door &amp; Window HW'!$C$38="","",'05 Door &amp; Window HW'!B38)</f>
        <v>Window Hardware</v>
      </c>
      <c r="D243" s="56" t="str">
        <f aca="false">IF('05 Door &amp; Window HW'!$C$38="","",'05 Door &amp; Window HW'!C38)</f>
        <v>Mosquito / insect screen (sliding)</v>
      </c>
      <c r="E243" s="56" t="str">
        <f aca="false">IF('05 Door &amp; Window HW'!$C$38="","",'05 Door &amp; Window HW'!D38)</f>
        <v>Aluminium frame + mesh</v>
      </c>
      <c r="F243" s="56" t="str">
        <f aca="false">IF('05 Door &amp; Window HW'!$C$38="","",'05 Door &amp; Window HW'!E38)</f>
        <v>PC</v>
      </c>
      <c r="G243" s="56" t="str">
        <f aca="false">IF('05 Door &amp; Window HW'!$C$38="","",'05 Door &amp; Window HW'!F38)</f>
        <v>Local</v>
      </c>
      <c r="H243" s="57" t="str">
        <f aca="false">IF('05 Door &amp; Window HW'!$C$38="","",'05 Door &amp; Window HW'!G38)</f>
        <v>m2</v>
      </c>
      <c r="I243" s="58" t="n">
        <f aca="false">IF('05 Door &amp; Window HW'!$C$38="","",'05 Door &amp; Window HW'!J38)</f>
        <v>85</v>
      </c>
      <c r="J243" s="58" t="n">
        <f aca="false">IF('05 Door &amp; Window HW'!$C$38="","",'05 Door &amp; Window HW'!K38)</f>
        <v>102</v>
      </c>
      <c r="K243" s="58" t="n">
        <f aca="false">IF('05 Door &amp; Window HW'!$C$38="","",'05 Door &amp; Window HW'!L38)</f>
        <v>107.1</v>
      </c>
      <c r="L243" s="57" t="str">
        <f aca="false">IF('05 Door &amp; Window HW'!$C$38="","",'05 Door &amp; Window HW'!M38)</f>
        <v>Indicative</v>
      </c>
      <c r="M243" s="59" t="str">
        <f aca="false">IF(D243="","",IF(AND(OR(Search!$C$6="All Categories",A243=Search!$C$6),OR(Search!$P$5="",ISNUMBER(SEARCH(" "&amp;Search!$P$5,N243))),OR(Search!$P$6="",ISNUMBER(SEARCH(" "&amp;Search!$P$6,N243))),OR(Search!$P$7="",ISNUMBER(SEARCH(" "&amp;Search!$P$7,N243))),OR(Search!$P$8="",ISNUMBER(SEARCH(" "&amp;Search!$P$8,N243))),OR(Search!$P$9="",ISNUMBER(SEARCH(" "&amp;Search!$P$9,N243))),OR(Search!$P$10="",ISNUMBER(SEARCH(" "&amp;Search!$P$10,N243)))),ROW(),""))</f>
        <v/>
      </c>
      <c r="N243" s="0" t="str">
        <f aca="false">IF(D243="",""," "&amp;SUBSTITUTE(SUBSTITUTE(SUBSTITUTE(SUBSTITUTE(SUBSTITUTE(SUBSTITUTE(SUBSTITUTE(B243&amp;" "&amp;C243&amp;" "&amp;D243&amp;" "&amp;E243&amp;" "&amp;F243&amp;" "&amp;G243&amp;" "&amp;H243&amp;" "&amp;'05 Door &amp; Window HW'!R38,"("," "),")"," "),"/"," "),"-"," "),","," "),";"," "),":"," ")&amp;" ")</f>
        <v> HW 034 Window Hardware Mosquito   insect screen  sliding  Aluminium frame + mesh PC Local m2 aluminum alu </v>
      </c>
    </row>
    <row r="244" customFormat="false" ht="15" hidden="false" customHeight="false" outlineLevel="0" collapsed="false">
      <c r="A244" s="56" t="str">
        <f aca="false">IF('05 Door &amp; Window HW'!$C$39="","","Hardware - Doors &amp; Windows")</f>
        <v>Hardware - Doors &amp; Windows</v>
      </c>
      <c r="B244" s="57" t="str">
        <f aca="false">IF('05 Door &amp; Window HW'!$C$39="","",'05 Door &amp; Window HW'!A39)</f>
        <v>HW-035</v>
      </c>
      <c r="C244" s="56" t="str">
        <f aca="false">IF('05 Door &amp; Window HW'!$C$39="","",'05 Door &amp; Window HW'!B39)</f>
        <v>Window Hardware</v>
      </c>
      <c r="D244" s="56" t="str">
        <f aca="false">IF('05 Door &amp; Window HW'!$C$39="","",'05 Door &amp; Window HW'!C39)</f>
        <v>Pleated insect screen</v>
      </c>
      <c r="E244" s="56" t="str">
        <f aca="false">IF('05 Door &amp; Window HW'!$C$39="","",'05 Door &amp; Window HW'!D39)</f>
        <v>Per m2</v>
      </c>
      <c r="F244" s="56" t="str">
        <f aca="false">IF('05 Door &amp; Window HW'!$C$39="","",'05 Door &amp; Window HW'!E39)</f>
        <v>PC</v>
      </c>
      <c r="G244" s="56" t="str">
        <f aca="false">IF('05 Door &amp; Window HW'!$C$39="","",'05 Door &amp; Window HW'!F39)</f>
        <v>Imported</v>
      </c>
      <c r="H244" s="57" t="str">
        <f aca="false">IF('05 Door &amp; Window HW'!$C$39="","",'05 Door &amp; Window HW'!G39)</f>
        <v>m2</v>
      </c>
      <c r="I244" s="58" t="n">
        <f aca="false">IF('05 Door &amp; Window HW'!$C$39="","",'05 Door &amp; Window HW'!J39)</f>
        <v>260</v>
      </c>
      <c r="J244" s="58" t="n">
        <f aca="false">IF('05 Door &amp; Window HW'!$C$39="","",'05 Door &amp; Window HW'!K39)</f>
        <v>312</v>
      </c>
      <c r="K244" s="58" t="n">
        <f aca="false">IF('05 Door &amp; Window HW'!$C$39="","",'05 Door &amp; Window HW'!L39)</f>
        <v>327.6</v>
      </c>
      <c r="L244" s="57" t="str">
        <f aca="false">IF('05 Door &amp; Window HW'!$C$39="","",'05 Door &amp; Window HW'!M39)</f>
        <v>Indicative</v>
      </c>
      <c r="M244" s="59" t="str">
        <f aca="false">IF(D244="","",IF(AND(OR(Search!$C$6="All Categories",A244=Search!$C$6),OR(Search!$P$5="",ISNUMBER(SEARCH(" "&amp;Search!$P$5,N244))),OR(Search!$P$6="",ISNUMBER(SEARCH(" "&amp;Search!$P$6,N244))),OR(Search!$P$7="",ISNUMBER(SEARCH(" "&amp;Search!$P$7,N244))),OR(Search!$P$8="",ISNUMBER(SEARCH(" "&amp;Search!$P$8,N244))),OR(Search!$P$9="",ISNUMBER(SEARCH(" "&amp;Search!$P$9,N244))),OR(Search!$P$10="",ISNUMBER(SEARCH(" "&amp;Search!$P$10,N244)))),ROW(),""))</f>
        <v/>
      </c>
      <c r="N244" s="0" t="str">
        <f aca="false">IF(D244="",""," "&amp;SUBSTITUTE(SUBSTITUTE(SUBSTITUTE(SUBSTITUTE(SUBSTITUTE(SUBSTITUTE(SUBSTITUTE(B244&amp;" "&amp;C244&amp;" "&amp;D244&amp;" "&amp;E244&amp;" "&amp;F244&amp;" "&amp;G244&amp;" "&amp;H244&amp;" "&amp;'05 Door &amp; Window HW'!R39,"("," "),")"," "),"/"," "),"-"," "),","," "),";"," "),":"," ")&amp;" ")</f>
        <v> HW 035 Window Hardware Pleated insect screen Per m2 PC Imported m2  </v>
      </c>
    </row>
    <row r="245" customFormat="false" ht="15" hidden="false" customHeight="false" outlineLevel="0" collapsed="false">
      <c r="A245" s="56" t="str">
        <f aca="false">IF('05 Door &amp; Window HW'!$C$40="","","Hardware - Doors &amp; Windows")</f>
        <v>Hardware - Doors &amp; Windows</v>
      </c>
      <c r="B245" s="57" t="str">
        <f aca="false">IF('05 Door &amp; Window HW'!$C$40="","",'05 Door &amp; Window HW'!A40)</f>
        <v>HW-036</v>
      </c>
      <c r="C245" s="56" t="str">
        <f aca="false">IF('05 Door &amp; Window HW'!$C$40="","",'05 Door &amp; Window HW'!B40)</f>
        <v>Weather Seals</v>
      </c>
      <c r="D245" s="56" t="str">
        <f aca="false">IF('05 Door &amp; Window HW'!$C$40="","",'05 Door &amp; Window HW'!C40)</f>
        <v>Brush seal (wool pile)</v>
      </c>
      <c r="E245" s="56" t="str">
        <f aca="false">IF('05 Door &amp; Window HW'!$C$40="","",'05 Door &amp; Window HW'!D40)</f>
        <v>Per lm</v>
      </c>
      <c r="F245" s="56" t="str">
        <f aca="false">IF('05 Door &amp; Window HW'!$C$40="","",'05 Door &amp; Window HW'!E40)</f>
        <v>Grey / Black</v>
      </c>
      <c r="G245" s="56" t="str">
        <f aca="false">IF('05 Door &amp; Window HW'!$C$40="","",'05 Door &amp; Window HW'!F40)</f>
        <v>Local</v>
      </c>
      <c r="H245" s="57" t="str">
        <f aca="false">IF('05 Door &amp; Window HW'!$C$40="","",'05 Door &amp; Window HW'!G40)</f>
        <v>lm</v>
      </c>
      <c r="I245" s="58" t="n">
        <f aca="false">IF('05 Door &amp; Window HW'!$C$40="","",'05 Door &amp; Window HW'!J40)</f>
        <v>1.5</v>
      </c>
      <c r="J245" s="58" t="n">
        <f aca="false">IF('05 Door &amp; Window HW'!$C$40="","",'05 Door &amp; Window HW'!K40)</f>
        <v>1.8</v>
      </c>
      <c r="K245" s="58" t="n">
        <f aca="false">IF('05 Door &amp; Window HW'!$C$40="","",'05 Door &amp; Window HW'!L40)</f>
        <v>1.89</v>
      </c>
      <c r="L245" s="57" t="str">
        <f aca="false">IF('05 Door &amp; Window HW'!$C$40="","",'05 Door &amp; Window HW'!M40)</f>
        <v>Indicative</v>
      </c>
      <c r="M245" s="59" t="str">
        <f aca="false">IF(D245="","",IF(AND(OR(Search!$C$6="All Categories",A245=Search!$C$6),OR(Search!$P$5="",ISNUMBER(SEARCH(" "&amp;Search!$P$5,N245))),OR(Search!$P$6="",ISNUMBER(SEARCH(" "&amp;Search!$P$6,N245))),OR(Search!$P$7="",ISNUMBER(SEARCH(" "&amp;Search!$P$7,N245))),OR(Search!$P$8="",ISNUMBER(SEARCH(" "&amp;Search!$P$8,N245))),OR(Search!$P$9="",ISNUMBER(SEARCH(" "&amp;Search!$P$9,N245))),OR(Search!$P$10="",ISNUMBER(SEARCH(" "&amp;Search!$P$10,N245)))),ROW(),""))</f>
        <v/>
      </c>
      <c r="N245" s="0" t="str">
        <f aca="false">IF(D245="",""," "&amp;SUBSTITUTE(SUBSTITUTE(SUBSTITUTE(SUBSTITUTE(SUBSTITUTE(SUBSTITUTE(SUBSTITUTE(B245&amp;" "&amp;C245&amp;" "&amp;D245&amp;" "&amp;E245&amp;" "&amp;F245&amp;" "&amp;G245&amp;" "&amp;H245&amp;" "&amp;'05 Door &amp; Window HW'!R40,"("," "),")"," "),"/"," "),"-"," "),","," "),";"," "),":"," ")&amp;" ")</f>
        <v> HW 036 Weather Seals Brush seal  wool pile  Per lm Grey   Black Local lm  </v>
      </c>
    </row>
    <row r="246" customFormat="false" ht="15" hidden="false" customHeight="false" outlineLevel="0" collapsed="false">
      <c r="A246" s="56" t="str">
        <f aca="false">IF('05 Door &amp; Window HW'!$C$41="","","Hardware - Doors &amp; Windows")</f>
        <v>Hardware - Doors &amp; Windows</v>
      </c>
      <c r="B246" s="57" t="str">
        <f aca="false">IF('05 Door &amp; Window HW'!$C$41="","",'05 Door &amp; Window HW'!A41)</f>
        <v>HW-037</v>
      </c>
      <c r="C246" s="56" t="str">
        <f aca="false">IF('05 Door &amp; Window HW'!$C$41="","",'05 Door &amp; Window HW'!B41)</f>
        <v>Weather Seals</v>
      </c>
      <c r="D246" s="56" t="str">
        <f aca="false">IF('05 Door &amp; Window HW'!$C$41="","",'05 Door &amp; Window HW'!C41)</f>
        <v>Automatic door bottom seal</v>
      </c>
      <c r="E246" s="56" t="str">
        <f aca="false">IF('05 Door &amp; Window HW'!$C$41="","",'05 Door &amp; Window HW'!D41)</f>
        <v>Per door</v>
      </c>
      <c r="F246" s="56" t="str">
        <f aca="false">IF('05 Door &amp; Window HW'!$C$41="","",'05 Door &amp; Window HW'!E41)</f>
        <v>-</v>
      </c>
      <c r="G246" s="56" t="str">
        <f aca="false">IF('05 Door &amp; Window HW'!$C$41="","",'05 Door &amp; Window HW'!F41)</f>
        <v>Local / Imported</v>
      </c>
      <c r="H246" s="57" t="str">
        <f aca="false">IF('05 Door &amp; Window HW'!$C$41="","",'05 Door &amp; Window HW'!G41)</f>
        <v>nos</v>
      </c>
      <c r="I246" s="58" t="n">
        <f aca="false">IF('05 Door &amp; Window HW'!$C$41="","",'05 Door &amp; Window HW'!J41)</f>
        <v>120</v>
      </c>
      <c r="J246" s="58" t="n">
        <f aca="false">IF('05 Door &amp; Window HW'!$C$41="","",'05 Door &amp; Window HW'!K41)</f>
        <v>144</v>
      </c>
      <c r="K246" s="58" t="n">
        <f aca="false">IF('05 Door &amp; Window HW'!$C$41="","",'05 Door &amp; Window HW'!L41)</f>
        <v>151.2</v>
      </c>
      <c r="L246" s="57" t="str">
        <f aca="false">IF('05 Door &amp; Window HW'!$C$41="","",'05 Door &amp; Window HW'!M41)</f>
        <v>Indicative</v>
      </c>
      <c r="M246" s="59" t="str">
        <f aca="false">IF(D246="","",IF(AND(OR(Search!$C$6="All Categories",A246=Search!$C$6),OR(Search!$P$5="",ISNUMBER(SEARCH(" "&amp;Search!$P$5,N246))),OR(Search!$P$6="",ISNUMBER(SEARCH(" "&amp;Search!$P$6,N246))),OR(Search!$P$7="",ISNUMBER(SEARCH(" "&amp;Search!$P$7,N246))),OR(Search!$P$8="",ISNUMBER(SEARCH(" "&amp;Search!$P$8,N246))),OR(Search!$P$9="",ISNUMBER(SEARCH(" "&amp;Search!$P$9,N246))),OR(Search!$P$10="",ISNUMBER(SEARCH(" "&amp;Search!$P$10,N246)))),ROW(),""))</f>
        <v/>
      </c>
      <c r="N246" s="0" t="str">
        <f aca="false">IF(D246="",""," "&amp;SUBSTITUTE(SUBSTITUTE(SUBSTITUTE(SUBSTITUTE(SUBSTITUTE(SUBSTITUTE(SUBSTITUTE(B246&amp;" "&amp;C246&amp;" "&amp;D246&amp;" "&amp;E246&amp;" "&amp;F246&amp;" "&amp;G246&amp;" "&amp;H246&amp;" "&amp;'05 Door &amp; Window HW'!R41,"("," "),")"," "),"/"," "),"-"," "),","," "),";"," "),":"," ")&amp;" ")</f>
        <v> HW 037 Weather Seals Automatic door bottom seal Per door   Local   Imported nos  </v>
      </c>
    </row>
    <row r="247" customFormat="false" ht="15" hidden="false" customHeight="false" outlineLevel="0" collapsed="false">
      <c r="A247" s="56" t="str">
        <f aca="false">IF('05 Door &amp; Window HW'!$C$42="","","Hardware - Doors &amp; Windows")</f>
        <v>Hardware - Doors &amp; Windows</v>
      </c>
      <c r="B247" s="57" t="str">
        <f aca="false">IF('05 Door &amp; Window HW'!$C$42="","",'05 Door &amp; Window HW'!A42)</f>
        <v>HW-038</v>
      </c>
      <c r="C247" s="56" t="str">
        <f aca="false">IF('05 Door &amp; Window HW'!$C$42="","",'05 Door &amp; Window HW'!B42)</f>
        <v>Weather Seals</v>
      </c>
      <c r="D247" s="56" t="str">
        <f aca="false">IF('05 Door &amp; Window HW'!$C$42="","",'05 Door &amp; Window HW'!C42)</f>
        <v>Aluminium threshold with seal</v>
      </c>
      <c r="E247" s="56" t="str">
        <f aca="false">IF('05 Door &amp; Window HW'!$C$42="","",'05 Door &amp; Window HW'!D42)</f>
        <v>Per lm</v>
      </c>
      <c r="F247" s="56" t="str">
        <f aca="false">IF('05 Door &amp; Window HW'!$C$42="","",'05 Door &amp; Window HW'!E42)</f>
        <v>Anodized</v>
      </c>
      <c r="G247" s="56" t="str">
        <f aca="false">IF('05 Door &amp; Window HW'!$C$42="","",'05 Door &amp; Window HW'!F42)</f>
        <v>Local</v>
      </c>
      <c r="H247" s="57" t="str">
        <f aca="false">IF('05 Door &amp; Window HW'!$C$42="","",'05 Door &amp; Window HW'!G42)</f>
        <v>lm</v>
      </c>
      <c r="I247" s="58" t="n">
        <f aca="false">IF('05 Door &amp; Window HW'!$C$42="","",'05 Door &amp; Window HW'!J42)</f>
        <v>45</v>
      </c>
      <c r="J247" s="58" t="n">
        <f aca="false">IF('05 Door &amp; Window HW'!$C$42="","",'05 Door &amp; Window HW'!K42)</f>
        <v>54</v>
      </c>
      <c r="K247" s="58" t="n">
        <f aca="false">IF('05 Door &amp; Window HW'!$C$42="","",'05 Door &amp; Window HW'!L42)</f>
        <v>56.7</v>
      </c>
      <c r="L247" s="57" t="str">
        <f aca="false">IF('05 Door &amp; Window HW'!$C$42="","",'05 Door &amp; Window HW'!M42)</f>
        <v>Indicative</v>
      </c>
      <c r="M247" s="59" t="str">
        <f aca="false">IF(D247="","",IF(AND(OR(Search!$C$6="All Categories",A247=Search!$C$6),OR(Search!$P$5="",ISNUMBER(SEARCH(" "&amp;Search!$P$5,N247))),OR(Search!$P$6="",ISNUMBER(SEARCH(" "&amp;Search!$P$6,N247))),OR(Search!$P$7="",ISNUMBER(SEARCH(" "&amp;Search!$P$7,N247))),OR(Search!$P$8="",ISNUMBER(SEARCH(" "&amp;Search!$P$8,N247))),OR(Search!$P$9="",ISNUMBER(SEARCH(" "&amp;Search!$P$9,N247))),OR(Search!$P$10="",ISNUMBER(SEARCH(" "&amp;Search!$P$10,N247)))),ROW(),""))</f>
        <v/>
      </c>
      <c r="N247" s="0" t="str">
        <f aca="false">IF(D247="",""," "&amp;SUBSTITUTE(SUBSTITUTE(SUBSTITUTE(SUBSTITUTE(SUBSTITUTE(SUBSTITUTE(SUBSTITUTE(B247&amp;" "&amp;C247&amp;" "&amp;D247&amp;" "&amp;E247&amp;" "&amp;F247&amp;" "&amp;G247&amp;" "&amp;H247&amp;" "&amp;'05 Door &amp; Window HW'!R42,"("," "),")"," "),"/"," "),"-"," "),","," "),";"," "),":"," ")&amp;" ")</f>
        <v> HW 038 Weather Seals Aluminium threshold with seal Per lm Anodized Local lm aluminum alu </v>
      </c>
    </row>
    <row r="248" customFormat="false" ht="15" hidden="false" customHeight="false" outlineLevel="0" collapsed="false">
      <c r="A248" s="56" t="str">
        <f aca="false">IF('05 Door &amp; Window HW'!$C$43="","","Hardware - Doors &amp; Windows")</f>
        <v/>
      </c>
      <c r="B248" s="57" t="str">
        <f aca="false">IF('05 Door &amp; Window HW'!$C$43="","",'05 Door &amp; Window HW'!A43)</f>
        <v/>
      </c>
      <c r="C248" s="56" t="str">
        <f aca="false">IF('05 Door &amp; Window HW'!$C$43="","",'05 Door &amp; Window HW'!B43)</f>
        <v/>
      </c>
      <c r="D248" s="56" t="str">
        <f aca="false">IF('05 Door &amp; Window HW'!$C$43="","",'05 Door &amp; Window HW'!C43)</f>
        <v/>
      </c>
      <c r="E248" s="56" t="str">
        <f aca="false">IF('05 Door &amp; Window HW'!$C$43="","",'05 Door &amp; Window HW'!D43)</f>
        <v/>
      </c>
      <c r="F248" s="56" t="str">
        <f aca="false">IF('05 Door &amp; Window HW'!$C$43="","",'05 Door &amp; Window HW'!E43)</f>
        <v/>
      </c>
      <c r="G248" s="56" t="str">
        <f aca="false">IF('05 Door &amp; Window HW'!$C$43="","",'05 Door &amp; Window HW'!F43)</f>
        <v/>
      </c>
      <c r="H248" s="57" t="str">
        <f aca="false">IF('05 Door &amp; Window HW'!$C$43="","",'05 Door &amp; Window HW'!G43)</f>
        <v/>
      </c>
      <c r="I248" s="58" t="str">
        <f aca="false">IF('05 Door &amp; Window HW'!$C$43="","",'05 Door &amp; Window HW'!J43)</f>
        <v/>
      </c>
      <c r="J248" s="58" t="str">
        <f aca="false">IF('05 Door &amp; Window HW'!$C$43="","",'05 Door &amp; Window HW'!K43)</f>
        <v/>
      </c>
      <c r="K248" s="58" t="str">
        <f aca="false">IF('05 Door &amp; Window HW'!$C$43="","",'05 Door &amp; Window HW'!L43)</f>
        <v/>
      </c>
      <c r="L248" s="57" t="str">
        <f aca="false">IF('05 Door &amp; Window HW'!$C$43="","",'05 Door &amp; Window HW'!M43)</f>
        <v/>
      </c>
      <c r="M248" s="59" t="str">
        <f aca="false">IF(D248="","",IF(AND(OR(Search!$C$6="All Categories",A248=Search!$C$6),OR(Search!$P$5="",ISNUMBER(SEARCH(" "&amp;Search!$P$5,N248))),OR(Search!$P$6="",ISNUMBER(SEARCH(" "&amp;Search!$P$6,N248))),OR(Search!$P$7="",ISNUMBER(SEARCH(" "&amp;Search!$P$7,N248))),OR(Search!$P$8="",ISNUMBER(SEARCH(" "&amp;Search!$P$8,N248))),OR(Search!$P$9="",ISNUMBER(SEARCH(" "&amp;Search!$P$9,N248))),OR(Search!$P$10="",ISNUMBER(SEARCH(" "&amp;Search!$P$10,N248)))),ROW(),""))</f>
        <v/>
      </c>
      <c r="N248" s="0" t="str">
        <f aca="false">IF(D248="",""," "&amp;SUBSTITUTE(SUBSTITUTE(SUBSTITUTE(SUBSTITUTE(SUBSTITUTE(SUBSTITUTE(SUBSTITUTE(B248&amp;" "&amp;C248&amp;" "&amp;D248&amp;" "&amp;E248&amp;" "&amp;F248&amp;" "&amp;G248&amp;" "&amp;H248&amp;" "&amp;'05 Door &amp; Window HW'!R43,"("," "),")"," "),"/"," "),"-"," "),","," "),";"," "),":"," ")&amp;" ")</f>
        <v/>
      </c>
    </row>
    <row r="249" customFormat="false" ht="15" hidden="false" customHeight="false" outlineLevel="0" collapsed="false">
      <c r="A249" s="56" t="str">
        <f aca="false">IF('05 Door &amp; Window HW'!$C$44="","","Hardware - Doors &amp; Windows")</f>
        <v/>
      </c>
      <c r="B249" s="57" t="str">
        <f aca="false">IF('05 Door &amp; Window HW'!$C$44="","",'05 Door &amp; Window HW'!A44)</f>
        <v/>
      </c>
      <c r="C249" s="56" t="str">
        <f aca="false">IF('05 Door &amp; Window HW'!$C$44="","",'05 Door &amp; Window HW'!B44)</f>
        <v/>
      </c>
      <c r="D249" s="56" t="str">
        <f aca="false">IF('05 Door &amp; Window HW'!$C$44="","",'05 Door &amp; Window HW'!C44)</f>
        <v/>
      </c>
      <c r="E249" s="56" t="str">
        <f aca="false">IF('05 Door &amp; Window HW'!$C$44="","",'05 Door &amp; Window HW'!D44)</f>
        <v/>
      </c>
      <c r="F249" s="56" t="str">
        <f aca="false">IF('05 Door &amp; Window HW'!$C$44="","",'05 Door &amp; Window HW'!E44)</f>
        <v/>
      </c>
      <c r="G249" s="56" t="str">
        <f aca="false">IF('05 Door &amp; Window HW'!$C$44="","",'05 Door &amp; Window HW'!F44)</f>
        <v/>
      </c>
      <c r="H249" s="57" t="str">
        <f aca="false">IF('05 Door &amp; Window HW'!$C$44="","",'05 Door &amp; Window HW'!G44)</f>
        <v/>
      </c>
      <c r="I249" s="58" t="str">
        <f aca="false">IF('05 Door &amp; Window HW'!$C$44="","",'05 Door &amp; Window HW'!J44)</f>
        <v/>
      </c>
      <c r="J249" s="58" t="str">
        <f aca="false">IF('05 Door &amp; Window HW'!$C$44="","",'05 Door &amp; Window HW'!K44)</f>
        <v/>
      </c>
      <c r="K249" s="58" t="str">
        <f aca="false">IF('05 Door &amp; Window HW'!$C$44="","",'05 Door &amp; Window HW'!L44)</f>
        <v/>
      </c>
      <c r="L249" s="57" t="str">
        <f aca="false">IF('05 Door &amp; Window HW'!$C$44="","",'05 Door &amp; Window HW'!M44)</f>
        <v/>
      </c>
      <c r="M249" s="59" t="str">
        <f aca="false">IF(D249="","",IF(AND(OR(Search!$C$6="All Categories",A249=Search!$C$6),OR(Search!$P$5="",ISNUMBER(SEARCH(" "&amp;Search!$P$5,N249))),OR(Search!$P$6="",ISNUMBER(SEARCH(" "&amp;Search!$P$6,N249))),OR(Search!$P$7="",ISNUMBER(SEARCH(" "&amp;Search!$P$7,N249))),OR(Search!$P$8="",ISNUMBER(SEARCH(" "&amp;Search!$P$8,N249))),OR(Search!$P$9="",ISNUMBER(SEARCH(" "&amp;Search!$P$9,N249))),OR(Search!$P$10="",ISNUMBER(SEARCH(" "&amp;Search!$P$10,N249)))),ROW(),""))</f>
        <v/>
      </c>
      <c r="N249" s="0" t="str">
        <f aca="false">IF(D249="",""," "&amp;SUBSTITUTE(SUBSTITUTE(SUBSTITUTE(SUBSTITUTE(SUBSTITUTE(SUBSTITUTE(SUBSTITUTE(B249&amp;" "&amp;C249&amp;" "&amp;D249&amp;" "&amp;E249&amp;" "&amp;F249&amp;" "&amp;G249&amp;" "&amp;H249&amp;" "&amp;'05 Door &amp; Window HW'!R44,"("," "),")"," "),"/"," "),"-"," "),","," "),";"," "),":"," ")&amp;" ")</f>
        <v/>
      </c>
    </row>
    <row r="250" customFormat="false" ht="15" hidden="false" customHeight="false" outlineLevel="0" collapsed="false">
      <c r="A250" s="56" t="str">
        <f aca="false">IF('05 Door &amp; Window HW'!$C$45="","","Hardware - Doors &amp; Windows")</f>
        <v/>
      </c>
      <c r="B250" s="57" t="str">
        <f aca="false">IF('05 Door &amp; Window HW'!$C$45="","",'05 Door &amp; Window HW'!A45)</f>
        <v/>
      </c>
      <c r="C250" s="56" t="str">
        <f aca="false">IF('05 Door &amp; Window HW'!$C$45="","",'05 Door &amp; Window HW'!B45)</f>
        <v/>
      </c>
      <c r="D250" s="56" t="str">
        <f aca="false">IF('05 Door &amp; Window HW'!$C$45="","",'05 Door &amp; Window HW'!C45)</f>
        <v/>
      </c>
      <c r="E250" s="56" t="str">
        <f aca="false">IF('05 Door &amp; Window HW'!$C$45="","",'05 Door &amp; Window HW'!D45)</f>
        <v/>
      </c>
      <c r="F250" s="56" t="str">
        <f aca="false">IF('05 Door &amp; Window HW'!$C$45="","",'05 Door &amp; Window HW'!E45)</f>
        <v/>
      </c>
      <c r="G250" s="56" t="str">
        <f aca="false">IF('05 Door &amp; Window HW'!$C$45="","",'05 Door &amp; Window HW'!F45)</f>
        <v/>
      </c>
      <c r="H250" s="57" t="str">
        <f aca="false">IF('05 Door &amp; Window HW'!$C$45="","",'05 Door &amp; Window HW'!G45)</f>
        <v/>
      </c>
      <c r="I250" s="58" t="str">
        <f aca="false">IF('05 Door &amp; Window HW'!$C$45="","",'05 Door &amp; Window HW'!J45)</f>
        <v/>
      </c>
      <c r="J250" s="58" t="str">
        <f aca="false">IF('05 Door &amp; Window HW'!$C$45="","",'05 Door &amp; Window HW'!K45)</f>
        <v/>
      </c>
      <c r="K250" s="58" t="str">
        <f aca="false">IF('05 Door &amp; Window HW'!$C$45="","",'05 Door &amp; Window HW'!L45)</f>
        <v/>
      </c>
      <c r="L250" s="57" t="str">
        <f aca="false">IF('05 Door &amp; Window HW'!$C$45="","",'05 Door &amp; Window HW'!M45)</f>
        <v/>
      </c>
      <c r="M250" s="59" t="str">
        <f aca="false">IF(D250="","",IF(AND(OR(Search!$C$6="All Categories",A250=Search!$C$6),OR(Search!$P$5="",ISNUMBER(SEARCH(" "&amp;Search!$P$5,N250))),OR(Search!$P$6="",ISNUMBER(SEARCH(" "&amp;Search!$P$6,N250))),OR(Search!$P$7="",ISNUMBER(SEARCH(" "&amp;Search!$P$7,N250))),OR(Search!$P$8="",ISNUMBER(SEARCH(" "&amp;Search!$P$8,N250))),OR(Search!$P$9="",ISNUMBER(SEARCH(" "&amp;Search!$P$9,N250))),OR(Search!$P$10="",ISNUMBER(SEARCH(" "&amp;Search!$P$10,N250)))),ROW(),""))</f>
        <v/>
      </c>
      <c r="N250" s="0" t="str">
        <f aca="false">IF(D250="",""," "&amp;SUBSTITUTE(SUBSTITUTE(SUBSTITUTE(SUBSTITUTE(SUBSTITUTE(SUBSTITUTE(SUBSTITUTE(B250&amp;" "&amp;C250&amp;" "&amp;D250&amp;" "&amp;E250&amp;" "&amp;F250&amp;" "&amp;G250&amp;" "&amp;H250&amp;" "&amp;'05 Door &amp; Window HW'!R45,"("," "),")"," "),"/"," "),"-"," "),","," "),";"," "),":"," ")&amp;" ")</f>
        <v/>
      </c>
    </row>
    <row r="251" customFormat="false" ht="15" hidden="false" customHeight="false" outlineLevel="0" collapsed="false">
      <c r="A251" s="56" t="str">
        <f aca="false">IF('05 Door &amp; Window HW'!$C$46="","","Hardware - Doors &amp; Windows")</f>
        <v/>
      </c>
      <c r="B251" s="57" t="str">
        <f aca="false">IF('05 Door &amp; Window HW'!$C$46="","",'05 Door &amp; Window HW'!A46)</f>
        <v/>
      </c>
      <c r="C251" s="56" t="str">
        <f aca="false">IF('05 Door &amp; Window HW'!$C$46="","",'05 Door &amp; Window HW'!B46)</f>
        <v/>
      </c>
      <c r="D251" s="56" t="str">
        <f aca="false">IF('05 Door &amp; Window HW'!$C$46="","",'05 Door &amp; Window HW'!C46)</f>
        <v/>
      </c>
      <c r="E251" s="56" t="str">
        <f aca="false">IF('05 Door &amp; Window HW'!$C$46="","",'05 Door &amp; Window HW'!D46)</f>
        <v/>
      </c>
      <c r="F251" s="56" t="str">
        <f aca="false">IF('05 Door &amp; Window HW'!$C$46="","",'05 Door &amp; Window HW'!E46)</f>
        <v/>
      </c>
      <c r="G251" s="56" t="str">
        <f aca="false">IF('05 Door &amp; Window HW'!$C$46="","",'05 Door &amp; Window HW'!F46)</f>
        <v/>
      </c>
      <c r="H251" s="57" t="str">
        <f aca="false">IF('05 Door &amp; Window HW'!$C$46="","",'05 Door &amp; Window HW'!G46)</f>
        <v/>
      </c>
      <c r="I251" s="58" t="str">
        <f aca="false">IF('05 Door &amp; Window HW'!$C$46="","",'05 Door &amp; Window HW'!J46)</f>
        <v/>
      </c>
      <c r="J251" s="58" t="str">
        <f aca="false">IF('05 Door &amp; Window HW'!$C$46="","",'05 Door &amp; Window HW'!K46)</f>
        <v/>
      </c>
      <c r="K251" s="58" t="str">
        <f aca="false">IF('05 Door &amp; Window HW'!$C$46="","",'05 Door &amp; Window HW'!L46)</f>
        <v/>
      </c>
      <c r="L251" s="57" t="str">
        <f aca="false">IF('05 Door &amp; Window HW'!$C$46="","",'05 Door &amp; Window HW'!M46)</f>
        <v/>
      </c>
      <c r="M251" s="59" t="str">
        <f aca="false">IF(D251="","",IF(AND(OR(Search!$C$6="All Categories",A251=Search!$C$6),OR(Search!$P$5="",ISNUMBER(SEARCH(" "&amp;Search!$P$5,N251))),OR(Search!$P$6="",ISNUMBER(SEARCH(" "&amp;Search!$P$6,N251))),OR(Search!$P$7="",ISNUMBER(SEARCH(" "&amp;Search!$P$7,N251))),OR(Search!$P$8="",ISNUMBER(SEARCH(" "&amp;Search!$P$8,N251))),OR(Search!$P$9="",ISNUMBER(SEARCH(" "&amp;Search!$P$9,N251))),OR(Search!$P$10="",ISNUMBER(SEARCH(" "&amp;Search!$P$10,N251)))),ROW(),""))</f>
        <v/>
      </c>
      <c r="N251" s="0" t="str">
        <f aca="false">IF(D251="",""," "&amp;SUBSTITUTE(SUBSTITUTE(SUBSTITUTE(SUBSTITUTE(SUBSTITUTE(SUBSTITUTE(SUBSTITUTE(B251&amp;" "&amp;C251&amp;" "&amp;D251&amp;" "&amp;E251&amp;" "&amp;F251&amp;" "&amp;G251&amp;" "&amp;H251&amp;" "&amp;'05 Door &amp; Window HW'!R46,"("," "),")"," "),"/"," "),"-"," "),","," "),";"," "),":"," ")&amp;" ")</f>
        <v/>
      </c>
    </row>
    <row r="252" customFormat="false" ht="15" hidden="false" customHeight="false" outlineLevel="0" collapsed="false">
      <c r="A252" s="56" t="str">
        <f aca="false">IF('05 Door &amp; Window HW'!$C$47="","","Hardware - Doors &amp; Windows")</f>
        <v/>
      </c>
      <c r="B252" s="57" t="str">
        <f aca="false">IF('05 Door &amp; Window HW'!$C$47="","",'05 Door &amp; Window HW'!A47)</f>
        <v/>
      </c>
      <c r="C252" s="56" t="str">
        <f aca="false">IF('05 Door &amp; Window HW'!$C$47="","",'05 Door &amp; Window HW'!B47)</f>
        <v/>
      </c>
      <c r="D252" s="56" t="str">
        <f aca="false">IF('05 Door &amp; Window HW'!$C$47="","",'05 Door &amp; Window HW'!C47)</f>
        <v/>
      </c>
      <c r="E252" s="56" t="str">
        <f aca="false">IF('05 Door &amp; Window HW'!$C$47="","",'05 Door &amp; Window HW'!D47)</f>
        <v/>
      </c>
      <c r="F252" s="56" t="str">
        <f aca="false">IF('05 Door &amp; Window HW'!$C$47="","",'05 Door &amp; Window HW'!E47)</f>
        <v/>
      </c>
      <c r="G252" s="56" t="str">
        <f aca="false">IF('05 Door &amp; Window HW'!$C$47="","",'05 Door &amp; Window HW'!F47)</f>
        <v/>
      </c>
      <c r="H252" s="57" t="str">
        <f aca="false">IF('05 Door &amp; Window HW'!$C$47="","",'05 Door &amp; Window HW'!G47)</f>
        <v/>
      </c>
      <c r="I252" s="58" t="str">
        <f aca="false">IF('05 Door &amp; Window HW'!$C$47="","",'05 Door &amp; Window HW'!J47)</f>
        <v/>
      </c>
      <c r="J252" s="58" t="str">
        <f aca="false">IF('05 Door &amp; Window HW'!$C$47="","",'05 Door &amp; Window HW'!K47)</f>
        <v/>
      </c>
      <c r="K252" s="58" t="str">
        <f aca="false">IF('05 Door &amp; Window HW'!$C$47="","",'05 Door &amp; Window HW'!L47)</f>
        <v/>
      </c>
      <c r="L252" s="57" t="str">
        <f aca="false">IF('05 Door &amp; Window HW'!$C$47="","",'05 Door &amp; Window HW'!M47)</f>
        <v/>
      </c>
      <c r="M252" s="59" t="str">
        <f aca="false">IF(D252="","",IF(AND(OR(Search!$C$6="All Categories",A252=Search!$C$6),OR(Search!$P$5="",ISNUMBER(SEARCH(" "&amp;Search!$P$5,N252))),OR(Search!$P$6="",ISNUMBER(SEARCH(" "&amp;Search!$P$6,N252))),OR(Search!$P$7="",ISNUMBER(SEARCH(" "&amp;Search!$P$7,N252))),OR(Search!$P$8="",ISNUMBER(SEARCH(" "&amp;Search!$P$8,N252))),OR(Search!$P$9="",ISNUMBER(SEARCH(" "&amp;Search!$P$9,N252))),OR(Search!$P$10="",ISNUMBER(SEARCH(" "&amp;Search!$P$10,N252)))),ROW(),""))</f>
        <v/>
      </c>
      <c r="N252" s="0" t="str">
        <f aca="false">IF(D252="",""," "&amp;SUBSTITUTE(SUBSTITUTE(SUBSTITUTE(SUBSTITUTE(SUBSTITUTE(SUBSTITUTE(SUBSTITUTE(B252&amp;" "&amp;C252&amp;" "&amp;D252&amp;" "&amp;E252&amp;" "&amp;F252&amp;" "&amp;G252&amp;" "&amp;H252&amp;" "&amp;'05 Door &amp; Window HW'!R47,"("," "),")"," "),"/"," "),"-"," "),","," "),";"," "),":"," ")&amp;" ")</f>
        <v/>
      </c>
    </row>
    <row r="253" customFormat="false" ht="15" hidden="false" customHeight="false" outlineLevel="0" collapsed="false">
      <c r="A253" s="56" t="str">
        <f aca="false">IF('05 Door &amp; Window HW'!$C$48="","","Hardware - Doors &amp; Windows")</f>
        <v/>
      </c>
      <c r="B253" s="57" t="str">
        <f aca="false">IF('05 Door &amp; Window HW'!$C$48="","",'05 Door &amp; Window HW'!A48)</f>
        <v/>
      </c>
      <c r="C253" s="56" t="str">
        <f aca="false">IF('05 Door &amp; Window HW'!$C$48="","",'05 Door &amp; Window HW'!B48)</f>
        <v/>
      </c>
      <c r="D253" s="56" t="str">
        <f aca="false">IF('05 Door &amp; Window HW'!$C$48="","",'05 Door &amp; Window HW'!C48)</f>
        <v/>
      </c>
      <c r="E253" s="56" t="str">
        <f aca="false">IF('05 Door &amp; Window HW'!$C$48="","",'05 Door &amp; Window HW'!D48)</f>
        <v/>
      </c>
      <c r="F253" s="56" t="str">
        <f aca="false">IF('05 Door &amp; Window HW'!$C$48="","",'05 Door &amp; Window HW'!E48)</f>
        <v/>
      </c>
      <c r="G253" s="56" t="str">
        <f aca="false">IF('05 Door &amp; Window HW'!$C$48="","",'05 Door &amp; Window HW'!F48)</f>
        <v/>
      </c>
      <c r="H253" s="57" t="str">
        <f aca="false">IF('05 Door &amp; Window HW'!$C$48="","",'05 Door &amp; Window HW'!G48)</f>
        <v/>
      </c>
      <c r="I253" s="58" t="str">
        <f aca="false">IF('05 Door &amp; Window HW'!$C$48="","",'05 Door &amp; Window HW'!J48)</f>
        <v/>
      </c>
      <c r="J253" s="58" t="str">
        <f aca="false">IF('05 Door &amp; Window HW'!$C$48="","",'05 Door &amp; Window HW'!K48)</f>
        <v/>
      </c>
      <c r="K253" s="58" t="str">
        <f aca="false">IF('05 Door &amp; Window HW'!$C$48="","",'05 Door &amp; Window HW'!L48)</f>
        <v/>
      </c>
      <c r="L253" s="57" t="str">
        <f aca="false">IF('05 Door &amp; Window HW'!$C$48="","",'05 Door &amp; Window HW'!M48)</f>
        <v/>
      </c>
      <c r="M253" s="59" t="str">
        <f aca="false">IF(D253="","",IF(AND(OR(Search!$C$6="All Categories",A253=Search!$C$6),OR(Search!$P$5="",ISNUMBER(SEARCH(" "&amp;Search!$P$5,N253))),OR(Search!$P$6="",ISNUMBER(SEARCH(" "&amp;Search!$P$6,N253))),OR(Search!$P$7="",ISNUMBER(SEARCH(" "&amp;Search!$P$7,N253))),OR(Search!$P$8="",ISNUMBER(SEARCH(" "&amp;Search!$P$8,N253))),OR(Search!$P$9="",ISNUMBER(SEARCH(" "&amp;Search!$P$9,N253))),OR(Search!$P$10="",ISNUMBER(SEARCH(" "&amp;Search!$P$10,N253)))),ROW(),""))</f>
        <v/>
      </c>
      <c r="N253" s="0" t="str">
        <f aca="false">IF(D253="",""," "&amp;SUBSTITUTE(SUBSTITUTE(SUBSTITUTE(SUBSTITUTE(SUBSTITUTE(SUBSTITUTE(SUBSTITUTE(B253&amp;" "&amp;C253&amp;" "&amp;D253&amp;" "&amp;E253&amp;" "&amp;F253&amp;" "&amp;G253&amp;" "&amp;H253&amp;" "&amp;'05 Door &amp; Window HW'!R48,"("," "),")"," "),"/"," "),"-"," "),","," "),";"," "),":"," ")&amp;" ")</f>
        <v/>
      </c>
    </row>
    <row r="254" customFormat="false" ht="15" hidden="false" customHeight="false" outlineLevel="0" collapsed="false">
      <c r="A254" s="56" t="str">
        <f aca="false">IF('05 Door &amp; Window HW'!$C$49="","","Hardware - Doors &amp; Windows")</f>
        <v/>
      </c>
      <c r="B254" s="57" t="str">
        <f aca="false">IF('05 Door &amp; Window HW'!$C$49="","",'05 Door &amp; Window HW'!A49)</f>
        <v/>
      </c>
      <c r="C254" s="56" t="str">
        <f aca="false">IF('05 Door &amp; Window HW'!$C$49="","",'05 Door &amp; Window HW'!B49)</f>
        <v/>
      </c>
      <c r="D254" s="56" t="str">
        <f aca="false">IF('05 Door &amp; Window HW'!$C$49="","",'05 Door &amp; Window HW'!C49)</f>
        <v/>
      </c>
      <c r="E254" s="56" t="str">
        <f aca="false">IF('05 Door &amp; Window HW'!$C$49="","",'05 Door &amp; Window HW'!D49)</f>
        <v/>
      </c>
      <c r="F254" s="56" t="str">
        <f aca="false">IF('05 Door &amp; Window HW'!$C$49="","",'05 Door &amp; Window HW'!E49)</f>
        <v/>
      </c>
      <c r="G254" s="56" t="str">
        <f aca="false">IF('05 Door &amp; Window HW'!$C$49="","",'05 Door &amp; Window HW'!F49)</f>
        <v/>
      </c>
      <c r="H254" s="57" t="str">
        <f aca="false">IF('05 Door &amp; Window HW'!$C$49="","",'05 Door &amp; Window HW'!G49)</f>
        <v/>
      </c>
      <c r="I254" s="58" t="str">
        <f aca="false">IF('05 Door &amp; Window HW'!$C$49="","",'05 Door &amp; Window HW'!J49)</f>
        <v/>
      </c>
      <c r="J254" s="58" t="str">
        <f aca="false">IF('05 Door &amp; Window HW'!$C$49="","",'05 Door &amp; Window HW'!K49)</f>
        <v/>
      </c>
      <c r="K254" s="58" t="str">
        <f aca="false">IF('05 Door &amp; Window HW'!$C$49="","",'05 Door &amp; Window HW'!L49)</f>
        <v/>
      </c>
      <c r="L254" s="57" t="str">
        <f aca="false">IF('05 Door &amp; Window HW'!$C$49="","",'05 Door &amp; Window HW'!M49)</f>
        <v/>
      </c>
      <c r="M254" s="59" t="str">
        <f aca="false">IF(D254="","",IF(AND(OR(Search!$C$6="All Categories",A254=Search!$C$6),OR(Search!$P$5="",ISNUMBER(SEARCH(" "&amp;Search!$P$5,N254))),OR(Search!$P$6="",ISNUMBER(SEARCH(" "&amp;Search!$P$6,N254))),OR(Search!$P$7="",ISNUMBER(SEARCH(" "&amp;Search!$P$7,N254))),OR(Search!$P$8="",ISNUMBER(SEARCH(" "&amp;Search!$P$8,N254))),OR(Search!$P$9="",ISNUMBER(SEARCH(" "&amp;Search!$P$9,N254))),OR(Search!$P$10="",ISNUMBER(SEARCH(" "&amp;Search!$P$10,N254)))),ROW(),""))</f>
        <v/>
      </c>
      <c r="N254" s="0" t="str">
        <f aca="false">IF(D254="",""," "&amp;SUBSTITUTE(SUBSTITUTE(SUBSTITUTE(SUBSTITUTE(SUBSTITUTE(SUBSTITUTE(SUBSTITUTE(B254&amp;" "&amp;C254&amp;" "&amp;D254&amp;" "&amp;E254&amp;" "&amp;F254&amp;" "&amp;G254&amp;" "&amp;H254&amp;" "&amp;'05 Door &amp; Window HW'!R49,"("," "),")"," "),"/"," "),"-"," "),","," "),";"," "),":"," ")&amp;" ")</f>
        <v/>
      </c>
    </row>
    <row r="255" customFormat="false" ht="15" hidden="false" customHeight="false" outlineLevel="0" collapsed="false">
      <c r="A255" s="56" t="str">
        <f aca="false">IF('05 Door &amp; Window HW'!$C$50="","","Hardware - Doors &amp; Windows")</f>
        <v/>
      </c>
      <c r="B255" s="57" t="str">
        <f aca="false">IF('05 Door &amp; Window HW'!$C$50="","",'05 Door &amp; Window HW'!A50)</f>
        <v/>
      </c>
      <c r="C255" s="56" t="str">
        <f aca="false">IF('05 Door &amp; Window HW'!$C$50="","",'05 Door &amp; Window HW'!B50)</f>
        <v/>
      </c>
      <c r="D255" s="56" t="str">
        <f aca="false">IF('05 Door &amp; Window HW'!$C$50="","",'05 Door &amp; Window HW'!C50)</f>
        <v/>
      </c>
      <c r="E255" s="56" t="str">
        <f aca="false">IF('05 Door &amp; Window HW'!$C$50="","",'05 Door &amp; Window HW'!D50)</f>
        <v/>
      </c>
      <c r="F255" s="56" t="str">
        <f aca="false">IF('05 Door &amp; Window HW'!$C$50="","",'05 Door &amp; Window HW'!E50)</f>
        <v/>
      </c>
      <c r="G255" s="56" t="str">
        <f aca="false">IF('05 Door &amp; Window HW'!$C$50="","",'05 Door &amp; Window HW'!F50)</f>
        <v/>
      </c>
      <c r="H255" s="57" t="str">
        <f aca="false">IF('05 Door &amp; Window HW'!$C$50="","",'05 Door &amp; Window HW'!G50)</f>
        <v/>
      </c>
      <c r="I255" s="58" t="str">
        <f aca="false">IF('05 Door &amp; Window HW'!$C$50="","",'05 Door &amp; Window HW'!J50)</f>
        <v/>
      </c>
      <c r="J255" s="58" t="str">
        <f aca="false">IF('05 Door &amp; Window HW'!$C$50="","",'05 Door &amp; Window HW'!K50)</f>
        <v/>
      </c>
      <c r="K255" s="58" t="str">
        <f aca="false">IF('05 Door &amp; Window HW'!$C$50="","",'05 Door &amp; Window HW'!L50)</f>
        <v/>
      </c>
      <c r="L255" s="57" t="str">
        <f aca="false">IF('05 Door &amp; Window HW'!$C$50="","",'05 Door &amp; Window HW'!M50)</f>
        <v/>
      </c>
      <c r="M255" s="59" t="str">
        <f aca="false">IF(D255="","",IF(AND(OR(Search!$C$6="All Categories",A255=Search!$C$6),OR(Search!$P$5="",ISNUMBER(SEARCH(" "&amp;Search!$P$5,N255))),OR(Search!$P$6="",ISNUMBER(SEARCH(" "&amp;Search!$P$6,N255))),OR(Search!$P$7="",ISNUMBER(SEARCH(" "&amp;Search!$P$7,N255))),OR(Search!$P$8="",ISNUMBER(SEARCH(" "&amp;Search!$P$8,N255))),OR(Search!$P$9="",ISNUMBER(SEARCH(" "&amp;Search!$P$9,N255))),OR(Search!$P$10="",ISNUMBER(SEARCH(" "&amp;Search!$P$10,N255)))),ROW(),""))</f>
        <v/>
      </c>
      <c r="N255" s="0" t="str">
        <f aca="false">IF(D255="",""," "&amp;SUBSTITUTE(SUBSTITUTE(SUBSTITUTE(SUBSTITUTE(SUBSTITUTE(SUBSTITUTE(SUBSTITUTE(B255&amp;" "&amp;C255&amp;" "&amp;D255&amp;" "&amp;E255&amp;" "&amp;F255&amp;" "&amp;G255&amp;" "&amp;H255&amp;" "&amp;'05 Door &amp; Window HW'!R50,"("," "),")"," "),"/"," "),"-"," "),","," "),";"," "),":"," ")&amp;" ")</f>
        <v/>
      </c>
    </row>
    <row r="256" customFormat="false" ht="15" hidden="false" customHeight="false" outlineLevel="0" collapsed="false">
      <c r="A256" s="56" t="str">
        <f aca="false">IF('05 Door &amp; Window HW'!$C$51="","","Hardware - Doors &amp; Windows")</f>
        <v/>
      </c>
      <c r="B256" s="57" t="str">
        <f aca="false">IF('05 Door &amp; Window HW'!$C$51="","",'05 Door &amp; Window HW'!A51)</f>
        <v/>
      </c>
      <c r="C256" s="56" t="str">
        <f aca="false">IF('05 Door &amp; Window HW'!$C$51="","",'05 Door &amp; Window HW'!B51)</f>
        <v/>
      </c>
      <c r="D256" s="56" t="str">
        <f aca="false">IF('05 Door &amp; Window HW'!$C$51="","",'05 Door &amp; Window HW'!C51)</f>
        <v/>
      </c>
      <c r="E256" s="56" t="str">
        <f aca="false">IF('05 Door &amp; Window HW'!$C$51="","",'05 Door &amp; Window HW'!D51)</f>
        <v/>
      </c>
      <c r="F256" s="56" t="str">
        <f aca="false">IF('05 Door &amp; Window HW'!$C$51="","",'05 Door &amp; Window HW'!E51)</f>
        <v/>
      </c>
      <c r="G256" s="56" t="str">
        <f aca="false">IF('05 Door &amp; Window HW'!$C$51="","",'05 Door &amp; Window HW'!F51)</f>
        <v/>
      </c>
      <c r="H256" s="57" t="str">
        <f aca="false">IF('05 Door &amp; Window HW'!$C$51="","",'05 Door &amp; Window HW'!G51)</f>
        <v/>
      </c>
      <c r="I256" s="58" t="str">
        <f aca="false">IF('05 Door &amp; Window HW'!$C$51="","",'05 Door &amp; Window HW'!J51)</f>
        <v/>
      </c>
      <c r="J256" s="58" t="str">
        <f aca="false">IF('05 Door &amp; Window HW'!$C$51="","",'05 Door &amp; Window HW'!K51)</f>
        <v/>
      </c>
      <c r="K256" s="58" t="str">
        <f aca="false">IF('05 Door &amp; Window HW'!$C$51="","",'05 Door &amp; Window HW'!L51)</f>
        <v/>
      </c>
      <c r="L256" s="57" t="str">
        <f aca="false">IF('05 Door &amp; Window HW'!$C$51="","",'05 Door &amp; Window HW'!M51)</f>
        <v/>
      </c>
      <c r="M256" s="59" t="str">
        <f aca="false">IF(D256="","",IF(AND(OR(Search!$C$6="All Categories",A256=Search!$C$6),OR(Search!$P$5="",ISNUMBER(SEARCH(" "&amp;Search!$P$5,N256))),OR(Search!$P$6="",ISNUMBER(SEARCH(" "&amp;Search!$P$6,N256))),OR(Search!$P$7="",ISNUMBER(SEARCH(" "&amp;Search!$P$7,N256))),OR(Search!$P$8="",ISNUMBER(SEARCH(" "&amp;Search!$P$8,N256))),OR(Search!$P$9="",ISNUMBER(SEARCH(" "&amp;Search!$P$9,N256))),OR(Search!$P$10="",ISNUMBER(SEARCH(" "&amp;Search!$P$10,N256)))),ROW(),""))</f>
        <v/>
      </c>
      <c r="N256" s="0" t="str">
        <f aca="false">IF(D256="",""," "&amp;SUBSTITUTE(SUBSTITUTE(SUBSTITUTE(SUBSTITUTE(SUBSTITUTE(SUBSTITUTE(SUBSTITUTE(B256&amp;" "&amp;C256&amp;" "&amp;D256&amp;" "&amp;E256&amp;" "&amp;F256&amp;" "&amp;G256&amp;" "&amp;H256&amp;" "&amp;'05 Door &amp; Window HW'!R51,"("," "),")"," "),"/"," "),"-"," "),","," "),";"," "),":"," ")&amp;" ")</f>
        <v/>
      </c>
    </row>
    <row r="257" customFormat="false" ht="15" hidden="false" customHeight="false" outlineLevel="0" collapsed="false">
      <c r="A257" s="56" t="str">
        <f aca="false">IF('05 Door &amp; Window HW'!$C$52="","","Hardware - Doors &amp; Windows")</f>
        <v/>
      </c>
      <c r="B257" s="57" t="str">
        <f aca="false">IF('05 Door &amp; Window HW'!$C$52="","",'05 Door &amp; Window HW'!A52)</f>
        <v/>
      </c>
      <c r="C257" s="56" t="str">
        <f aca="false">IF('05 Door &amp; Window HW'!$C$52="","",'05 Door &amp; Window HW'!B52)</f>
        <v/>
      </c>
      <c r="D257" s="56" t="str">
        <f aca="false">IF('05 Door &amp; Window HW'!$C$52="","",'05 Door &amp; Window HW'!C52)</f>
        <v/>
      </c>
      <c r="E257" s="56" t="str">
        <f aca="false">IF('05 Door &amp; Window HW'!$C$52="","",'05 Door &amp; Window HW'!D52)</f>
        <v/>
      </c>
      <c r="F257" s="56" t="str">
        <f aca="false">IF('05 Door &amp; Window HW'!$C$52="","",'05 Door &amp; Window HW'!E52)</f>
        <v/>
      </c>
      <c r="G257" s="56" t="str">
        <f aca="false">IF('05 Door &amp; Window HW'!$C$52="","",'05 Door &amp; Window HW'!F52)</f>
        <v/>
      </c>
      <c r="H257" s="57" t="str">
        <f aca="false">IF('05 Door &amp; Window HW'!$C$52="","",'05 Door &amp; Window HW'!G52)</f>
        <v/>
      </c>
      <c r="I257" s="58" t="str">
        <f aca="false">IF('05 Door &amp; Window HW'!$C$52="","",'05 Door &amp; Window HW'!J52)</f>
        <v/>
      </c>
      <c r="J257" s="58" t="str">
        <f aca="false">IF('05 Door &amp; Window HW'!$C$52="","",'05 Door &amp; Window HW'!K52)</f>
        <v/>
      </c>
      <c r="K257" s="58" t="str">
        <f aca="false">IF('05 Door &amp; Window HW'!$C$52="","",'05 Door &amp; Window HW'!L52)</f>
        <v/>
      </c>
      <c r="L257" s="57" t="str">
        <f aca="false">IF('05 Door &amp; Window HW'!$C$52="","",'05 Door &amp; Window HW'!M52)</f>
        <v/>
      </c>
      <c r="M257" s="59" t="str">
        <f aca="false">IF(D257="","",IF(AND(OR(Search!$C$6="All Categories",A257=Search!$C$6),OR(Search!$P$5="",ISNUMBER(SEARCH(" "&amp;Search!$P$5,N257))),OR(Search!$P$6="",ISNUMBER(SEARCH(" "&amp;Search!$P$6,N257))),OR(Search!$P$7="",ISNUMBER(SEARCH(" "&amp;Search!$P$7,N257))),OR(Search!$P$8="",ISNUMBER(SEARCH(" "&amp;Search!$P$8,N257))),OR(Search!$P$9="",ISNUMBER(SEARCH(" "&amp;Search!$P$9,N257))),OR(Search!$P$10="",ISNUMBER(SEARCH(" "&amp;Search!$P$10,N257)))),ROW(),""))</f>
        <v/>
      </c>
      <c r="N257" s="0" t="str">
        <f aca="false">IF(D257="",""," "&amp;SUBSTITUTE(SUBSTITUTE(SUBSTITUTE(SUBSTITUTE(SUBSTITUTE(SUBSTITUTE(SUBSTITUTE(B257&amp;" "&amp;C257&amp;" "&amp;D257&amp;" "&amp;E257&amp;" "&amp;F257&amp;" "&amp;G257&amp;" "&amp;H257&amp;" "&amp;'05 Door &amp; Window HW'!R52,"("," "),")"," "),"/"," "),"-"," "),","," "),";"," "),":"," ")&amp;" ")</f>
        <v/>
      </c>
    </row>
    <row r="258" customFormat="false" ht="15" hidden="false" customHeight="false" outlineLevel="0" collapsed="false">
      <c r="A258" s="56" t="str">
        <f aca="false">IF('05 Door &amp; Window HW'!$C$53="","","Hardware - Doors &amp; Windows")</f>
        <v/>
      </c>
      <c r="B258" s="57" t="str">
        <f aca="false">IF('05 Door &amp; Window HW'!$C$53="","",'05 Door &amp; Window HW'!A53)</f>
        <v/>
      </c>
      <c r="C258" s="56" t="str">
        <f aca="false">IF('05 Door &amp; Window HW'!$C$53="","",'05 Door &amp; Window HW'!B53)</f>
        <v/>
      </c>
      <c r="D258" s="56" t="str">
        <f aca="false">IF('05 Door &amp; Window HW'!$C$53="","",'05 Door &amp; Window HW'!C53)</f>
        <v/>
      </c>
      <c r="E258" s="56" t="str">
        <f aca="false">IF('05 Door &amp; Window HW'!$C$53="","",'05 Door &amp; Window HW'!D53)</f>
        <v/>
      </c>
      <c r="F258" s="56" t="str">
        <f aca="false">IF('05 Door &amp; Window HW'!$C$53="","",'05 Door &amp; Window HW'!E53)</f>
        <v/>
      </c>
      <c r="G258" s="56" t="str">
        <f aca="false">IF('05 Door &amp; Window HW'!$C$53="","",'05 Door &amp; Window HW'!F53)</f>
        <v/>
      </c>
      <c r="H258" s="57" t="str">
        <f aca="false">IF('05 Door &amp; Window HW'!$C$53="","",'05 Door &amp; Window HW'!G53)</f>
        <v/>
      </c>
      <c r="I258" s="58" t="str">
        <f aca="false">IF('05 Door &amp; Window HW'!$C$53="","",'05 Door &amp; Window HW'!J53)</f>
        <v/>
      </c>
      <c r="J258" s="58" t="str">
        <f aca="false">IF('05 Door &amp; Window HW'!$C$53="","",'05 Door &amp; Window HW'!K53)</f>
        <v/>
      </c>
      <c r="K258" s="58" t="str">
        <f aca="false">IF('05 Door &amp; Window HW'!$C$53="","",'05 Door &amp; Window HW'!L53)</f>
        <v/>
      </c>
      <c r="L258" s="57" t="str">
        <f aca="false">IF('05 Door &amp; Window HW'!$C$53="","",'05 Door &amp; Window HW'!M53)</f>
        <v/>
      </c>
      <c r="M258" s="59" t="str">
        <f aca="false">IF(D258="","",IF(AND(OR(Search!$C$6="All Categories",A258=Search!$C$6),OR(Search!$P$5="",ISNUMBER(SEARCH(" "&amp;Search!$P$5,N258))),OR(Search!$P$6="",ISNUMBER(SEARCH(" "&amp;Search!$P$6,N258))),OR(Search!$P$7="",ISNUMBER(SEARCH(" "&amp;Search!$P$7,N258))),OR(Search!$P$8="",ISNUMBER(SEARCH(" "&amp;Search!$P$8,N258))),OR(Search!$P$9="",ISNUMBER(SEARCH(" "&amp;Search!$P$9,N258))),OR(Search!$P$10="",ISNUMBER(SEARCH(" "&amp;Search!$P$10,N258)))),ROW(),""))</f>
        <v/>
      </c>
      <c r="N258" s="0" t="str">
        <f aca="false">IF(D258="",""," "&amp;SUBSTITUTE(SUBSTITUTE(SUBSTITUTE(SUBSTITUTE(SUBSTITUTE(SUBSTITUTE(SUBSTITUTE(B258&amp;" "&amp;C258&amp;" "&amp;D258&amp;" "&amp;E258&amp;" "&amp;F258&amp;" "&amp;G258&amp;" "&amp;H258&amp;" "&amp;'05 Door &amp; Window HW'!R53,"("," "),")"," "),"/"," "),"-"," "),","," "),";"," "),":"," ")&amp;" ")</f>
        <v/>
      </c>
    </row>
    <row r="259" customFormat="false" ht="15" hidden="false" customHeight="false" outlineLevel="0" collapsed="false">
      <c r="A259" s="56" t="str">
        <f aca="false">IF('05 Door &amp; Window HW'!$C$54="","","Hardware - Doors &amp; Windows")</f>
        <v/>
      </c>
      <c r="B259" s="57" t="str">
        <f aca="false">IF('05 Door &amp; Window HW'!$C$54="","",'05 Door &amp; Window HW'!A54)</f>
        <v/>
      </c>
      <c r="C259" s="56" t="str">
        <f aca="false">IF('05 Door &amp; Window HW'!$C$54="","",'05 Door &amp; Window HW'!B54)</f>
        <v/>
      </c>
      <c r="D259" s="56" t="str">
        <f aca="false">IF('05 Door &amp; Window HW'!$C$54="","",'05 Door &amp; Window HW'!C54)</f>
        <v/>
      </c>
      <c r="E259" s="56" t="str">
        <f aca="false">IF('05 Door &amp; Window HW'!$C$54="","",'05 Door &amp; Window HW'!D54)</f>
        <v/>
      </c>
      <c r="F259" s="56" t="str">
        <f aca="false">IF('05 Door &amp; Window HW'!$C$54="","",'05 Door &amp; Window HW'!E54)</f>
        <v/>
      </c>
      <c r="G259" s="56" t="str">
        <f aca="false">IF('05 Door &amp; Window HW'!$C$54="","",'05 Door &amp; Window HW'!F54)</f>
        <v/>
      </c>
      <c r="H259" s="57" t="str">
        <f aca="false">IF('05 Door &amp; Window HW'!$C$54="","",'05 Door &amp; Window HW'!G54)</f>
        <v/>
      </c>
      <c r="I259" s="58" t="str">
        <f aca="false">IF('05 Door &amp; Window HW'!$C$54="","",'05 Door &amp; Window HW'!J54)</f>
        <v/>
      </c>
      <c r="J259" s="58" t="str">
        <f aca="false">IF('05 Door &amp; Window HW'!$C$54="","",'05 Door &amp; Window HW'!K54)</f>
        <v/>
      </c>
      <c r="K259" s="58" t="str">
        <f aca="false">IF('05 Door &amp; Window HW'!$C$54="","",'05 Door &amp; Window HW'!L54)</f>
        <v/>
      </c>
      <c r="L259" s="57" t="str">
        <f aca="false">IF('05 Door &amp; Window HW'!$C$54="","",'05 Door &amp; Window HW'!M54)</f>
        <v/>
      </c>
      <c r="M259" s="59" t="str">
        <f aca="false">IF(D259="","",IF(AND(OR(Search!$C$6="All Categories",A259=Search!$C$6),OR(Search!$P$5="",ISNUMBER(SEARCH(" "&amp;Search!$P$5,N259))),OR(Search!$P$6="",ISNUMBER(SEARCH(" "&amp;Search!$P$6,N259))),OR(Search!$P$7="",ISNUMBER(SEARCH(" "&amp;Search!$P$7,N259))),OR(Search!$P$8="",ISNUMBER(SEARCH(" "&amp;Search!$P$8,N259))),OR(Search!$P$9="",ISNUMBER(SEARCH(" "&amp;Search!$P$9,N259))),OR(Search!$P$10="",ISNUMBER(SEARCH(" "&amp;Search!$P$10,N259)))),ROW(),""))</f>
        <v/>
      </c>
      <c r="N259" s="0" t="str">
        <f aca="false">IF(D259="",""," "&amp;SUBSTITUTE(SUBSTITUTE(SUBSTITUTE(SUBSTITUTE(SUBSTITUTE(SUBSTITUTE(SUBSTITUTE(B259&amp;" "&amp;C259&amp;" "&amp;D259&amp;" "&amp;E259&amp;" "&amp;F259&amp;" "&amp;G259&amp;" "&amp;H259&amp;" "&amp;'05 Door &amp; Window HW'!R54,"("," "),")"," "),"/"," "),"-"," "),","," "),";"," "),":"," ")&amp;" ")</f>
        <v/>
      </c>
    </row>
    <row r="260" customFormat="false" ht="15" hidden="false" customHeight="false" outlineLevel="0" collapsed="false">
      <c r="A260" s="56" t="str">
        <f aca="false">IF('05 Door &amp; Window HW'!$C$55="","","Hardware - Doors &amp; Windows")</f>
        <v/>
      </c>
      <c r="B260" s="57" t="str">
        <f aca="false">IF('05 Door &amp; Window HW'!$C$55="","",'05 Door &amp; Window HW'!A55)</f>
        <v/>
      </c>
      <c r="C260" s="56" t="str">
        <f aca="false">IF('05 Door &amp; Window HW'!$C$55="","",'05 Door &amp; Window HW'!B55)</f>
        <v/>
      </c>
      <c r="D260" s="56" t="str">
        <f aca="false">IF('05 Door &amp; Window HW'!$C$55="","",'05 Door &amp; Window HW'!C55)</f>
        <v/>
      </c>
      <c r="E260" s="56" t="str">
        <f aca="false">IF('05 Door &amp; Window HW'!$C$55="","",'05 Door &amp; Window HW'!D55)</f>
        <v/>
      </c>
      <c r="F260" s="56" t="str">
        <f aca="false">IF('05 Door &amp; Window HW'!$C$55="","",'05 Door &amp; Window HW'!E55)</f>
        <v/>
      </c>
      <c r="G260" s="56" t="str">
        <f aca="false">IF('05 Door &amp; Window HW'!$C$55="","",'05 Door &amp; Window HW'!F55)</f>
        <v/>
      </c>
      <c r="H260" s="57" t="str">
        <f aca="false">IF('05 Door &amp; Window HW'!$C$55="","",'05 Door &amp; Window HW'!G55)</f>
        <v/>
      </c>
      <c r="I260" s="58" t="str">
        <f aca="false">IF('05 Door &amp; Window HW'!$C$55="","",'05 Door &amp; Window HW'!J55)</f>
        <v/>
      </c>
      <c r="J260" s="58" t="str">
        <f aca="false">IF('05 Door &amp; Window HW'!$C$55="","",'05 Door &amp; Window HW'!K55)</f>
        <v/>
      </c>
      <c r="K260" s="58" t="str">
        <f aca="false">IF('05 Door &amp; Window HW'!$C$55="","",'05 Door &amp; Window HW'!L55)</f>
        <v/>
      </c>
      <c r="L260" s="57" t="str">
        <f aca="false">IF('05 Door &amp; Window HW'!$C$55="","",'05 Door &amp; Window HW'!M55)</f>
        <v/>
      </c>
      <c r="M260" s="59" t="str">
        <f aca="false">IF(D260="","",IF(AND(OR(Search!$C$6="All Categories",A260=Search!$C$6),OR(Search!$P$5="",ISNUMBER(SEARCH(" "&amp;Search!$P$5,N260))),OR(Search!$P$6="",ISNUMBER(SEARCH(" "&amp;Search!$P$6,N260))),OR(Search!$P$7="",ISNUMBER(SEARCH(" "&amp;Search!$P$7,N260))),OR(Search!$P$8="",ISNUMBER(SEARCH(" "&amp;Search!$P$8,N260))),OR(Search!$P$9="",ISNUMBER(SEARCH(" "&amp;Search!$P$9,N260))),OR(Search!$P$10="",ISNUMBER(SEARCH(" "&amp;Search!$P$10,N260)))),ROW(),""))</f>
        <v/>
      </c>
      <c r="N260" s="0" t="str">
        <f aca="false">IF(D260="",""," "&amp;SUBSTITUTE(SUBSTITUTE(SUBSTITUTE(SUBSTITUTE(SUBSTITUTE(SUBSTITUTE(SUBSTITUTE(B260&amp;" "&amp;C260&amp;" "&amp;D260&amp;" "&amp;E260&amp;" "&amp;F260&amp;" "&amp;G260&amp;" "&amp;H260&amp;" "&amp;'05 Door &amp; Window HW'!R55,"("," "),")"," "),"/"," "),"-"," "),","," "),";"," "),":"," ")&amp;" ")</f>
        <v/>
      </c>
    </row>
    <row r="261" customFormat="false" ht="15" hidden="false" customHeight="false" outlineLevel="0" collapsed="false">
      <c r="A261" s="56" t="str">
        <f aca="false">IF('05 Door &amp; Window HW'!$C$56="","","Hardware - Doors &amp; Windows")</f>
        <v/>
      </c>
      <c r="B261" s="57" t="str">
        <f aca="false">IF('05 Door &amp; Window HW'!$C$56="","",'05 Door &amp; Window HW'!A56)</f>
        <v/>
      </c>
      <c r="C261" s="56" t="str">
        <f aca="false">IF('05 Door &amp; Window HW'!$C$56="","",'05 Door &amp; Window HW'!B56)</f>
        <v/>
      </c>
      <c r="D261" s="56" t="str">
        <f aca="false">IF('05 Door &amp; Window HW'!$C$56="","",'05 Door &amp; Window HW'!C56)</f>
        <v/>
      </c>
      <c r="E261" s="56" t="str">
        <f aca="false">IF('05 Door &amp; Window HW'!$C$56="","",'05 Door &amp; Window HW'!D56)</f>
        <v/>
      </c>
      <c r="F261" s="56" t="str">
        <f aca="false">IF('05 Door &amp; Window HW'!$C$56="","",'05 Door &amp; Window HW'!E56)</f>
        <v/>
      </c>
      <c r="G261" s="56" t="str">
        <f aca="false">IF('05 Door &amp; Window HW'!$C$56="","",'05 Door &amp; Window HW'!F56)</f>
        <v/>
      </c>
      <c r="H261" s="57" t="str">
        <f aca="false">IF('05 Door &amp; Window HW'!$C$56="","",'05 Door &amp; Window HW'!G56)</f>
        <v/>
      </c>
      <c r="I261" s="58" t="str">
        <f aca="false">IF('05 Door &amp; Window HW'!$C$56="","",'05 Door &amp; Window HW'!J56)</f>
        <v/>
      </c>
      <c r="J261" s="58" t="str">
        <f aca="false">IF('05 Door &amp; Window HW'!$C$56="","",'05 Door &amp; Window HW'!K56)</f>
        <v/>
      </c>
      <c r="K261" s="58" t="str">
        <f aca="false">IF('05 Door &amp; Window HW'!$C$56="","",'05 Door &amp; Window HW'!L56)</f>
        <v/>
      </c>
      <c r="L261" s="57" t="str">
        <f aca="false">IF('05 Door &amp; Window HW'!$C$56="","",'05 Door &amp; Window HW'!M56)</f>
        <v/>
      </c>
      <c r="M261" s="59" t="str">
        <f aca="false">IF(D261="","",IF(AND(OR(Search!$C$6="All Categories",A261=Search!$C$6),OR(Search!$P$5="",ISNUMBER(SEARCH(" "&amp;Search!$P$5,N261))),OR(Search!$P$6="",ISNUMBER(SEARCH(" "&amp;Search!$P$6,N261))),OR(Search!$P$7="",ISNUMBER(SEARCH(" "&amp;Search!$P$7,N261))),OR(Search!$P$8="",ISNUMBER(SEARCH(" "&amp;Search!$P$8,N261))),OR(Search!$P$9="",ISNUMBER(SEARCH(" "&amp;Search!$P$9,N261))),OR(Search!$P$10="",ISNUMBER(SEARCH(" "&amp;Search!$P$10,N261)))),ROW(),""))</f>
        <v/>
      </c>
      <c r="N261" s="0" t="str">
        <f aca="false">IF(D261="",""," "&amp;SUBSTITUTE(SUBSTITUTE(SUBSTITUTE(SUBSTITUTE(SUBSTITUTE(SUBSTITUTE(SUBSTITUTE(B261&amp;" "&amp;C261&amp;" "&amp;D261&amp;" "&amp;E261&amp;" "&amp;F261&amp;" "&amp;G261&amp;" "&amp;H261&amp;" "&amp;'05 Door &amp; Window HW'!R56,"("," "),")"," "),"/"," "),"-"," "),","," "),";"," "),":"," ")&amp;" ")</f>
        <v/>
      </c>
    </row>
    <row r="262" customFormat="false" ht="15" hidden="false" customHeight="false" outlineLevel="0" collapsed="false">
      <c r="A262" s="56" t="str">
        <f aca="false">IF('05 Door &amp; Window HW'!$C$57="","","Hardware - Doors &amp; Windows")</f>
        <v/>
      </c>
      <c r="B262" s="57" t="str">
        <f aca="false">IF('05 Door &amp; Window HW'!$C$57="","",'05 Door &amp; Window HW'!A57)</f>
        <v/>
      </c>
      <c r="C262" s="56" t="str">
        <f aca="false">IF('05 Door &amp; Window HW'!$C$57="","",'05 Door &amp; Window HW'!B57)</f>
        <v/>
      </c>
      <c r="D262" s="56" t="str">
        <f aca="false">IF('05 Door &amp; Window HW'!$C$57="","",'05 Door &amp; Window HW'!C57)</f>
        <v/>
      </c>
      <c r="E262" s="56" t="str">
        <f aca="false">IF('05 Door &amp; Window HW'!$C$57="","",'05 Door &amp; Window HW'!D57)</f>
        <v/>
      </c>
      <c r="F262" s="56" t="str">
        <f aca="false">IF('05 Door &amp; Window HW'!$C$57="","",'05 Door &amp; Window HW'!E57)</f>
        <v/>
      </c>
      <c r="G262" s="56" t="str">
        <f aca="false">IF('05 Door &amp; Window HW'!$C$57="","",'05 Door &amp; Window HW'!F57)</f>
        <v/>
      </c>
      <c r="H262" s="57" t="str">
        <f aca="false">IF('05 Door &amp; Window HW'!$C$57="","",'05 Door &amp; Window HW'!G57)</f>
        <v/>
      </c>
      <c r="I262" s="58" t="str">
        <f aca="false">IF('05 Door &amp; Window HW'!$C$57="","",'05 Door &amp; Window HW'!J57)</f>
        <v/>
      </c>
      <c r="J262" s="58" t="str">
        <f aca="false">IF('05 Door &amp; Window HW'!$C$57="","",'05 Door &amp; Window HW'!K57)</f>
        <v/>
      </c>
      <c r="K262" s="58" t="str">
        <f aca="false">IF('05 Door &amp; Window HW'!$C$57="","",'05 Door &amp; Window HW'!L57)</f>
        <v/>
      </c>
      <c r="L262" s="57" t="str">
        <f aca="false">IF('05 Door &amp; Window HW'!$C$57="","",'05 Door &amp; Window HW'!M57)</f>
        <v/>
      </c>
      <c r="M262" s="59" t="str">
        <f aca="false">IF(D262="","",IF(AND(OR(Search!$C$6="All Categories",A262=Search!$C$6),OR(Search!$P$5="",ISNUMBER(SEARCH(" "&amp;Search!$P$5,N262))),OR(Search!$P$6="",ISNUMBER(SEARCH(" "&amp;Search!$P$6,N262))),OR(Search!$P$7="",ISNUMBER(SEARCH(" "&amp;Search!$P$7,N262))),OR(Search!$P$8="",ISNUMBER(SEARCH(" "&amp;Search!$P$8,N262))),OR(Search!$P$9="",ISNUMBER(SEARCH(" "&amp;Search!$P$9,N262))),OR(Search!$P$10="",ISNUMBER(SEARCH(" "&amp;Search!$P$10,N262)))),ROW(),""))</f>
        <v/>
      </c>
      <c r="N262" s="0" t="str">
        <f aca="false">IF(D262="",""," "&amp;SUBSTITUTE(SUBSTITUTE(SUBSTITUTE(SUBSTITUTE(SUBSTITUTE(SUBSTITUTE(SUBSTITUTE(B262&amp;" "&amp;C262&amp;" "&amp;D262&amp;" "&amp;E262&amp;" "&amp;F262&amp;" "&amp;G262&amp;" "&amp;H262&amp;" "&amp;'05 Door &amp; Window HW'!R57,"("," "),")"," "),"/"," "),"-"," "),","," "),";"," "),":"," ")&amp;" ")</f>
        <v/>
      </c>
    </row>
    <row r="263" customFormat="false" ht="22.35" hidden="false" customHeight="false" outlineLevel="0" collapsed="false">
      <c r="A263" s="56" t="str">
        <f aca="false">IF('06 Glass Fittings HW'!$C$5="","","Glass Fittings - Partition, Shower &amp; Spider")</f>
        <v>Glass Fittings - Partition, Shower &amp; Spider</v>
      </c>
      <c r="B263" s="57" t="str">
        <f aca="false">IF('06 Glass Fittings HW'!$C$5="","",'06 Glass Fittings HW'!A5)</f>
        <v>GF-001</v>
      </c>
      <c r="C263" s="56" t="str">
        <f aca="false">IF('06 Glass Fittings HW'!$C$5="","",'06 Glass Fittings HW'!B5)</f>
        <v>Patch Fittings (Glass Doors)</v>
      </c>
      <c r="D263" s="56" t="str">
        <f aca="false">IF('06 Glass Fittings HW'!$C$5="","",'06 Glass Fittings HW'!C5)</f>
        <v>Bottom patch fitting</v>
      </c>
      <c r="E263" s="56" t="str">
        <f aca="false">IF('06 Glass Fittings HW'!$C$5="","",'06 Glass Fittings HW'!D5)</f>
        <v>For 10-12 mm glass</v>
      </c>
      <c r="F263" s="56" t="str">
        <f aca="false">IF('06 Glass Fittings HW'!$C$5="","",'06 Glass Fittings HW'!E5)</f>
        <v>SS satin</v>
      </c>
      <c r="G263" s="56" t="str">
        <f aca="false">IF('06 Glass Fittings HW'!$C$5="","",'06 Glass Fittings HW'!F5)</f>
        <v>dormakaba PT 10 / Equiv.</v>
      </c>
      <c r="H263" s="57" t="str">
        <f aca="false">IF('06 Glass Fittings HW'!$C$5="","",'06 Glass Fittings HW'!G5)</f>
        <v>nos</v>
      </c>
      <c r="I263" s="58" t="n">
        <f aca="false">IF('06 Glass Fittings HW'!$C$5="","",'06 Glass Fittings HW'!J5)</f>
        <v>220</v>
      </c>
      <c r="J263" s="58" t="n">
        <f aca="false">IF('06 Glass Fittings HW'!$C$5="","",'06 Glass Fittings HW'!K5)</f>
        <v>264</v>
      </c>
      <c r="K263" s="58" t="n">
        <f aca="false">IF('06 Glass Fittings HW'!$C$5="","",'06 Glass Fittings HW'!L5)</f>
        <v>277.2</v>
      </c>
      <c r="L263" s="57" t="str">
        <f aca="false">IF('06 Glass Fittings HW'!$C$5="","",'06 Glass Fittings HW'!M5)</f>
        <v>Indicative</v>
      </c>
      <c r="M263" s="59" t="str">
        <f aca="false">IF(D263="","",IF(AND(OR(Search!$C$6="All Categories",A263=Search!$C$6),OR(Search!$P$5="",ISNUMBER(SEARCH(" "&amp;Search!$P$5,N263))),OR(Search!$P$6="",ISNUMBER(SEARCH(" "&amp;Search!$P$6,N263))),OR(Search!$P$7="",ISNUMBER(SEARCH(" "&amp;Search!$P$7,N263))),OR(Search!$P$8="",ISNUMBER(SEARCH(" "&amp;Search!$P$8,N263))),OR(Search!$P$9="",ISNUMBER(SEARCH(" "&amp;Search!$P$9,N263))),OR(Search!$P$10="",ISNUMBER(SEARCH(" "&amp;Search!$P$10,N263)))),ROW(),""))</f>
        <v/>
      </c>
      <c r="N263" s="0" t="str">
        <f aca="false">IF(D263="",""," "&amp;SUBSTITUTE(SUBSTITUTE(SUBSTITUTE(SUBSTITUTE(SUBSTITUTE(SUBSTITUTE(SUBSTITUTE(B263&amp;" "&amp;C263&amp;" "&amp;D263&amp;" "&amp;E263&amp;" "&amp;F263&amp;" "&amp;G263&amp;" "&amp;H263&amp;" "&amp;'06 Glass Fittings HW'!R5,"("," "),")"," "),"/"," "),"-"," "),","," "),";"," "),":"," ")&amp;" ")</f>
        <v> GF 001 Patch Fittings  Glass Doors  Bottom patch fitting For 10 12 mm glass SS satin dormakaba PT 10   Equiv. nos 12mm stainless steel </v>
      </c>
    </row>
    <row r="264" customFormat="false" ht="22.35" hidden="false" customHeight="false" outlineLevel="0" collapsed="false">
      <c r="A264" s="56" t="str">
        <f aca="false">IF('06 Glass Fittings HW'!$C$6="","","Glass Fittings - Partition, Shower &amp; Spider")</f>
        <v>Glass Fittings - Partition, Shower &amp; Spider</v>
      </c>
      <c r="B264" s="57" t="str">
        <f aca="false">IF('06 Glass Fittings HW'!$C$6="","",'06 Glass Fittings HW'!A6)</f>
        <v>GF-002</v>
      </c>
      <c r="C264" s="56" t="str">
        <f aca="false">IF('06 Glass Fittings HW'!$C$6="","",'06 Glass Fittings HW'!B6)</f>
        <v>Patch Fittings (Glass Doors)</v>
      </c>
      <c r="D264" s="56" t="str">
        <f aca="false">IF('06 Glass Fittings HW'!$C$6="","",'06 Glass Fittings HW'!C6)</f>
        <v>Top patch fitting</v>
      </c>
      <c r="E264" s="56" t="str">
        <f aca="false">IF('06 Glass Fittings HW'!$C$6="","",'06 Glass Fittings HW'!D6)</f>
        <v>For 10-12 mm glass</v>
      </c>
      <c r="F264" s="56" t="str">
        <f aca="false">IF('06 Glass Fittings HW'!$C$6="","",'06 Glass Fittings HW'!E6)</f>
        <v>SS satin</v>
      </c>
      <c r="G264" s="56" t="str">
        <f aca="false">IF('06 Glass Fittings HW'!$C$6="","",'06 Glass Fittings HW'!F6)</f>
        <v>dormakaba PT 20 / Equiv.</v>
      </c>
      <c r="H264" s="57" t="str">
        <f aca="false">IF('06 Glass Fittings HW'!$C$6="","",'06 Glass Fittings HW'!G6)</f>
        <v>nos</v>
      </c>
      <c r="I264" s="58" t="n">
        <f aca="false">IF('06 Glass Fittings HW'!$C$6="","",'06 Glass Fittings HW'!J6)</f>
        <v>220</v>
      </c>
      <c r="J264" s="58" t="n">
        <f aca="false">IF('06 Glass Fittings HW'!$C$6="","",'06 Glass Fittings HW'!K6)</f>
        <v>264</v>
      </c>
      <c r="K264" s="58" t="n">
        <f aca="false">IF('06 Glass Fittings HW'!$C$6="","",'06 Glass Fittings HW'!L6)</f>
        <v>277.2</v>
      </c>
      <c r="L264" s="57" t="str">
        <f aca="false">IF('06 Glass Fittings HW'!$C$6="","",'06 Glass Fittings HW'!M6)</f>
        <v>Indicative</v>
      </c>
      <c r="M264" s="59" t="str">
        <f aca="false">IF(D264="","",IF(AND(OR(Search!$C$6="All Categories",A264=Search!$C$6),OR(Search!$P$5="",ISNUMBER(SEARCH(" "&amp;Search!$P$5,N264))),OR(Search!$P$6="",ISNUMBER(SEARCH(" "&amp;Search!$P$6,N264))),OR(Search!$P$7="",ISNUMBER(SEARCH(" "&amp;Search!$P$7,N264))),OR(Search!$P$8="",ISNUMBER(SEARCH(" "&amp;Search!$P$8,N264))),OR(Search!$P$9="",ISNUMBER(SEARCH(" "&amp;Search!$P$9,N264))),OR(Search!$P$10="",ISNUMBER(SEARCH(" "&amp;Search!$P$10,N264)))),ROW(),""))</f>
        <v/>
      </c>
      <c r="N264" s="0" t="str">
        <f aca="false">IF(D264="",""," "&amp;SUBSTITUTE(SUBSTITUTE(SUBSTITUTE(SUBSTITUTE(SUBSTITUTE(SUBSTITUTE(SUBSTITUTE(B264&amp;" "&amp;C264&amp;" "&amp;D264&amp;" "&amp;E264&amp;" "&amp;F264&amp;" "&amp;G264&amp;" "&amp;H264&amp;" "&amp;'06 Glass Fittings HW'!R6,"("," "),")"," "),"/"," "),"-"," "),","," "),";"," "),":"," ")&amp;" ")</f>
        <v> GF 002 Patch Fittings  Glass Doors  Top patch fitting For 10 12 mm glass SS satin dormakaba PT 20   Equiv. nos 12mm stainless steel </v>
      </c>
    </row>
    <row r="265" customFormat="false" ht="22.35" hidden="false" customHeight="false" outlineLevel="0" collapsed="false">
      <c r="A265" s="56" t="str">
        <f aca="false">IF('06 Glass Fittings HW'!$C$7="","","Glass Fittings - Partition, Shower &amp; Spider")</f>
        <v>Glass Fittings - Partition, Shower &amp; Spider</v>
      </c>
      <c r="B265" s="57" t="str">
        <f aca="false">IF('06 Glass Fittings HW'!$C$7="","",'06 Glass Fittings HW'!A7)</f>
        <v>GF-003</v>
      </c>
      <c r="C265" s="56" t="str">
        <f aca="false">IF('06 Glass Fittings HW'!$C$7="","",'06 Glass Fittings HW'!B7)</f>
        <v>Patch Fittings (Glass Doors)</v>
      </c>
      <c r="D265" s="56" t="str">
        <f aca="false">IF('06 Glass Fittings HW'!$C$7="","",'06 Glass Fittings HW'!C7)</f>
        <v>Top pivot / over-panel fitting</v>
      </c>
      <c r="E265" s="56" t="str">
        <f aca="false">IF('06 Glass Fittings HW'!$C$7="","",'06 Glass Fittings HW'!D7)</f>
        <v>For 10-12 mm glass</v>
      </c>
      <c r="F265" s="56" t="str">
        <f aca="false">IF('06 Glass Fittings HW'!$C$7="","",'06 Glass Fittings HW'!E7)</f>
        <v>SS satin</v>
      </c>
      <c r="G265" s="56" t="str">
        <f aca="false">IF('06 Glass Fittings HW'!$C$7="","",'06 Glass Fittings HW'!F7)</f>
        <v>dormakaba PT 30 / Equiv.</v>
      </c>
      <c r="H265" s="57" t="str">
        <f aca="false">IF('06 Glass Fittings HW'!$C$7="","",'06 Glass Fittings HW'!G7)</f>
        <v>nos</v>
      </c>
      <c r="I265" s="58" t="n">
        <f aca="false">IF('06 Glass Fittings HW'!$C$7="","",'06 Glass Fittings HW'!J7)</f>
        <v>260</v>
      </c>
      <c r="J265" s="58" t="n">
        <f aca="false">IF('06 Glass Fittings HW'!$C$7="","",'06 Glass Fittings HW'!K7)</f>
        <v>312</v>
      </c>
      <c r="K265" s="58" t="n">
        <f aca="false">IF('06 Glass Fittings HW'!$C$7="","",'06 Glass Fittings HW'!L7)</f>
        <v>327.6</v>
      </c>
      <c r="L265" s="57" t="str">
        <f aca="false">IF('06 Glass Fittings HW'!$C$7="","",'06 Glass Fittings HW'!M7)</f>
        <v>Indicative</v>
      </c>
      <c r="M265" s="59" t="str">
        <f aca="false">IF(D265="","",IF(AND(OR(Search!$C$6="All Categories",A265=Search!$C$6),OR(Search!$P$5="",ISNUMBER(SEARCH(" "&amp;Search!$P$5,N265))),OR(Search!$P$6="",ISNUMBER(SEARCH(" "&amp;Search!$P$6,N265))),OR(Search!$P$7="",ISNUMBER(SEARCH(" "&amp;Search!$P$7,N265))),OR(Search!$P$8="",ISNUMBER(SEARCH(" "&amp;Search!$P$8,N265))),OR(Search!$P$9="",ISNUMBER(SEARCH(" "&amp;Search!$P$9,N265))),OR(Search!$P$10="",ISNUMBER(SEARCH(" "&amp;Search!$P$10,N265)))),ROW(),""))</f>
        <v/>
      </c>
      <c r="N265" s="0" t="str">
        <f aca="false">IF(D265="",""," "&amp;SUBSTITUTE(SUBSTITUTE(SUBSTITUTE(SUBSTITUTE(SUBSTITUTE(SUBSTITUTE(SUBSTITUTE(B265&amp;" "&amp;C265&amp;" "&amp;D265&amp;" "&amp;E265&amp;" "&amp;F265&amp;" "&amp;G265&amp;" "&amp;H265&amp;" "&amp;'06 Glass Fittings HW'!R7,"("," "),")"," "),"/"," "),"-"," "),","," "),";"," "),":"," ")&amp;" ")</f>
        <v> GF 003 Patch Fittings  Glass Doors  Top pivot   over panel fitting For 10 12 mm glass SS satin dormakaba PT 30   Equiv. nos 12mm stainless steel </v>
      </c>
    </row>
    <row r="266" customFormat="false" ht="22.35" hidden="false" customHeight="false" outlineLevel="0" collapsed="false">
      <c r="A266" s="56" t="str">
        <f aca="false">IF('06 Glass Fittings HW'!$C$8="","","Glass Fittings - Partition, Shower &amp; Spider")</f>
        <v>Glass Fittings - Partition, Shower &amp; Spider</v>
      </c>
      <c r="B266" s="57" t="str">
        <f aca="false">IF('06 Glass Fittings HW'!$C$8="","",'06 Glass Fittings HW'!A8)</f>
        <v>GF-004</v>
      </c>
      <c r="C266" s="56" t="str">
        <f aca="false">IF('06 Glass Fittings HW'!$C$8="","",'06 Glass Fittings HW'!B8)</f>
        <v>Patch Fittings (Glass Doors)</v>
      </c>
      <c r="D266" s="56" t="str">
        <f aca="false">IF('06 Glass Fittings HW'!$C$8="","",'06 Glass Fittings HW'!C8)</f>
        <v>Corner lock patch with strike</v>
      </c>
      <c r="E266" s="56" t="str">
        <f aca="false">IF('06 Glass Fittings HW'!$C$8="","",'06 Glass Fittings HW'!D8)</f>
        <v>For 10-12 mm glass</v>
      </c>
      <c r="F266" s="56" t="str">
        <f aca="false">IF('06 Glass Fittings HW'!$C$8="","",'06 Glass Fittings HW'!E8)</f>
        <v>SS satin</v>
      </c>
      <c r="G266" s="56" t="str">
        <f aca="false">IF('06 Glass Fittings HW'!$C$8="","",'06 Glass Fittings HW'!F8)</f>
        <v>dormakaba PT 40 / Equiv.</v>
      </c>
      <c r="H266" s="57" t="str">
        <f aca="false">IF('06 Glass Fittings HW'!$C$8="","",'06 Glass Fittings HW'!G8)</f>
        <v>set</v>
      </c>
      <c r="I266" s="58" t="n">
        <f aca="false">IF('06 Glass Fittings HW'!$C$8="","",'06 Glass Fittings HW'!J8)</f>
        <v>320</v>
      </c>
      <c r="J266" s="58" t="n">
        <f aca="false">IF('06 Glass Fittings HW'!$C$8="","",'06 Glass Fittings HW'!K8)</f>
        <v>384</v>
      </c>
      <c r="K266" s="58" t="n">
        <f aca="false">IF('06 Glass Fittings HW'!$C$8="","",'06 Glass Fittings HW'!L8)</f>
        <v>403.2</v>
      </c>
      <c r="L266" s="57" t="str">
        <f aca="false">IF('06 Glass Fittings HW'!$C$8="","",'06 Glass Fittings HW'!M8)</f>
        <v>Indicative</v>
      </c>
      <c r="M266" s="59" t="str">
        <f aca="false">IF(D266="","",IF(AND(OR(Search!$C$6="All Categories",A266=Search!$C$6),OR(Search!$P$5="",ISNUMBER(SEARCH(" "&amp;Search!$P$5,N266))),OR(Search!$P$6="",ISNUMBER(SEARCH(" "&amp;Search!$P$6,N266))),OR(Search!$P$7="",ISNUMBER(SEARCH(" "&amp;Search!$P$7,N266))),OR(Search!$P$8="",ISNUMBER(SEARCH(" "&amp;Search!$P$8,N266))),OR(Search!$P$9="",ISNUMBER(SEARCH(" "&amp;Search!$P$9,N266))),OR(Search!$P$10="",ISNUMBER(SEARCH(" "&amp;Search!$P$10,N266)))),ROW(),""))</f>
        <v/>
      </c>
      <c r="N266" s="0" t="str">
        <f aca="false">IF(D266="",""," "&amp;SUBSTITUTE(SUBSTITUTE(SUBSTITUTE(SUBSTITUTE(SUBSTITUTE(SUBSTITUTE(SUBSTITUTE(B266&amp;" "&amp;C266&amp;" "&amp;D266&amp;" "&amp;E266&amp;" "&amp;F266&amp;" "&amp;G266&amp;" "&amp;H266&amp;" "&amp;'06 Glass Fittings HW'!R8,"("," "),")"," "),"/"," "),"-"," "),","," "),";"," "),":"," ")&amp;" ")</f>
        <v> GF 004 Patch Fittings  Glass Doors  Corner lock patch with strike For 10 12 mm glass SS satin dormakaba PT 40   Equiv. set 12mm stainless steel </v>
      </c>
    </row>
    <row r="267" customFormat="false" ht="22.35" hidden="false" customHeight="false" outlineLevel="0" collapsed="false">
      <c r="A267" s="56" t="str">
        <f aca="false">IF('06 Glass Fittings HW'!$C$9="","","Glass Fittings - Partition, Shower &amp; Spider")</f>
        <v>Glass Fittings - Partition, Shower &amp; Spider</v>
      </c>
      <c r="B267" s="57" t="str">
        <f aca="false">IF('06 Glass Fittings HW'!$C$9="","",'06 Glass Fittings HW'!A9)</f>
        <v>GF-005</v>
      </c>
      <c r="C267" s="56" t="str">
        <f aca="false">IF('06 Glass Fittings HW'!$C$9="","",'06 Glass Fittings HW'!B9)</f>
        <v>Patch Fittings (Glass Doors)</v>
      </c>
      <c r="D267" s="56" t="str">
        <f aca="false">IF('06 Glass Fittings HW'!$C$9="","",'06 Glass Fittings HW'!C9)</f>
        <v>Patch fitting set (top, bottom, lock, strike)</v>
      </c>
      <c r="E267" s="56" t="str">
        <f aca="false">IF('06 Glass Fittings HW'!$C$9="","",'06 Glass Fittings HW'!D9)</f>
        <v>Complete door set</v>
      </c>
      <c r="F267" s="56" t="str">
        <f aca="false">IF('06 Glass Fittings HW'!$C$9="","",'06 Glass Fittings HW'!E9)</f>
        <v>SS satin</v>
      </c>
      <c r="G267" s="56" t="str">
        <f aca="false">IF('06 Glass Fittings HW'!$C$9="","",'06 Glass Fittings HW'!F9)</f>
        <v>Local / China</v>
      </c>
      <c r="H267" s="57" t="str">
        <f aca="false">IF('06 Glass Fittings HW'!$C$9="","",'06 Glass Fittings HW'!G9)</f>
        <v>set</v>
      </c>
      <c r="I267" s="58" t="n">
        <f aca="false">IF('06 Glass Fittings HW'!$C$9="","",'06 Glass Fittings HW'!J9)</f>
        <v>180</v>
      </c>
      <c r="J267" s="58" t="n">
        <f aca="false">IF('06 Glass Fittings HW'!$C$9="","",'06 Glass Fittings HW'!K9)</f>
        <v>216</v>
      </c>
      <c r="K267" s="58" t="n">
        <f aca="false">IF('06 Glass Fittings HW'!$C$9="","",'06 Glass Fittings HW'!L9)</f>
        <v>226.8</v>
      </c>
      <c r="L267" s="57" t="str">
        <f aca="false">IF('06 Glass Fittings HW'!$C$9="","",'06 Glass Fittings HW'!M9)</f>
        <v>Indicative</v>
      </c>
      <c r="M267" s="59" t="str">
        <f aca="false">IF(D267="","",IF(AND(OR(Search!$C$6="All Categories",A267=Search!$C$6),OR(Search!$P$5="",ISNUMBER(SEARCH(" "&amp;Search!$P$5,N267))),OR(Search!$P$6="",ISNUMBER(SEARCH(" "&amp;Search!$P$6,N267))),OR(Search!$P$7="",ISNUMBER(SEARCH(" "&amp;Search!$P$7,N267))),OR(Search!$P$8="",ISNUMBER(SEARCH(" "&amp;Search!$P$8,N267))),OR(Search!$P$9="",ISNUMBER(SEARCH(" "&amp;Search!$P$9,N267))),OR(Search!$P$10="",ISNUMBER(SEARCH(" "&amp;Search!$P$10,N267)))),ROW(),""))</f>
        <v/>
      </c>
      <c r="N267" s="0" t="str">
        <f aca="false">IF(D267="",""," "&amp;SUBSTITUTE(SUBSTITUTE(SUBSTITUTE(SUBSTITUTE(SUBSTITUTE(SUBSTITUTE(SUBSTITUTE(B267&amp;" "&amp;C267&amp;" "&amp;D267&amp;" "&amp;E267&amp;" "&amp;F267&amp;" "&amp;G267&amp;" "&amp;H267&amp;" "&amp;'06 Glass Fittings HW'!R9,"("," "),")"," "),"/"," "),"-"," "),","," "),";"," "),":"," ")&amp;" ")</f>
        <v> GF 005 Patch Fittings  Glass Doors  Patch fitting set  top  bottom  lock  strike  Complete door set SS satin Local   China set stainless steel </v>
      </c>
    </row>
    <row r="268" customFormat="false" ht="22.35" hidden="false" customHeight="false" outlineLevel="0" collapsed="false">
      <c r="A268" s="56" t="str">
        <f aca="false">IF('06 Glass Fittings HW'!$C$10="","","Glass Fittings - Partition, Shower &amp; Spider")</f>
        <v>Glass Fittings - Partition, Shower &amp; Spider</v>
      </c>
      <c r="B268" s="57" t="str">
        <f aca="false">IF('06 Glass Fittings HW'!$C$10="","",'06 Glass Fittings HW'!A10)</f>
        <v>GF-006</v>
      </c>
      <c r="C268" s="56" t="str">
        <f aca="false">IF('06 Glass Fittings HW'!$C$10="","",'06 Glass Fittings HW'!B10)</f>
        <v>Patch Fittings (Glass Doors)</v>
      </c>
      <c r="D268" s="56" t="str">
        <f aca="false">IF('06 Glass Fittings HW'!$C$10="","",'06 Glass Fittings HW'!C10)</f>
        <v>Transom / side-panel connector</v>
      </c>
      <c r="E268" s="56" t="str">
        <f aca="false">IF('06 Glass Fittings HW'!$C$10="","",'06 Glass Fittings HW'!D10)</f>
        <v>Glass-to-glass</v>
      </c>
      <c r="F268" s="56" t="str">
        <f aca="false">IF('06 Glass Fittings HW'!$C$10="","",'06 Glass Fittings HW'!E10)</f>
        <v>SS satin</v>
      </c>
      <c r="G268" s="56" t="str">
        <f aca="false">IF('06 Glass Fittings HW'!$C$10="","",'06 Glass Fittings HW'!F10)</f>
        <v>Local / Imported</v>
      </c>
      <c r="H268" s="57" t="str">
        <f aca="false">IF('06 Glass Fittings HW'!$C$10="","",'06 Glass Fittings HW'!G10)</f>
        <v>nos</v>
      </c>
      <c r="I268" s="58" t="n">
        <f aca="false">IF('06 Glass Fittings HW'!$C$10="","",'06 Glass Fittings HW'!J10)</f>
        <v>85</v>
      </c>
      <c r="J268" s="58" t="n">
        <f aca="false">IF('06 Glass Fittings HW'!$C$10="","",'06 Glass Fittings HW'!K10)</f>
        <v>102</v>
      </c>
      <c r="K268" s="58" t="n">
        <f aca="false">IF('06 Glass Fittings HW'!$C$10="","",'06 Glass Fittings HW'!L10)</f>
        <v>107.1</v>
      </c>
      <c r="L268" s="57" t="str">
        <f aca="false">IF('06 Glass Fittings HW'!$C$10="","",'06 Glass Fittings HW'!M10)</f>
        <v>Indicative</v>
      </c>
      <c r="M268" s="59" t="str">
        <f aca="false">IF(D268="","",IF(AND(OR(Search!$C$6="All Categories",A268=Search!$C$6),OR(Search!$P$5="",ISNUMBER(SEARCH(" "&amp;Search!$P$5,N268))),OR(Search!$P$6="",ISNUMBER(SEARCH(" "&amp;Search!$P$6,N268))),OR(Search!$P$7="",ISNUMBER(SEARCH(" "&amp;Search!$P$7,N268))),OR(Search!$P$8="",ISNUMBER(SEARCH(" "&amp;Search!$P$8,N268))),OR(Search!$P$9="",ISNUMBER(SEARCH(" "&amp;Search!$P$9,N268))),OR(Search!$P$10="",ISNUMBER(SEARCH(" "&amp;Search!$P$10,N268)))),ROW(),""))</f>
        <v/>
      </c>
      <c r="N268" s="0" t="str">
        <f aca="false">IF(D268="",""," "&amp;SUBSTITUTE(SUBSTITUTE(SUBSTITUTE(SUBSTITUTE(SUBSTITUTE(SUBSTITUTE(SUBSTITUTE(B268&amp;" "&amp;C268&amp;" "&amp;D268&amp;" "&amp;E268&amp;" "&amp;F268&amp;" "&amp;G268&amp;" "&amp;H268&amp;" "&amp;'06 Glass Fittings HW'!R10,"("," "),")"," "),"/"," "),"-"," "),","," "),";"," "),":"," ")&amp;" ")</f>
        <v> GF 006 Patch Fittings  Glass Doors  Transom   side panel connector Glass to glass SS satin Local   Imported nos stainless steel </v>
      </c>
    </row>
    <row r="269" customFormat="false" ht="22.35" hidden="false" customHeight="false" outlineLevel="0" collapsed="false">
      <c r="A269" s="56" t="str">
        <f aca="false">IF('06 Glass Fittings HW'!$C$11="","","Glass Fittings - Partition, Shower &amp; Spider")</f>
        <v>Glass Fittings - Partition, Shower &amp; Spider</v>
      </c>
      <c r="B269" s="57" t="str">
        <f aca="false">IF('06 Glass Fittings HW'!$C$11="","",'06 Glass Fittings HW'!A11)</f>
        <v>GF-007</v>
      </c>
      <c r="C269" s="56" t="str">
        <f aca="false">IF('06 Glass Fittings HW'!$C$11="","",'06 Glass Fittings HW'!B11)</f>
        <v>Shower Fittings</v>
      </c>
      <c r="D269" s="56" t="str">
        <f aca="false">IF('06 Glass Fittings HW'!$C$11="","",'06 Glass Fittings HW'!C11)</f>
        <v>Shower hinge 90 deg - glass to wall</v>
      </c>
      <c r="E269" s="56" t="str">
        <f aca="false">IF('06 Glass Fittings HW'!$C$11="","",'06 Glass Fittings HW'!D11)</f>
        <v>For 8-10 mm glass</v>
      </c>
      <c r="F269" s="56" t="str">
        <f aca="false">IF('06 Glass Fittings HW'!$C$11="","",'06 Glass Fittings HW'!E11)</f>
        <v>SS 304 chrome / satin</v>
      </c>
      <c r="G269" s="56" t="str">
        <f aca="false">IF('06 Glass Fittings HW'!$C$11="","",'06 Glass Fittings HW'!F11)</f>
        <v>Local / China</v>
      </c>
      <c r="H269" s="57" t="str">
        <f aca="false">IF('06 Glass Fittings HW'!$C$11="","",'06 Glass Fittings HW'!G11)</f>
        <v>nos</v>
      </c>
      <c r="I269" s="58" t="n">
        <f aca="false">IF('06 Glass Fittings HW'!$C$11="","",'06 Glass Fittings HW'!J11)</f>
        <v>85</v>
      </c>
      <c r="J269" s="58" t="n">
        <f aca="false">IF('06 Glass Fittings HW'!$C$11="","",'06 Glass Fittings HW'!K11)</f>
        <v>102</v>
      </c>
      <c r="K269" s="58" t="n">
        <f aca="false">IF('06 Glass Fittings HW'!$C$11="","",'06 Glass Fittings HW'!L11)</f>
        <v>107.1</v>
      </c>
      <c r="L269" s="57" t="str">
        <f aca="false">IF('06 Glass Fittings HW'!$C$11="","",'06 Glass Fittings HW'!M11)</f>
        <v>Indicative</v>
      </c>
      <c r="M269" s="59" t="str">
        <f aca="false">IF(D269="","",IF(AND(OR(Search!$C$6="All Categories",A269=Search!$C$6),OR(Search!$P$5="",ISNUMBER(SEARCH(" "&amp;Search!$P$5,N269))),OR(Search!$P$6="",ISNUMBER(SEARCH(" "&amp;Search!$P$6,N269))),OR(Search!$P$7="",ISNUMBER(SEARCH(" "&amp;Search!$P$7,N269))),OR(Search!$P$8="",ISNUMBER(SEARCH(" "&amp;Search!$P$8,N269))),OR(Search!$P$9="",ISNUMBER(SEARCH(" "&amp;Search!$P$9,N269))),OR(Search!$P$10="",ISNUMBER(SEARCH(" "&amp;Search!$P$10,N269)))),ROW(),""))</f>
        <v/>
      </c>
      <c r="N269" s="0" t="str">
        <f aca="false">IF(D269="",""," "&amp;SUBSTITUTE(SUBSTITUTE(SUBSTITUTE(SUBSTITUTE(SUBSTITUTE(SUBSTITUTE(SUBSTITUTE(B269&amp;" "&amp;C269&amp;" "&amp;D269&amp;" "&amp;E269&amp;" "&amp;F269&amp;" "&amp;G269&amp;" "&amp;H269&amp;" "&amp;'06 Glass Fittings HW'!R11,"("," "),")"," "),"/"," "),"-"," "),","," "),";"," "),":"," ")&amp;" ")</f>
        <v> GF 007 Shower Fittings Shower hinge 90 deg   glass to wall For 8 10 mm glass SS 304 chrome   satin Local   China nos 10mm ss304 sus304 bathroom stainless steel </v>
      </c>
    </row>
    <row r="270" customFormat="false" ht="22.35" hidden="false" customHeight="false" outlineLevel="0" collapsed="false">
      <c r="A270" s="56" t="str">
        <f aca="false">IF('06 Glass Fittings HW'!$C$12="","","Glass Fittings - Partition, Shower &amp; Spider")</f>
        <v>Glass Fittings - Partition, Shower &amp; Spider</v>
      </c>
      <c r="B270" s="57" t="str">
        <f aca="false">IF('06 Glass Fittings HW'!$C$12="","",'06 Glass Fittings HW'!A12)</f>
        <v>GF-008</v>
      </c>
      <c r="C270" s="56" t="str">
        <f aca="false">IF('06 Glass Fittings HW'!$C$12="","",'06 Glass Fittings HW'!B12)</f>
        <v>Shower Fittings</v>
      </c>
      <c r="D270" s="56" t="str">
        <f aca="false">IF('06 Glass Fittings HW'!$C$12="","",'06 Glass Fittings HW'!C12)</f>
        <v>Shower hinge 180 deg - glass to glass</v>
      </c>
      <c r="E270" s="56" t="str">
        <f aca="false">IF('06 Glass Fittings HW'!$C$12="","",'06 Glass Fittings HW'!D12)</f>
        <v>For 8-10 mm glass</v>
      </c>
      <c r="F270" s="56" t="str">
        <f aca="false">IF('06 Glass Fittings HW'!$C$12="","",'06 Glass Fittings HW'!E12)</f>
        <v>SS 304 chrome / satin</v>
      </c>
      <c r="G270" s="56" t="str">
        <f aca="false">IF('06 Glass Fittings HW'!$C$12="","",'06 Glass Fittings HW'!F12)</f>
        <v>Local / China</v>
      </c>
      <c r="H270" s="57" t="str">
        <f aca="false">IF('06 Glass Fittings HW'!$C$12="","",'06 Glass Fittings HW'!G12)</f>
        <v>nos</v>
      </c>
      <c r="I270" s="58" t="n">
        <f aca="false">IF('06 Glass Fittings HW'!$C$12="","",'06 Glass Fittings HW'!J12)</f>
        <v>95</v>
      </c>
      <c r="J270" s="58" t="n">
        <f aca="false">IF('06 Glass Fittings HW'!$C$12="","",'06 Glass Fittings HW'!K12)</f>
        <v>114</v>
      </c>
      <c r="K270" s="58" t="n">
        <f aca="false">IF('06 Glass Fittings HW'!$C$12="","",'06 Glass Fittings HW'!L12)</f>
        <v>119.7</v>
      </c>
      <c r="L270" s="57" t="str">
        <f aca="false">IF('06 Glass Fittings HW'!$C$12="","",'06 Glass Fittings HW'!M12)</f>
        <v>Indicative</v>
      </c>
      <c r="M270" s="59" t="str">
        <f aca="false">IF(D270="","",IF(AND(OR(Search!$C$6="All Categories",A270=Search!$C$6),OR(Search!$P$5="",ISNUMBER(SEARCH(" "&amp;Search!$P$5,N270))),OR(Search!$P$6="",ISNUMBER(SEARCH(" "&amp;Search!$P$6,N270))),OR(Search!$P$7="",ISNUMBER(SEARCH(" "&amp;Search!$P$7,N270))),OR(Search!$P$8="",ISNUMBER(SEARCH(" "&amp;Search!$P$8,N270))),OR(Search!$P$9="",ISNUMBER(SEARCH(" "&amp;Search!$P$9,N270))),OR(Search!$P$10="",ISNUMBER(SEARCH(" "&amp;Search!$P$10,N270)))),ROW(),""))</f>
        <v/>
      </c>
      <c r="N270" s="0" t="str">
        <f aca="false">IF(D270="",""," "&amp;SUBSTITUTE(SUBSTITUTE(SUBSTITUTE(SUBSTITUTE(SUBSTITUTE(SUBSTITUTE(SUBSTITUTE(B270&amp;" "&amp;C270&amp;" "&amp;D270&amp;" "&amp;E270&amp;" "&amp;F270&amp;" "&amp;G270&amp;" "&amp;H270&amp;" "&amp;'06 Glass Fittings HW'!R12,"("," "),")"," "),"/"," "),"-"," "),","," "),";"," "),":"," ")&amp;" ")</f>
        <v> GF 008 Shower Fittings Shower hinge 180 deg   glass to glass For 8 10 mm glass SS 304 chrome   satin Local   China nos 10mm ss304 sus304 bathroom stainless steel </v>
      </c>
    </row>
    <row r="271" customFormat="false" ht="22.35" hidden="false" customHeight="false" outlineLevel="0" collapsed="false">
      <c r="A271" s="56" t="str">
        <f aca="false">IF('06 Glass Fittings HW'!$C$13="","","Glass Fittings - Partition, Shower &amp; Spider")</f>
        <v>Glass Fittings - Partition, Shower &amp; Spider</v>
      </c>
      <c r="B271" s="57" t="str">
        <f aca="false">IF('06 Glass Fittings HW'!$C$13="","",'06 Glass Fittings HW'!A13)</f>
        <v>GF-009</v>
      </c>
      <c r="C271" s="56" t="str">
        <f aca="false">IF('06 Glass Fittings HW'!$C$13="","",'06 Glass Fittings HW'!B13)</f>
        <v>Shower Fittings</v>
      </c>
      <c r="D271" s="56" t="str">
        <f aca="false">IF('06 Glass Fittings HW'!$C$13="","",'06 Glass Fittings HW'!C13)</f>
        <v>Shower hinge 135 deg - glass to glass</v>
      </c>
      <c r="E271" s="56" t="str">
        <f aca="false">IF('06 Glass Fittings HW'!$C$13="","",'06 Glass Fittings HW'!D13)</f>
        <v>For 8-10 mm glass</v>
      </c>
      <c r="F271" s="56" t="str">
        <f aca="false">IF('06 Glass Fittings HW'!$C$13="","",'06 Glass Fittings HW'!E13)</f>
        <v>SS 304 chrome / satin</v>
      </c>
      <c r="G271" s="56" t="str">
        <f aca="false">IF('06 Glass Fittings HW'!$C$13="","",'06 Glass Fittings HW'!F13)</f>
        <v>Local / China</v>
      </c>
      <c r="H271" s="57" t="str">
        <f aca="false">IF('06 Glass Fittings HW'!$C$13="","",'06 Glass Fittings HW'!G13)</f>
        <v>nos</v>
      </c>
      <c r="I271" s="58" t="n">
        <f aca="false">IF('06 Glass Fittings HW'!$C$13="","",'06 Glass Fittings HW'!J13)</f>
        <v>95</v>
      </c>
      <c r="J271" s="58" t="n">
        <f aca="false">IF('06 Glass Fittings HW'!$C$13="","",'06 Glass Fittings HW'!K13)</f>
        <v>114</v>
      </c>
      <c r="K271" s="58" t="n">
        <f aca="false">IF('06 Glass Fittings HW'!$C$13="","",'06 Glass Fittings HW'!L13)</f>
        <v>119.7</v>
      </c>
      <c r="L271" s="57" t="str">
        <f aca="false">IF('06 Glass Fittings HW'!$C$13="","",'06 Glass Fittings HW'!M13)</f>
        <v>Indicative</v>
      </c>
      <c r="M271" s="59" t="str">
        <f aca="false">IF(D271="","",IF(AND(OR(Search!$C$6="All Categories",A271=Search!$C$6),OR(Search!$P$5="",ISNUMBER(SEARCH(" "&amp;Search!$P$5,N271))),OR(Search!$P$6="",ISNUMBER(SEARCH(" "&amp;Search!$P$6,N271))),OR(Search!$P$7="",ISNUMBER(SEARCH(" "&amp;Search!$P$7,N271))),OR(Search!$P$8="",ISNUMBER(SEARCH(" "&amp;Search!$P$8,N271))),OR(Search!$P$9="",ISNUMBER(SEARCH(" "&amp;Search!$P$9,N271))),OR(Search!$P$10="",ISNUMBER(SEARCH(" "&amp;Search!$P$10,N271)))),ROW(),""))</f>
        <v/>
      </c>
      <c r="N271" s="0" t="str">
        <f aca="false">IF(D271="",""," "&amp;SUBSTITUTE(SUBSTITUTE(SUBSTITUTE(SUBSTITUTE(SUBSTITUTE(SUBSTITUTE(SUBSTITUTE(B271&amp;" "&amp;C271&amp;" "&amp;D271&amp;" "&amp;E271&amp;" "&amp;F271&amp;" "&amp;G271&amp;" "&amp;H271&amp;" "&amp;'06 Glass Fittings HW'!R13,"("," "),")"," "),"/"," "),"-"," "),","," "),";"," "),":"," ")&amp;" ")</f>
        <v> GF 009 Shower Fittings Shower hinge 135 deg   glass to glass For 8 10 mm glass SS 304 chrome   satin Local   China nos 10mm ss304 sus304 bathroom stainless steel </v>
      </c>
    </row>
    <row r="272" customFormat="false" ht="22.35" hidden="false" customHeight="false" outlineLevel="0" collapsed="false">
      <c r="A272" s="56" t="str">
        <f aca="false">IF('06 Glass Fittings HW'!$C$14="","","Glass Fittings - Partition, Shower &amp; Spider")</f>
        <v>Glass Fittings - Partition, Shower &amp; Spider</v>
      </c>
      <c r="B272" s="57" t="str">
        <f aca="false">IF('06 Glass Fittings HW'!$C$14="","",'06 Glass Fittings HW'!A14)</f>
        <v>GF-010</v>
      </c>
      <c r="C272" s="56" t="str">
        <f aca="false">IF('06 Glass Fittings HW'!$C$14="","",'06 Glass Fittings HW'!B14)</f>
        <v>Shower Fittings</v>
      </c>
      <c r="D272" s="56" t="str">
        <f aca="false">IF('06 Glass Fittings HW'!$C$14="","",'06 Glass Fittings HW'!C14)</f>
        <v>Shower hinge - premium</v>
      </c>
      <c r="E272" s="56" t="str">
        <f aca="false">IF('06 Glass Fittings HW'!$C$14="","",'06 Glass Fittings HW'!D14)</f>
        <v>For 8-10 mm glass</v>
      </c>
      <c r="F272" s="56" t="str">
        <f aca="false">IF('06 Glass Fittings HW'!$C$14="","",'06 Glass Fittings HW'!E14)</f>
        <v>Chrome / gold / black</v>
      </c>
      <c r="G272" s="56" t="str">
        <f aca="false">IF('06 Glass Fittings HW'!$C$14="","",'06 Glass Fittings HW'!F14)</f>
        <v>dormakaba / Häfele / Equiv.</v>
      </c>
      <c r="H272" s="57" t="str">
        <f aca="false">IF('06 Glass Fittings HW'!$C$14="","",'06 Glass Fittings HW'!G14)</f>
        <v>nos</v>
      </c>
      <c r="I272" s="58" t="n">
        <f aca="false">IF('06 Glass Fittings HW'!$C$14="","",'06 Glass Fittings HW'!J14)</f>
        <v>350</v>
      </c>
      <c r="J272" s="58" t="n">
        <f aca="false">IF('06 Glass Fittings HW'!$C$14="","",'06 Glass Fittings HW'!K14)</f>
        <v>420</v>
      </c>
      <c r="K272" s="58" t="n">
        <f aca="false">IF('06 Glass Fittings HW'!$C$14="","",'06 Glass Fittings HW'!L14)</f>
        <v>441</v>
      </c>
      <c r="L272" s="57" t="str">
        <f aca="false">IF('06 Glass Fittings HW'!$C$14="","",'06 Glass Fittings HW'!M14)</f>
        <v>Indicative</v>
      </c>
      <c r="M272" s="59" t="str">
        <f aca="false">IF(D272="","",IF(AND(OR(Search!$C$6="All Categories",A272=Search!$C$6),OR(Search!$P$5="",ISNUMBER(SEARCH(" "&amp;Search!$P$5,N272))),OR(Search!$P$6="",ISNUMBER(SEARCH(" "&amp;Search!$P$6,N272))),OR(Search!$P$7="",ISNUMBER(SEARCH(" "&amp;Search!$P$7,N272))),OR(Search!$P$8="",ISNUMBER(SEARCH(" "&amp;Search!$P$8,N272))),OR(Search!$P$9="",ISNUMBER(SEARCH(" "&amp;Search!$P$9,N272))),OR(Search!$P$10="",ISNUMBER(SEARCH(" "&amp;Search!$P$10,N272)))),ROW(),""))</f>
        <v/>
      </c>
      <c r="N272" s="0" t="str">
        <f aca="false">IF(D272="",""," "&amp;SUBSTITUTE(SUBSTITUTE(SUBSTITUTE(SUBSTITUTE(SUBSTITUTE(SUBSTITUTE(SUBSTITUTE(B272&amp;" "&amp;C272&amp;" "&amp;D272&amp;" "&amp;E272&amp;" "&amp;F272&amp;" "&amp;G272&amp;" "&amp;H272&amp;" "&amp;'06 Glass Fittings HW'!R14,"("," "),")"," "),"/"," "),"-"," "),","," "),";"," "),":"," ")&amp;" ")</f>
        <v> GF 010 Shower Fittings Shower hinge   premium For 8 10 mm glass Chrome   gold   black dormakaba   Häfele   Equiv. nos 10mm bathroom stainless steel </v>
      </c>
    </row>
    <row r="273" customFormat="false" ht="22.35" hidden="false" customHeight="false" outlineLevel="0" collapsed="false">
      <c r="A273" s="56" t="str">
        <f aca="false">IF('06 Glass Fittings HW'!$C$15="","","Glass Fittings - Partition, Shower &amp; Spider")</f>
        <v>Glass Fittings - Partition, Shower &amp; Spider</v>
      </c>
      <c r="B273" s="57" t="str">
        <f aca="false">IF('06 Glass Fittings HW'!$C$15="","",'06 Glass Fittings HW'!A15)</f>
        <v>GF-011</v>
      </c>
      <c r="C273" s="56" t="str">
        <f aca="false">IF('06 Glass Fittings HW'!$C$15="","",'06 Glass Fittings HW'!B15)</f>
        <v>Shower Fittings</v>
      </c>
      <c r="D273" s="56" t="str">
        <f aca="false">IF('06 Glass Fittings HW'!$C$15="","",'06 Glass Fittings HW'!C15)</f>
        <v>Shower door knob / pull handle</v>
      </c>
      <c r="E273" s="56" t="str">
        <f aca="false">IF('06 Glass Fittings HW'!$C$15="","",'06 Glass Fittings HW'!D15)</f>
        <v>300 mm back-to-back</v>
      </c>
      <c r="F273" s="56" t="str">
        <f aca="false">IF('06 Glass Fittings HW'!$C$15="","",'06 Glass Fittings HW'!E15)</f>
        <v>SS chrome / satin</v>
      </c>
      <c r="G273" s="56" t="str">
        <f aca="false">IF('06 Glass Fittings HW'!$C$15="","",'06 Glass Fittings HW'!F15)</f>
        <v>Local</v>
      </c>
      <c r="H273" s="57" t="str">
        <f aca="false">IF('06 Glass Fittings HW'!$C$15="","",'06 Glass Fittings HW'!G15)</f>
        <v>pair</v>
      </c>
      <c r="I273" s="58" t="n">
        <f aca="false">IF('06 Glass Fittings HW'!$C$15="","",'06 Glass Fittings HW'!J15)</f>
        <v>60</v>
      </c>
      <c r="J273" s="58" t="n">
        <f aca="false">IF('06 Glass Fittings HW'!$C$15="","",'06 Glass Fittings HW'!K15)</f>
        <v>72</v>
      </c>
      <c r="K273" s="58" t="n">
        <f aca="false">IF('06 Glass Fittings HW'!$C$15="","",'06 Glass Fittings HW'!L15)</f>
        <v>75.6</v>
      </c>
      <c r="L273" s="57" t="str">
        <f aca="false">IF('06 Glass Fittings HW'!$C$15="","",'06 Glass Fittings HW'!M15)</f>
        <v>Indicative</v>
      </c>
      <c r="M273" s="59" t="str">
        <f aca="false">IF(D273="","",IF(AND(OR(Search!$C$6="All Categories",A273=Search!$C$6),OR(Search!$P$5="",ISNUMBER(SEARCH(" "&amp;Search!$P$5,N273))),OR(Search!$P$6="",ISNUMBER(SEARCH(" "&amp;Search!$P$6,N273))),OR(Search!$P$7="",ISNUMBER(SEARCH(" "&amp;Search!$P$7,N273))),OR(Search!$P$8="",ISNUMBER(SEARCH(" "&amp;Search!$P$8,N273))),OR(Search!$P$9="",ISNUMBER(SEARCH(" "&amp;Search!$P$9,N273))),OR(Search!$P$10="",ISNUMBER(SEARCH(" "&amp;Search!$P$10,N273)))),ROW(),""))</f>
        <v/>
      </c>
      <c r="N273" s="0" t="str">
        <f aca="false">IF(D273="",""," "&amp;SUBSTITUTE(SUBSTITUTE(SUBSTITUTE(SUBSTITUTE(SUBSTITUTE(SUBSTITUTE(SUBSTITUTE(B273&amp;" "&amp;C273&amp;" "&amp;D273&amp;" "&amp;E273&amp;" "&amp;F273&amp;" "&amp;G273&amp;" "&amp;H273&amp;" "&amp;'06 Glass Fittings HW'!R15,"("," "),")"," "),"/"," "),"-"," "),","," "),";"," "),":"," ")&amp;" ")</f>
        <v> GF 011 Shower Fittings Shower door knob   pull handle 300 mm back to back SS chrome   satin Local pair 300mm door bathroom stainless steel </v>
      </c>
    </row>
    <row r="274" customFormat="false" ht="22.35" hidden="false" customHeight="false" outlineLevel="0" collapsed="false">
      <c r="A274" s="56" t="str">
        <f aca="false">IF('06 Glass Fittings HW'!$C$16="","","Glass Fittings - Partition, Shower &amp; Spider")</f>
        <v>Glass Fittings - Partition, Shower &amp; Spider</v>
      </c>
      <c r="B274" s="57" t="str">
        <f aca="false">IF('06 Glass Fittings HW'!$C$16="","",'06 Glass Fittings HW'!A16)</f>
        <v>GF-012</v>
      </c>
      <c r="C274" s="56" t="str">
        <f aca="false">IF('06 Glass Fittings HW'!$C$16="","",'06 Glass Fittings HW'!B16)</f>
        <v>Shower Fittings</v>
      </c>
      <c r="D274" s="56" t="str">
        <f aca="false">IF('06 Glass Fittings HW'!$C$16="","",'06 Glass Fittings HW'!C16)</f>
        <v>Glass-to-wall clamp (L / flat)</v>
      </c>
      <c r="E274" s="56" t="str">
        <f aca="false">IF('06 Glass Fittings HW'!$C$16="","",'06 Glass Fittings HW'!D16)</f>
        <v>For 8-10 mm glass</v>
      </c>
      <c r="F274" s="56" t="str">
        <f aca="false">IF('06 Glass Fittings HW'!$C$16="","",'06 Glass Fittings HW'!E16)</f>
        <v>SS chrome</v>
      </c>
      <c r="G274" s="56" t="str">
        <f aca="false">IF('06 Glass Fittings HW'!$C$16="","",'06 Glass Fittings HW'!F16)</f>
        <v>Local / China</v>
      </c>
      <c r="H274" s="57" t="str">
        <f aca="false">IF('06 Glass Fittings HW'!$C$16="","",'06 Glass Fittings HW'!G16)</f>
        <v>nos</v>
      </c>
      <c r="I274" s="58" t="n">
        <f aca="false">IF('06 Glass Fittings HW'!$C$16="","",'06 Glass Fittings HW'!J16)</f>
        <v>30</v>
      </c>
      <c r="J274" s="58" t="n">
        <f aca="false">IF('06 Glass Fittings HW'!$C$16="","",'06 Glass Fittings HW'!K16)</f>
        <v>36</v>
      </c>
      <c r="K274" s="58" t="n">
        <f aca="false">IF('06 Glass Fittings HW'!$C$16="","",'06 Glass Fittings HW'!L16)</f>
        <v>37.8</v>
      </c>
      <c r="L274" s="57" t="str">
        <f aca="false">IF('06 Glass Fittings HW'!$C$16="","",'06 Glass Fittings HW'!M16)</f>
        <v>Indicative</v>
      </c>
      <c r="M274" s="59" t="str">
        <f aca="false">IF(D274="","",IF(AND(OR(Search!$C$6="All Categories",A274=Search!$C$6),OR(Search!$P$5="",ISNUMBER(SEARCH(" "&amp;Search!$P$5,N274))),OR(Search!$P$6="",ISNUMBER(SEARCH(" "&amp;Search!$P$6,N274))),OR(Search!$P$7="",ISNUMBER(SEARCH(" "&amp;Search!$P$7,N274))),OR(Search!$P$8="",ISNUMBER(SEARCH(" "&amp;Search!$P$8,N274))),OR(Search!$P$9="",ISNUMBER(SEARCH(" "&amp;Search!$P$9,N274))),OR(Search!$P$10="",ISNUMBER(SEARCH(" "&amp;Search!$P$10,N274)))),ROW(),""))</f>
        <v/>
      </c>
      <c r="N274" s="0" t="str">
        <f aca="false">IF(D274="",""," "&amp;SUBSTITUTE(SUBSTITUTE(SUBSTITUTE(SUBSTITUTE(SUBSTITUTE(SUBSTITUTE(SUBSTITUTE(B274&amp;" "&amp;C274&amp;" "&amp;D274&amp;" "&amp;E274&amp;" "&amp;F274&amp;" "&amp;G274&amp;" "&amp;H274&amp;" "&amp;'06 Glass Fittings HW'!R16,"("," "),")"," "),"/"," "),"-"," "),","," "),";"," "),":"," ")&amp;" ")</f>
        <v> GF 012 Shower Fittings Glass to wall clamp  L   flat  For 8 10 mm glass SS chrome Local   China nos 10mm bathroom stainless steel </v>
      </c>
    </row>
    <row r="275" customFormat="false" ht="22.35" hidden="false" customHeight="false" outlineLevel="0" collapsed="false">
      <c r="A275" s="56" t="str">
        <f aca="false">IF('06 Glass Fittings HW'!$C$17="","","Glass Fittings - Partition, Shower &amp; Spider")</f>
        <v>Glass Fittings - Partition, Shower &amp; Spider</v>
      </c>
      <c r="B275" s="57" t="str">
        <f aca="false">IF('06 Glass Fittings HW'!$C$17="","",'06 Glass Fittings HW'!A17)</f>
        <v>GF-013</v>
      </c>
      <c r="C275" s="56" t="str">
        <f aca="false">IF('06 Glass Fittings HW'!$C$17="","",'06 Glass Fittings HW'!B17)</f>
        <v>Shower Fittings</v>
      </c>
      <c r="D275" s="56" t="str">
        <f aca="false">IF('06 Glass Fittings HW'!$C$17="","",'06 Glass Fittings HW'!C17)</f>
        <v>Glass-to-glass clamp (90/180 deg)</v>
      </c>
      <c r="E275" s="56" t="str">
        <f aca="false">IF('06 Glass Fittings HW'!$C$17="","",'06 Glass Fittings HW'!D17)</f>
        <v>For 8-10 mm glass</v>
      </c>
      <c r="F275" s="56" t="str">
        <f aca="false">IF('06 Glass Fittings HW'!$C$17="","",'06 Glass Fittings HW'!E17)</f>
        <v>SS chrome</v>
      </c>
      <c r="G275" s="56" t="str">
        <f aca="false">IF('06 Glass Fittings HW'!$C$17="","",'06 Glass Fittings HW'!F17)</f>
        <v>Local / China</v>
      </c>
      <c r="H275" s="57" t="str">
        <f aca="false">IF('06 Glass Fittings HW'!$C$17="","",'06 Glass Fittings HW'!G17)</f>
        <v>nos</v>
      </c>
      <c r="I275" s="58" t="n">
        <f aca="false">IF('06 Glass Fittings HW'!$C$17="","",'06 Glass Fittings HW'!J17)</f>
        <v>35</v>
      </c>
      <c r="J275" s="58" t="n">
        <f aca="false">IF('06 Glass Fittings HW'!$C$17="","",'06 Glass Fittings HW'!K17)</f>
        <v>42</v>
      </c>
      <c r="K275" s="58" t="n">
        <f aca="false">IF('06 Glass Fittings HW'!$C$17="","",'06 Glass Fittings HW'!L17)</f>
        <v>44.1</v>
      </c>
      <c r="L275" s="57" t="str">
        <f aca="false">IF('06 Glass Fittings HW'!$C$17="","",'06 Glass Fittings HW'!M17)</f>
        <v>Indicative</v>
      </c>
      <c r="M275" s="59" t="str">
        <f aca="false">IF(D275="","",IF(AND(OR(Search!$C$6="All Categories",A275=Search!$C$6),OR(Search!$P$5="",ISNUMBER(SEARCH(" "&amp;Search!$P$5,N275))),OR(Search!$P$6="",ISNUMBER(SEARCH(" "&amp;Search!$P$6,N275))),OR(Search!$P$7="",ISNUMBER(SEARCH(" "&amp;Search!$P$7,N275))),OR(Search!$P$8="",ISNUMBER(SEARCH(" "&amp;Search!$P$8,N275))),OR(Search!$P$9="",ISNUMBER(SEARCH(" "&amp;Search!$P$9,N275))),OR(Search!$P$10="",ISNUMBER(SEARCH(" "&amp;Search!$P$10,N275)))),ROW(),""))</f>
        <v/>
      </c>
      <c r="N275" s="0" t="str">
        <f aca="false">IF(D275="",""," "&amp;SUBSTITUTE(SUBSTITUTE(SUBSTITUTE(SUBSTITUTE(SUBSTITUTE(SUBSTITUTE(SUBSTITUTE(B275&amp;" "&amp;C275&amp;" "&amp;D275&amp;" "&amp;E275&amp;" "&amp;F275&amp;" "&amp;G275&amp;" "&amp;H275&amp;" "&amp;'06 Glass Fittings HW'!R17,"("," "),")"," "),"/"," "),"-"," "),","," "),";"," "),":"," ")&amp;" ")</f>
        <v> GF 013 Shower Fittings Glass to glass clamp  90 180 deg  For 8 10 mm glass SS chrome Local   China nos 10mm bathroom stainless steel </v>
      </c>
    </row>
    <row r="276" customFormat="false" ht="22.35" hidden="false" customHeight="false" outlineLevel="0" collapsed="false">
      <c r="A276" s="56" t="str">
        <f aca="false">IF('06 Glass Fittings HW'!$C$18="","","Glass Fittings - Partition, Shower &amp; Spider")</f>
        <v>Glass Fittings - Partition, Shower &amp; Spider</v>
      </c>
      <c r="B276" s="57" t="str">
        <f aca="false">IF('06 Glass Fittings HW'!$C$18="","",'06 Glass Fittings HW'!A18)</f>
        <v>GF-014</v>
      </c>
      <c r="C276" s="56" t="str">
        <f aca="false">IF('06 Glass Fittings HW'!$C$18="","",'06 Glass Fittings HW'!B18)</f>
        <v>Shower Fittings</v>
      </c>
      <c r="D276" s="56" t="str">
        <f aca="false">IF('06 Glass Fittings HW'!$C$18="","",'06 Glass Fittings HW'!C18)</f>
        <v>Support bar / stabilizer bar with fittings</v>
      </c>
      <c r="E276" s="56" t="str">
        <f aca="false">IF('06 Glass Fittings HW'!$C$18="","",'06 Glass Fittings HW'!D18)</f>
        <v>Up to 1000 mm</v>
      </c>
      <c r="F276" s="56" t="str">
        <f aca="false">IF('06 Glass Fittings HW'!$C$18="","",'06 Glass Fittings HW'!E18)</f>
        <v>SS chrome</v>
      </c>
      <c r="G276" s="56" t="str">
        <f aca="false">IF('06 Glass Fittings HW'!$C$18="","",'06 Glass Fittings HW'!F18)</f>
        <v>Local / China</v>
      </c>
      <c r="H276" s="57" t="str">
        <f aca="false">IF('06 Glass Fittings HW'!$C$18="","",'06 Glass Fittings HW'!G18)</f>
        <v>set</v>
      </c>
      <c r="I276" s="58" t="n">
        <f aca="false">IF('06 Glass Fittings HW'!$C$18="","",'06 Glass Fittings HW'!J18)</f>
        <v>140</v>
      </c>
      <c r="J276" s="58" t="n">
        <f aca="false">IF('06 Glass Fittings HW'!$C$18="","",'06 Glass Fittings HW'!K18)</f>
        <v>168</v>
      </c>
      <c r="K276" s="58" t="n">
        <f aca="false">IF('06 Glass Fittings HW'!$C$18="","",'06 Glass Fittings HW'!L18)</f>
        <v>176.4</v>
      </c>
      <c r="L276" s="57" t="str">
        <f aca="false">IF('06 Glass Fittings HW'!$C$18="","",'06 Glass Fittings HW'!M18)</f>
        <v>Indicative</v>
      </c>
      <c r="M276" s="59" t="str">
        <f aca="false">IF(D276="","",IF(AND(OR(Search!$C$6="All Categories",A276=Search!$C$6),OR(Search!$P$5="",ISNUMBER(SEARCH(" "&amp;Search!$P$5,N276))),OR(Search!$P$6="",ISNUMBER(SEARCH(" "&amp;Search!$P$6,N276))),OR(Search!$P$7="",ISNUMBER(SEARCH(" "&amp;Search!$P$7,N276))),OR(Search!$P$8="",ISNUMBER(SEARCH(" "&amp;Search!$P$8,N276))),OR(Search!$P$9="",ISNUMBER(SEARCH(" "&amp;Search!$P$9,N276))),OR(Search!$P$10="",ISNUMBER(SEARCH(" "&amp;Search!$P$10,N276)))),ROW(),""))</f>
        <v/>
      </c>
      <c r="N276" s="0" t="str">
        <f aca="false">IF(D276="",""," "&amp;SUBSTITUTE(SUBSTITUTE(SUBSTITUTE(SUBSTITUTE(SUBSTITUTE(SUBSTITUTE(SUBSTITUTE(B276&amp;" "&amp;C276&amp;" "&amp;D276&amp;" "&amp;E276&amp;" "&amp;F276&amp;" "&amp;G276&amp;" "&amp;H276&amp;" "&amp;'06 Glass Fittings HW'!R18,"("," "),")"," "),"/"," "),"-"," "),","," "),";"," "),":"," ")&amp;" ")</f>
        <v> GF 014 Shower Fittings Support bar   stabilizer bar with fittings Up to 1000 mm SS chrome Local   China set 1000mm bathroom stainless steel </v>
      </c>
    </row>
    <row r="277" customFormat="false" ht="22.35" hidden="false" customHeight="false" outlineLevel="0" collapsed="false">
      <c r="A277" s="56" t="str">
        <f aca="false">IF('06 Glass Fittings HW'!$C$19="","","Glass Fittings - Partition, Shower &amp; Spider")</f>
        <v>Glass Fittings - Partition, Shower &amp; Spider</v>
      </c>
      <c r="B277" s="57" t="str">
        <f aca="false">IF('06 Glass Fittings HW'!$C$19="","",'06 Glass Fittings HW'!A19)</f>
        <v>GF-015</v>
      </c>
      <c r="C277" s="56" t="str">
        <f aca="false">IF('06 Glass Fittings HW'!$C$19="","",'06 Glass Fittings HW'!B19)</f>
        <v>Shower Fittings</v>
      </c>
      <c r="D277" s="56" t="str">
        <f aca="false">IF('06 Glass Fittings HW'!$C$19="","",'06 Glass Fittings HW'!C19)</f>
        <v>Sliding shower kit (barn type)</v>
      </c>
      <c r="E277" s="56" t="str">
        <f aca="false">IF('06 Glass Fittings HW'!$C$19="","",'06 Glass Fittings HW'!D19)</f>
        <v>Up to 1500 mm, 8-10 mm glass</v>
      </c>
      <c r="F277" s="56" t="str">
        <f aca="false">IF('06 Glass Fittings HW'!$C$19="","",'06 Glass Fittings HW'!E19)</f>
        <v>SS satin / black</v>
      </c>
      <c r="G277" s="56" t="str">
        <f aca="false">IF('06 Glass Fittings HW'!$C$19="","",'06 Glass Fittings HW'!F19)</f>
        <v>Local / China</v>
      </c>
      <c r="H277" s="57" t="str">
        <f aca="false">IF('06 Glass Fittings HW'!$C$19="","",'06 Glass Fittings HW'!G19)</f>
        <v>set</v>
      </c>
      <c r="I277" s="58" t="n">
        <f aca="false">IF('06 Glass Fittings HW'!$C$19="","",'06 Glass Fittings HW'!J19)</f>
        <v>450</v>
      </c>
      <c r="J277" s="58" t="n">
        <f aca="false">IF('06 Glass Fittings HW'!$C$19="","",'06 Glass Fittings HW'!K19)</f>
        <v>540</v>
      </c>
      <c r="K277" s="58" t="n">
        <f aca="false">IF('06 Glass Fittings HW'!$C$19="","",'06 Glass Fittings HW'!L19)</f>
        <v>567</v>
      </c>
      <c r="L277" s="57" t="str">
        <f aca="false">IF('06 Glass Fittings HW'!$C$19="","",'06 Glass Fittings HW'!M19)</f>
        <v>Indicative</v>
      </c>
      <c r="M277" s="59" t="str">
        <f aca="false">IF(D277="","",IF(AND(OR(Search!$C$6="All Categories",A277=Search!$C$6),OR(Search!$P$5="",ISNUMBER(SEARCH(" "&amp;Search!$P$5,N277))),OR(Search!$P$6="",ISNUMBER(SEARCH(" "&amp;Search!$P$6,N277))),OR(Search!$P$7="",ISNUMBER(SEARCH(" "&amp;Search!$P$7,N277))),OR(Search!$P$8="",ISNUMBER(SEARCH(" "&amp;Search!$P$8,N277))),OR(Search!$P$9="",ISNUMBER(SEARCH(" "&amp;Search!$P$9,N277))),OR(Search!$P$10="",ISNUMBER(SEARCH(" "&amp;Search!$P$10,N277)))),ROW(),""))</f>
        <v/>
      </c>
      <c r="N277" s="0" t="str">
        <f aca="false">IF(D277="",""," "&amp;SUBSTITUTE(SUBSTITUTE(SUBSTITUTE(SUBSTITUTE(SUBSTITUTE(SUBSTITUTE(SUBSTITUTE(B277&amp;" "&amp;C277&amp;" "&amp;D277&amp;" "&amp;E277&amp;" "&amp;F277&amp;" "&amp;G277&amp;" "&amp;H277&amp;" "&amp;'06 Glass Fittings HW'!R19,"("," "),")"," "),"/"," "),"-"," "),","," "),";"," "),":"," ")&amp;" ")</f>
        <v> GF 015 Shower Fittings Sliding shower kit  barn type  Up to 1500 mm  8 10 mm glass SS satin   black Local   China set 1500mm 10mm bathroom stainless steel </v>
      </c>
    </row>
    <row r="278" customFormat="false" ht="22.35" hidden="false" customHeight="false" outlineLevel="0" collapsed="false">
      <c r="A278" s="56" t="str">
        <f aca="false">IF('06 Glass Fittings HW'!$C$20="","","Glass Fittings - Partition, Shower &amp; Spider")</f>
        <v>Glass Fittings - Partition, Shower &amp; Spider</v>
      </c>
      <c r="B278" s="57" t="str">
        <f aca="false">IF('06 Glass Fittings HW'!$C$20="","",'06 Glass Fittings HW'!A20)</f>
        <v>GF-016</v>
      </c>
      <c r="C278" s="56" t="str">
        <f aca="false">IF('06 Glass Fittings HW'!$C$20="","",'06 Glass Fittings HW'!B20)</f>
        <v>Shower Fittings</v>
      </c>
      <c r="D278" s="56" t="str">
        <f aca="false">IF('06 Glass Fittings HW'!$C$20="","",'06 Glass Fittings HW'!C20)</f>
        <v>Shower seal / drip strip (PVC)</v>
      </c>
      <c r="E278" s="56" t="str">
        <f aca="false">IF('06 Glass Fittings HW'!$C$20="","",'06 Glass Fittings HW'!D20)</f>
        <v>Per lm</v>
      </c>
      <c r="F278" s="56" t="str">
        <f aca="false">IF('06 Glass Fittings HW'!$C$20="","",'06 Glass Fittings HW'!E20)</f>
        <v>Clear</v>
      </c>
      <c r="G278" s="56" t="str">
        <f aca="false">IF('06 Glass Fittings HW'!$C$20="","",'06 Glass Fittings HW'!F20)</f>
        <v>Local</v>
      </c>
      <c r="H278" s="57" t="str">
        <f aca="false">IF('06 Glass Fittings HW'!$C$20="","",'06 Glass Fittings HW'!G20)</f>
        <v>lm</v>
      </c>
      <c r="I278" s="58" t="n">
        <f aca="false">IF('06 Glass Fittings HW'!$C$20="","",'06 Glass Fittings HW'!J20)</f>
        <v>12</v>
      </c>
      <c r="J278" s="58" t="n">
        <f aca="false">IF('06 Glass Fittings HW'!$C$20="","",'06 Glass Fittings HW'!K20)</f>
        <v>14.4</v>
      </c>
      <c r="K278" s="58" t="n">
        <f aca="false">IF('06 Glass Fittings HW'!$C$20="","",'06 Glass Fittings HW'!L20)</f>
        <v>15.12</v>
      </c>
      <c r="L278" s="57" t="str">
        <f aca="false">IF('06 Glass Fittings HW'!$C$20="","",'06 Glass Fittings HW'!M20)</f>
        <v>Indicative</v>
      </c>
      <c r="M278" s="59" t="str">
        <f aca="false">IF(D278="","",IF(AND(OR(Search!$C$6="All Categories",A278=Search!$C$6),OR(Search!$P$5="",ISNUMBER(SEARCH(" "&amp;Search!$P$5,N278))),OR(Search!$P$6="",ISNUMBER(SEARCH(" "&amp;Search!$P$6,N278))),OR(Search!$P$7="",ISNUMBER(SEARCH(" "&amp;Search!$P$7,N278))),OR(Search!$P$8="",ISNUMBER(SEARCH(" "&amp;Search!$P$8,N278))),OR(Search!$P$9="",ISNUMBER(SEARCH(" "&amp;Search!$P$9,N278))),OR(Search!$P$10="",ISNUMBER(SEARCH(" "&amp;Search!$P$10,N278)))),ROW(),""))</f>
        <v/>
      </c>
      <c r="N278" s="0" t="str">
        <f aca="false">IF(D278="",""," "&amp;SUBSTITUTE(SUBSTITUTE(SUBSTITUTE(SUBSTITUTE(SUBSTITUTE(SUBSTITUTE(SUBSTITUTE(B278&amp;" "&amp;C278&amp;" "&amp;D278&amp;" "&amp;E278&amp;" "&amp;F278&amp;" "&amp;G278&amp;" "&amp;H278&amp;" "&amp;'06 Glass Fittings HW'!R20,"("," "),")"," "),"/"," "),"-"," "),","," "),";"," "),":"," ")&amp;" ")</f>
        <v> GF 016 Shower Fittings Shower seal   drip strip  PVC  Per lm Clear Local lm bathroom </v>
      </c>
    </row>
    <row r="279" customFormat="false" ht="22.35" hidden="false" customHeight="false" outlineLevel="0" collapsed="false">
      <c r="A279" s="56" t="str">
        <f aca="false">IF('06 Glass Fittings HW'!$C$21="","","Glass Fittings - Partition, Shower &amp; Spider")</f>
        <v>Glass Fittings - Partition, Shower &amp; Spider</v>
      </c>
      <c r="B279" s="57" t="str">
        <f aca="false">IF('06 Glass Fittings HW'!$C$21="","",'06 Glass Fittings HW'!A21)</f>
        <v>GF-017</v>
      </c>
      <c r="C279" s="56" t="str">
        <f aca="false">IF('06 Glass Fittings HW'!$C$21="","",'06 Glass Fittings HW'!B21)</f>
        <v>Shower Fittings</v>
      </c>
      <c r="D279" s="56" t="str">
        <f aca="false">IF('06 Glass Fittings HW'!$C$21="","",'06 Glass Fittings HW'!C21)</f>
        <v>Magnetic seal profile</v>
      </c>
      <c r="E279" s="56" t="str">
        <f aca="false">IF('06 Glass Fittings HW'!$C$21="","",'06 Glass Fittings HW'!D21)</f>
        <v>Per lm</v>
      </c>
      <c r="F279" s="56" t="str">
        <f aca="false">IF('06 Glass Fittings HW'!$C$21="","",'06 Glass Fittings HW'!E21)</f>
        <v>Clear</v>
      </c>
      <c r="G279" s="56" t="str">
        <f aca="false">IF('06 Glass Fittings HW'!$C$21="","",'06 Glass Fittings HW'!F21)</f>
        <v>Local</v>
      </c>
      <c r="H279" s="57" t="str">
        <f aca="false">IF('06 Glass Fittings HW'!$C$21="","",'06 Glass Fittings HW'!G21)</f>
        <v>lm</v>
      </c>
      <c r="I279" s="58" t="n">
        <f aca="false">IF('06 Glass Fittings HW'!$C$21="","",'06 Glass Fittings HW'!J21)</f>
        <v>22</v>
      </c>
      <c r="J279" s="58" t="n">
        <f aca="false">IF('06 Glass Fittings HW'!$C$21="","",'06 Glass Fittings HW'!K21)</f>
        <v>26.4</v>
      </c>
      <c r="K279" s="58" t="n">
        <f aca="false">IF('06 Glass Fittings HW'!$C$21="","",'06 Glass Fittings HW'!L21)</f>
        <v>27.72</v>
      </c>
      <c r="L279" s="57" t="str">
        <f aca="false">IF('06 Glass Fittings HW'!$C$21="","",'06 Glass Fittings HW'!M21)</f>
        <v>Indicative</v>
      </c>
      <c r="M279" s="59" t="str">
        <f aca="false">IF(D279="","",IF(AND(OR(Search!$C$6="All Categories",A279=Search!$C$6),OR(Search!$P$5="",ISNUMBER(SEARCH(" "&amp;Search!$P$5,N279))),OR(Search!$P$6="",ISNUMBER(SEARCH(" "&amp;Search!$P$6,N279))),OR(Search!$P$7="",ISNUMBER(SEARCH(" "&amp;Search!$P$7,N279))),OR(Search!$P$8="",ISNUMBER(SEARCH(" "&amp;Search!$P$8,N279))),OR(Search!$P$9="",ISNUMBER(SEARCH(" "&amp;Search!$P$9,N279))),OR(Search!$P$10="",ISNUMBER(SEARCH(" "&amp;Search!$P$10,N279)))),ROW(),""))</f>
        <v/>
      </c>
      <c r="N279" s="0" t="str">
        <f aca="false">IF(D279="",""," "&amp;SUBSTITUTE(SUBSTITUTE(SUBSTITUTE(SUBSTITUTE(SUBSTITUTE(SUBSTITUTE(SUBSTITUTE(B279&amp;" "&amp;C279&amp;" "&amp;D279&amp;" "&amp;E279&amp;" "&amp;F279&amp;" "&amp;G279&amp;" "&amp;H279&amp;" "&amp;'06 Glass Fittings HW'!R21,"("," "),")"," "),"/"," "),"-"," "),","," "),";"," "),":"," ")&amp;" ")</f>
        <v> GF 017 Shower Fittings Magnetic seal profile Per lm Clear Local lm bathroom </v>
      </c>
    </row>
    <row r="280" customFormat="false" ht="22.35" hidden="false" customHeight="false" outlineLevel="0" collapsed="false">
      <c r="A280" s="56" t="str">
        <f aca="false">IF('06 Glass Fittings HW'!$C$22="","","Glass Fittings - Partition, Shower &amp; Spider")</f>
        <v>Glass Fittings - Partition, Shower &amp; Spider</v>
      </c>
      <c r="B280" s="57" t="str">
        <f aca="false">IF('06 Glass Fittings HW'!$C$22="","",'06 Glass Fittings HW'!A22)</f>
        <v>GF-018</v>
      </c>
      <c r="C280" s="56" t="str">
        <f aca="false">IF('06 Glass Fittings HW'!$C$22="","",'06 Glass Fittings HW'!B22)</f>
        <v>Partition Hardware</v>
      </c>
      <c r="D280" s="56" t="str">
        <f aca="false">IF('06 Glass Fittings HW'!$C$22="","",'06 Glass Fittings HW'!C22)</f>
        <v>Sliding glass door track system</v>
      </c>
      <c r="E280" s="56" t="str">
        <f aca="false">IF('06 Glass Fittings HW'!$C$22="","",'06 Glass Fittings HW'!D22)</f>
        <v>Up to 80 kg, 2 m track</v>
      </c>
      <c r="F280" s="56" t="str">
        <f aca="false">IF('06 Glass Fittings HW'!$C$22="","",'06 Glass Fittings HW'!E22)</f>
        <v>Anodized</v>
      </c>
      <c r="G280" s="56" t="str">
        <f aca="false">IF('06 Glass Fittings HW'!$C$22="","",'06 Glass Fittings HW'!F22)</f>
        <v>dormakaba MUTO / Equiv.</v>
      </c>
      <c r="H280" s="57" t="str">
        <f aca="false">IF('06 Glass Fittings HW'!$C$22="","",'06 Glass Fittings HW'!G22)</f>
        <v>set</v>
      </c>
      <c r="I280" s="58" t="n">
        <f aca="false">IF('06 Glass Fittings HW'!$C$22="","",'06 Glass Fittings HW'!J22)</f>
        <v>1800</v>
      </c>
      <c r="J280" s="58" t="n">
        <f aca="false">IF('06 Glass Fittings HW'!$C$22="","",'06 Glass Fittings HW'!K22)</f>
        <v>2160</v>
      </c>
      <c r="K280" s="58" t="n">
        <f aca="false">IF('06 Glass Fittings HW'!$C$22="","",'06 Glass Fittings HW'!L22)</f>
        <v>2268</v>
      </c>
      <c r="L280" s="57" t="str">
        <f aca="false">IF('06 Glass Fittings HW'!$C$22="","",'06 Glass Fittings HW'!M22)</f>
        <v>Indicative</v>
      </c>
      <c r="M280" s="59" t="str">
        <f aca="false">IF(D280="","",IF(AND(OR(Search!$C$6="All Categories",A280=Search!$C$6),OR(Search!$P$5="",ISNUMBER(SEARCH(" "&amp;Search!$P$5,N280))),OR(Search!$P$6="",ISNUMBER(SEARCH(" "&amp;Search!$P$6,N280))),OR(Search!$P$7="",ISNUMBER(SEARCH(" "&amp;Search!$P$7,N280))),OR(Search!$P$8="",ISNUMBER(SEARCH(" "&amp;Search!$P$8,N280))),OR(Search!$P$9="",ISNUMBER(SEARCH(" "&amp;Search!$P$9,N280))),OR(Search!$P$10="",ISNUMBER(SEARCH(" "&amp;Search!$P$10,N280)))),ROW(),""))</f>
        <v/>
      </c>
      <c r="N280" s="0" t="str">
        <f aca="false">IF(D280="",""," "&amp;SUBSTITUTE(SUBSTITUTE(SUBSTITUTE(SUBSTITUTE(SUBSTITUTE(SUBSTITUTE(SUBSTITUTE(B280&amp;" "&amp;C280&amp;" "&amp;D280&amp;" "&amp;E280&amp;" "&amp;F280&amp;" "&amp;G280&amp;" "&amp;H280&amp;" "&amp;'06 Glass Fittings HW'!R22,"("," "),")"," "),"/"," "),"-"," "),","," "),";"," "),":"," ")&amp;" ")</f>
        <v> GF 018 Partition Hardware Sliding glass door track system Up to 80 kg  2 m track Anodized dormakaba MUTO   Equiv. set stainless steel </v>
      </c>
    </row>
    <row r="281" customFormat="false" ht="22.35" hidden="false" customHeight="false" outlineLevel="0" collapsed="false">
      <c r="A281" s="56" t="str">
        <f aca="false">IF('06 Glass Fittings HW'!$C$23="","","Glass Fittings - Partition, Shower &amp; Spider")</f>
        <v>Glass Fittings - Partition, Shower &amp; Spider</v>
      </c>
      <c r="B281" s="57" t="str">
        <f aca="false">IF('06 Glass Fittings HW'!$C$23="","",'06 Glass Fittings HW'!A23)</f>
        <v>GF-019</v>
      </c>
      <c r="C281" s="56" t="str">
        <f aca="false">IF('06 Glass Fittings HW'!$C$23="","",'06 Glass Fittings HW'!B23)</f>
        <v>Partition Hardware</v>
      </c>
      <c r="D281" s="56" t="str">
        <f aca="false">IF('06 Glass Fittings HW'!$C$23="","",'06 Glass Fittings HW'!C23)</f>
        <v>Sliding glass door track system</v>
      </c>
      <c r="E281" s="56" t="str">
        <f aca="false">IF('06 Glass Fittings HW'!$C$23="","",'06 Glass Fittings HW'!D23)</f>
        <v>Up to 80 kg, 2 m track</v>
      </c>
      <c r="F281" s="56" t="str">
        <f aca="false">IF('06 Glass Fittings HW'!$C$23="","",'06 Glass Fittings HW'!E23)</f>
        <v>Anodized</v>
      </c>
      <c r="G281" s="56" t="str">
        <f aca="false">IF('06 Glass Fittings HW'!$C$23="","",'06 Glass Fittings HW'!F23)</f>
        <v>Local / China</v>
      </c>
      <c r="H281" s="57" t="str">
        <f aca="false">IF('06 Glass Fittings HW'!$C$23="","",'06 Glass Fittings HW'!G23)</f>
        <v>set</v>
      </c>
      <c r="I281" s="58" t="n">
        <f aca="false">IF('06 Glass Fittings HW'!$C$23="","",'06 Glass Fittings HW'!J23)</f>
        <v>650</v>
      </c>
      <c r="J281" s="58" t="n">
        <f aca="false">IF('06 Glass Fittings HW'!$C$23="","",'06 Glass Fittings HW'!K23)</f>
        <v>780</v>
      </c>
      <c r="K281" s="58" t="n">
        <f aca="false">IF('06 Glass Fittings HW'!$C$23="","",'06 Glass Fittings HW'!L23)</f>
        <v>819</v>
      </c>
      <c r="L281" s="57" t="str">
        <f aca="false">IF('06 Glass Fittings HW'!$C$23="","",'06 Glass Fittings HW'!M23)</f>
        <v>Indicative</v>
      </c>
      <c r="M281" s="59" t="str">
        <f aca="false">IF(D281="","",IF(AND(OR(Search!$C$6="All Categories",A281=Search!$C$6),OR(Search!$P$5="",ISNUMBER(SEARCH(" "&amp;Search!$P$5,N281))),OR(Search!$P$6="",ISNUMBER(SEARCH(" "&amp;Search!$P$6,N281))),OR(Search!$P$7="",ISNUMBER(SEARCH(" "&amp;Search!$P$7,N281))),OR(Search!$P$8="",ISNUMBER(SEARCH(" "&amp;Search!$P$8,N281))),OR(Search!$P$9="",ISNUMBER(SEARCH(" "&amp;Search!$P$9,N281))),OR(Search!$P$10="",ISNUMBER(SEARCH(" "&amp;Search!$P$10,N281)))),ROW(),""))</f>
        <v/>
      </c>
      <c r="N281" s="0" t="str">
        <f aca="false">IF(D281="",""," "&amp;SUBSTITUTE(SUBSTITUTE(SUBSTITUTE(SUBSTITUTE(SUBSTITUTE(SUBSTITUTE(SUBSTITUTE(B281&amp;" "&amp;C281&amp;" "&amp;D281&amp;" "&amp;E281&amp;" "&amp;F281&amp;" "&amp;G281&amp;" "&amp;H281&amp;" "&amp;'06 Glass Fittings HW'!R23,"("," "),")"," "),"/"," "),"-"," "),","," "),";"," "),":"," ")&amp;" ")</f>
        <v> GF 019 Partition Hardware Sliding glass door track system Up to 80 kg  2 m track Anodized Local   China set stainless steel </v>
      </c>
    </row>
    <row r="282" customFormat="false" ht="22.35" hidden="false" customHeight="false" outlineLevel="0" collapsed="false">
      <c r="A282" s="56" t="str">
        <f aca="false">IF('06 Glass Fittings HW'!$C$24="","","Glass Fittings - Partition, Shower &amp; Spider")</f>
        <v>Glass Fittings - Partition, Shower &amp; Spider</v>
      </c>
      <c r="B282" s="57" t="str">
        <f aca="false">IF('06 Glass Fittings HW'!$C$24="","",'06 Glass Fittings HW'!A24)</f>
        <v>GF-020</v>
      </c>
      <c r="C282" s="56" t="str">
        <f aca="false">IF('06 Glass Fittings HW'!$C$24="","",'06 Glass Fittings HW'!B24)</f>
        <v>Partition Hardware</v>
      </c>
      <c r="D282" s="56" t="str">
        <f aca="false">IF('06 Glass Fittings HW'!$C$24="","",'06 Glass Fittings HW'!C24)</f>
        <v>Soft-close damper (sliding)</v>
      </c>
      <c r="E282" s="56" t="str">
        <f aca="false">IF('06 Glass Fittings HW'!$C$24="","",'06 Glass Fittings HW'!D24)</f>
        <v>Per damper</v>
      </c>
      <c r="F282" s="56" t="str">
        <f aca="false">IF('06 Glass Fittings HW'!$C$24="","",'06 Glass Fittings HW'!E24)</f>
        <v>-</v>
      </c>
      <c r="G282" s="56" t="str">
        <f aca="false">IF('06 Glass Fittings HW'!$C$24="","",'06 Glass Fittings HW'!F24)</f>
        <v>Imported</v>
      </c>
      <c r="H282" s="57" t="str">
        <f aca="false">IF('06 Glass Fittings HW'!$C$24="","",'06 Glass Fittings HW'!G24)</f>
        <v>nos</v>
      </c>
      <c r="I282" s="58" t="n">
        <f aca="false">IF('06 Glass Fittings HW'!$C$24="","",'06 Glass Fittings HW'!J24)</f>
        <v>120</v>
      </c>
      <c r="J282" s="58" t="n">
        <f aca="false">IF('06 Glass Fittings HW'!$C$24="","",'06 Glass Fittings HW'!K24)</f>
        <v>144</v>
      </c>
      <c r="K282" s="58" t="n">
        <f aca="false">IF('06 Glass Fittings HW'!$C$24="","",'06 Glass Fittings HW'!L24)</f>
        <v>151.2</v>
      </c>
      <c r="L282" s="57" t="str">
        <f aca="false">IF('06 Glass Fittings HW'!$C$24="","",'06 Glass Fittings HW'!M24)</f>
        <v>Indicative</v>
      </c>
      <c r="M282" s="59" t="str">
        <f aca="false">IF(D282="","",IF(AND(OR(Search!$C$6="All Categories",A282=Search!$C$6),OR(Search!$P$5="",ISNUMBER(SEARCH(" "&amp;Search!$P$5,N282))),OR(Search!$P$6="",ISNUMBER(SEARCH(" "&amp;Search!$P$6,N282))),OR(Search!$P$7="",ISNUMBER(SEARCH(" "&amp;Search!$P$7,N282))),OR(Search!$P$8="",ISNUMBER(SEARCH(" "&amp;Search!$P$8,N282))),OR(Search!$P$9="",ISNUMBER(SEARCH(" "&amp;Search!$P$9,N282))),OR(Search!$P$10="",ISNUMBER(SEARCH(" "&amp;Search!$P$10,N282)))),ROW(),""))</f>
        <v/>
      </c>
      <c r="N282" s="0" t="str">
        <f aca="false">IF(D282="",""," "&amp;SUBSTITUTE(SUBSTITUTE(SUBSTITUTE(SUBSTITUTE(SUBSTITUTE(SUBSTITUTE(SUBSTITUTE(B282&amp;" "&amp;C282&amp;" "&amp;D282&amp;" "&amp;E282&amp;" "&amp;F282&amp;" "&amp;G282&amp;" "&amp;H282&amp;" "&amp;'06 Glass Fittings HW'!R24,"("," "),")"," "),"/"," "),"-"," "),","," "),";"," "),":"," ")&amp;" ")</f>
        <v> GF 020 Partition Hardware Soft close damper  sliding  Per damper   Imported nos  </v>
      </c>
    </row>
    <row r="283" customFormat="false" ht="22.35" hidden="false" customHeight="false" outlineLevel="0" collapsed="false">
      <c r="A283" s="56" t="str">
        <f aca="false">IF('06 Glass Fittings HW'!$C$25="","","Glass Fittings - Partition, Shower &amp; Spider")</f>
        <v>Glass Fittings - Partition, Shower &amp; Spider</v>
      </c>
      <c r="B283" s="57" t="str">
        <f aca="false">IF('06 Glass Fittings HW'!$C$25="","",'06 Glass Fittings HW'!A25)</f>
        <v>GF-021</v>
      </c>
      <c r="C283" s="56" t="str">
        <f aca="false">IF('06 Glass Fittings HW'!$C$25="","",'06 Glass Fittings HW'!B25)</f>
        <v>Partition Hardware</v>
      </c>
      <c r="D283" s="56" t="str">
        <f aca="false">IF('06 Glass Fittings HW'!$C$25="","",'06 Glass Fittings HW'!C25)</f>
        <v>Floor guide for sliding glass</v>
      </c>
      <c r="E283" s="56" t="str">
        <f aca="false">IF('06 Glass Fittings HW'!$C$25="","",'06 Glass Fittings HW'!D25)</f>
        <v>-</v>
      </c>
      <c r="F283" s="56" t="str">
        <f aca="false">IF('06 Glass Fittings HW'!$C$25="","",'06 Glass Fittings HW'!E25)</f>
        <v>SS</v>
      </c>
      <c r="G283" s="56" t="str">
        <f aca="false">IF('06 Glass Fittings HW'!$C$25="","",'06 Glass Fittings HW'!F25)</f>
        <v>Local</v>
      </c>
      <c r="H283" s="57" t="str">
        <f aca="false">IF('06 Glass Fittings HW'!$C$25="","",'06 Glass Fittings HW'!G25)</f>
        <v>nos</v>
      </c>
      <c r="I283" s="58" t="n">
        <f aca="false">IF('06 Glass Fittings HW'!$C$25="","",'06 Glass Fittings HW'!J25)</f>
        <v>25</v>
      </c>
      <c r="J283" s="58" t="n">
        <f aca="false">IF('06 Glass Fittings HW'!$C$25="","",'06 Glass Fittings HW'!K25)</f>
        <v>30</v>
      </c>
      <c r="K283" s="58" t="n">
        <f aca="false">IF('06 Glass Fittings HW'!$C$25="","",'06 Glass Fittings HW'!L25)</f>
        <v>31.5</v>
      </c>
      <c r="L283" s="57" t="str">
        <f aca="false">IF('06 Glass Fittings HW'!$C$25="","",'06 Glass Fittings HW'!M25)</f>
        <v>Indicative</v>
      </c>
      <c r="M283" s="59" t="str">
        <f aca="false">IF(D283="","",IF(AND(OR(Search!$C$6="All Categories",A283=Search!$C$6),OR(Search!$P$5="",ISNUMBER(SEARCH(" "&amp;Search!$P$5,N283))),OR(Search!$P$6="",ISNUMBER(SEARCH(" "&amp;Search!$P$6,N283))),OR(Search!$P$7="",ISNUMBER(SEARCH(" "&amp;Search!$P$7,N283))),OR(Search!$P$8="",ISNUMBER(SEARCH(" "&amp;Search!$P$8,N283))),OR(Search!$P$9="",ISNUMBER(SEARCH(" "&amp;Search!$P$9,N283))),OR(Search!$P$10="",ISNUMBER(SEARCH(" "&amp;Search!$P$10,N283)))),ROW(),""))</f>
        <v/>
      </c>
      <c r="N283" s="0" t="str">
        <f aca="false">IF(D283="",""," "&amp;SUBSTITUTE(SUBSTITUTE(SUBSTITUTE(SUBSTITUTE(SUBSTITUTE(SUBSTITUTE(SUBSTITUTE(B283&amp;" "&amp;C283&amp;" "&amp;D283&amp;" "&amp;E283&amp;" "&amp;F283&amp;" "&amp;G283&amp;" "&amp;H283&amp;" "&amp;'06 Glass Fittings HW'!R25,"("," "),")"," "),"/"," "),"-"," "),","," "),";"," "),":"," ")&amp;" ")</f>
        <v> GF 021 Partition Hardware Floor guide for sliding glass   SS Local nos stainless steel </v>
      </c>
    </row>
    <row r="284" customFormat="false" ht="22.35" hidden="false" customHeight="false" outlineLevel="0" collapsed="false">
      <c r="A284" s="56" t="str">
        <f aca="false">IF('06 Glass Fittings HW'!$C$26="","","Glass Fittings - Partition, Shower &amp; Spider")</f>
        <v>Glass Fittings - Partition, Shower &amp; Spider</v>
      </c>
      <c r="B284" s="57" t="str">
        <f aca="false">IF('06 Glass Fittings HW'!$C$26="","",'06 Glass Fittings HW'!A26)</f>
        <v>GF-022</v>
      </c>
      <c r="C284" s="56" t="str">
        <f aca="false">IF('06 Glass Fittings HW'!$C$26="","",'06 Glass Fittings HW'!B26)</f>
        <v>Partition Hardware</v>
      </c>
      <c r="D284" s="56" t="str">
        <f aca="false">IF('06 Glass Fittings HW'!$C$26="","",'06 Glass Fittings HW'!C26)</f>
        <v>Stacking / folding glass partition hardware</v>
      </c>
      <c r="E284" s="56" t="str">
        <f aca="false">IF('06 Glass Fittings HW'!$C$26="","",'06 Glass Fittings HW'!D26)</f>
        <v>Per panel</v>
      </c>
      <c r="F284" s="56" t="str">
        <f aca="false">IF('06 Glass Fittings HW'!$C$26="","",'06 Glass Fittings HW'!E26)</f>
        <v>SS</v>
      </c>
      <c r="G284" s="56" t="str">
        <f aca="false">IF('06 Glass Fittings HW'!$C$26="","",'06 Glass Fittings HW'!F26)</f>
        <v>dormakaba HSW / Equiv.</v>
      </c>
      <c r="H284" s="57" t="str">
        <f aca="false">IF('06 Glass Fittings HW'!$C$26="","",'06 Glass Fittings HW'!G26)</f>
        <v>panel</v>
      </c>
      <c r="I284" s="58" t="n">
        <f aca="false">IF('06 Glass Fittings HW'!$C$26="","",'06 Glass Fittings HW'!J26)</f>
        <v>1600</v>
      </c>
      <c r="J284" s="58" t="n">
        <f aca="false">IF('06 Glass Fittings HW'!$C$26="","",'06 Glass Fittings HW'!K26)</f>
        <v>1920</v>
      </c>
      <c r="K284" s="58" t="n">
        <f aca="false">IF('06 Glass Fittings HW'!$C$26="","",'06 Glass Fittings HW'!L26)</f>
        <v>2016</v>
      </c>
      <c r="L284" s="57" t="str">
        <f aca="false">IF('06 Glass Fittings HW'!$C$26="","",'06 Glass Fittings HW'!M26)</f>
        <v>Indicative</v>
      </c>
      <c r="M284" s="59" t="str">
        <f aca="false">IF(D284="","",IF(AND(OR(Search!$C$6="All Categories",A284=Search!$C$6),OR(Search!$P$5="",ISNUMBER(SEARCH(" "&amp;Search!$P$5,N284))),OR(Search!$P$6="",ISNUMBER(SEARCH(" "&amp;Search!$P$6,N284))),OR(Search!$P$7="",ISNUMBER(SEARCH(" "&amp;Search!$P$7,N284))),OR(Search!$P$8="",ISNUMBER(SEARCH(" "&amp;Search!$P$8,N284))),OR(Search!$P$9="",ISNUMBER(SEARCH(" "&amp;Search!$P$9,N284))),OR(Search!$P$10="",ISNUMBER(SEARCH(" "&amp;Search!$P$10,N284)))),ROW(),""))</f>
        <v/>
      </c>
      <c r="N284" s="0" t="str">
        <f aca="false">IF(D284="",""," "&amp;SUBSTITUTE(SUBSTITUTE(SUBSTITUTE(SUBSTITUTE(SUBSTITUTE(SUBSTITUTE(SUBSTITUTE(B284&amp;" "&amp;C284&amp;" "&amp;D284&amp;" "&amp;E284&amp;" "&amp;F284&amp;" "&amp;G284&amp;" "&amp;H284&amp;" "&amp;'06 Glass Fittings HW'!R26,"("," "),")"," "),"/"," "),"-"," "),","," "),";"," "),":"," ")&amp;" ")</f>
        <v> GF 022 Partition Hardware Stacking   folding glass partition hardware Per panel SS dormakaba HSW   Equiv. panel stainless steel </v>
      </c>
    </row>
    <row r="285" customFormat="false" ht="22.35" hidden="false" customHeight="false" outlineLevel="0" collapsed="false">
      <c r="A285" s="56" t="str">
        <f aca="false">IF('06 Glass Fittings HW'!$C$27="","","Glass Fittings - Partition, Shower &amp; Spider")</f>
        <v>Glass Fittings - Partition, Shower &amp; Spider</v>
      </c>
      <c r="B285" s="57" t="str">
        <f aca="false">IF('06 Glass Fittings HW'!$C$27="","",'06 Glass Fittings HW'!A27)</f>
        <v>GF-023</v>
      </c>
      <c r="C285" s="56" t="str">
        <f aca="false">IF('06 Glass Fittings HW'!$C$27="","",'06 Glass Fittings HW'!B27)</f>
        <v>Partition Hardware</v>
      </c>
      <c r="D285" s="56" t="str">
        <f aca="false">IF('06 Glass Fittings HW'!$C$27="","",'06 Glass Fittings HW'!C27)</f>
        <v>Glass door lock (centre / floor)</v>
      </c>
      <c r="E285" s="56" t="str">
        <f aca="false">IF('06 Glass Fittings HW'!$C$27="","",'06 Glass Fittings HW'!D27)</f>
        <v>With cylinder</v>
      </c>
      <c r="F285" s="56" t="str">
        <f aca="false">IF('06 Glass Fittings HW'!$C$27="","",'06 Glass Fittings HW'!E27)</f>
        <v>SS satin</v>
      </c>
      <c r="G285" s="56" t="str">
        <f aca="false">IF('06 Glass Fittings HW'!$C$27="","",'06 Glass Fittings HW'!F27)</f>
        <v>Local / Imported</v>
      </c>
      <c r="H285" s="57" t="str">
        <f aca="false">IF('06 Glass Fittings HW'!$C$27="","",'06 Glass Fittings HW'!G27)</f>
        <v>nos</v>
      </c>
      <c r="I285" s="58" t="n">
        <f aca="false">IF('06 Glass Fittings HW'!$C$27="","",'06 Glass Fittings HW'!J27)</f>
        <v>120</v>
      </c>
      <c r="J285" s="58" t="n">
        <f aca="false">IF('06 Glass Fittings HW'!$C$27="","",'06 Glass Fittings HW'!K27)</f>
        <v>144</v>
      </c>
      <c r="K285" s="58" t="n">
        <f aca="false">IF('06 Glass Fittings HW'!$C$27="","",'06 Glass Fittings HW'!L27)</f>
        <v>151.2</v>
      </c>
      <c r="L285" s="57" t="str">
        <f aca="false">IF('06 Glass Fittings HW'!$C$27="","",'06 Glass Fittings HW'!M27)</f>
        <v>Indicative</v>
      </c>
      <c r="M285" s="59" t="str">
        <f aca="false">IF(D285="","",IF(AND(OR(Search!$C$6="All Categories",A285=Search!$C$6),OR(Search!$P$5="",ISNUMBER(SEARCH(" "&amp;Search!$P$5,N285))),OR(Search!$P$6="",ISNUMBER(SEARCH(" "&amp;Search!$P$6,N285))),OR(Search!$P$7="",ISNUMBER(SEARCH(" "&amp;Search!$P$7,N285))),OR(Search!$P$8="",ISNUMBER(SEARCH(" "&amp;Search!$P$8,N285))),OR(Search!$P$9="",ISNUMBER(SEARCH(" "&amp;Search!$P$9,N285))),OR(Search!$P$10="",ISNUMBER(SEARCH(" "&amp;Search!$P$10,N285)))),ROW(),""))</f>
        <v/>
      </c>
      <c r="N285" s="0" t="str">
        <f aca="false">IF(D285="",""," "&amp;SUBSTITUTE(SUBSTITUTE(SUBSTITUTE(SUBSTITUTE(SUBSTITUTE(SUBSTITUTE(SUBSTITUTE(B285&amp;" "&amp;C285&amp;" "&amp;D285&amp;" "&amp;E285&amp;" "&amp;F285&amp;" "&amp;G285&amp;" "&amp;H285&amp;" "&amp;'06 Glass Fittings HW'!R27,"("," "),")"," "),"/"," "),"-"," "),","," "),";"," "),":"," ")&amp;" ")</f>
        <v> GF 023 Partition Hardware Glass door lock  centre   floor  With cylinder SS satin Local   Imported nos stainless steel </v>
      </c>
    </row>
    <row r="286" customFormat="false" ht="22.35" hidden="false" customHeight="false" outlineLevel="0" collapsed="false">
      <c r="A286" s="56" t="str">
        <f aca="false">IF('06 Glass Fittings HW'!$C$28="","","Glass Fittings - Partition, Shower &amp; Spider")</f>
        <v>Glass Fittings - Partition, Shower &amp; Spider</v>
      </c>
      <c r="B286" s="57" t="str">
        <f aca="false">IF('06 Glass Fittings HW'!$C$28="","",'06 Glass Fittings HW'!A28)</f>
        <v>GF-024</v>
      </c>
      <c r="C286" s="56" t="str">
        <f aca="false">IF('06 Glass Fittings HW'!$C$28="","",'06 Glass Fittings HW'!B28)</f>
        <v>Spider &amp; Point-Fixed</v>
      </c>
      <c r="D286" s="56" t="str">
        <f aca="false">IF('06 Glass Fittings HW'!$C$28="","",'06 Glass Fittings HW'!C28)</f>
        <v>Spider fitting - 4 arm</v>
      </c>
      <c r="E286" s="56" t="str">
        <f aca="false">IF('06 Glass Fittings HW'!$C$28="","",'06 Glass Fittings HW'!D28)</f>
        <v>SS 316, 200-250 mm c/c</v>
      </c>
      <c r="F286" s="56" t="str">
        <f aca="false">IF('06 Glass Fittings HW'!$C$28="","",'06 Glass Fittings HW'!E28)</f>
        <v>SS 316 satin</v>
      </c>
      <c r="G286" s="56" t="str">
        <f aca="false">IF('06 Glass Fittings HW'!$C$28="","",'06 Glass Fittings HW'!F28)</f>
        <v>Imported</v>
      </c>
      <c r="H286" s="57" t="str">
        <f aca="false">IF('06 Glass Fittings HW'!$C$28="","",'06 Glass Fittings HW'!G28)</f>
        <v>nos</v>
      </c>
      <c r="I286" s="58" t="n">
        <f aca="false">IF('06 Glass Fittings HW'!$C$28="","",'06 Glass Fittings HW'!J28)</f>
        <v>280</v>
      </c>
      <c r="J286" s="58" t="n">
        <f aca="false">IF('06 Glass Fittings HW'!$C$28="","",'06 Glass Fittings HW'!K28)</f>
        <v>336</v>
      </c>
      <c r="K286" s="58" t="n">
        <f aca="false">IF('06 Glass Fittings HW'!$C$28="","",'06 Glass Fittings HW'!L28)</f>
        <v>352.8</v>
      </c>
      <c r="L286" s="57" t="str">
        <f aca="false">IF('06 Glass Fittings HW'!$C$28="","",'06 Glass Fittings HW'!M28)</f>
        <v>Indicative</v>
      </c>
      <c r="M286" s="59" t="str">
        <f aca="false">IF(D286="","",IF(AND(OR(Search!$C$6="All Categories",A286=Search!$C$6),OR(Search!$P$5="",ISNUMBER(SEARCH(" "&amp;Search!$P$5,N286))),OR(Search!$P$6="",ISNUMBER(SEARCH(" "&amp;Search!$P$6,N286))),OR(Search!$P$7="",ISNUMBER(SEARCH(" "&amp;Search!$P$7,N286))),OR(Search!$P$8="",ISNUMBER(SEARCH(" "&amp;Search!$P$8,N286))),OR(Search!$P$9="",ISNUMBER(SEARCH(" "&amp;Search!$P$9,N286))),OR(Search!$P$10="",ISNUMBER(SEARCH(" "&amp;Search!$P$10,N286)))),ROW(),""))</f>
        <v/>
      </c>
      <c r="N286" s="0" t="str">
        <f aca="false">IF(D286="",""," "&amp;SUBSTITUTE(SUBSTITUTE(SUBSTITUTE(SUBSTITUTE(SUBSTITUTE(SUBSTITUTE(SUBSTITUTE(B286&amp;" "&amp;C286&amp;" "&amp;D286&amp;" "&amp;E286&amp;" "&amp;F286&amp;" "&amp;G286&amp;" "&amp;H286&amp;" "&amp;'06 Glass Fittings HW'!R28,"("," "),")"," "),"/"," "),"-"," "),","," "),";"," "),":"," ")&amp;" ")</f>
        <v> GF 024 Spider &amp; Point Fixed Spider fitting   4 arm SS 316  200 250 mm c c SS 316 satin Imported nos 250mm ss316 sus316 stainless steel </v>
      </c>
    </row>
    <row r="287" customFormat="false" ht="22.35" hidden="false" customHeight="false" outlineLevel="0" collapsed="false">
      <c r="A287" s="56" t="str">
        <f aca="false">IF('06 Glass Fittings HW'!$C$29="","","Glass Fittings - Partition, Shower &amp; Spider")</f>
        <v>Glass Fittings - Partition, Shower &amp; Spider</v>
      </c>
      <c r="B287" s="57" t="str">
        <f aca="false">IF('06 Glass Fittings HW'!$C$29="","",'06 Glass Fittings HW'!A29)</f>
        <v>GF-025</v>
      </c>
      <c r="C287" s="56" t="str">
        <f aca="false">IF('06 Glass Fittings HW'!$C$29="","",'06 Glass Fittings HW'!B29)</f>
        <v>Spider &amp; Point-Fixed</v>
      </c>
      <c r="D287" s="56" t="str">
        <f aca="false">IF('06 Glass Fittings HW'!$C$29="","",'06 Glass Fittings HW'!C29)</f>
        <v>Spider fitting - 2 arm</v>
      </c>
      <c r="E287" s="56" t="str">
        <f aca="false">IF('06 Glass Fittings HW'!$C$29="","",'06 Glass Fittings HW'!D29)</f>
        <v>SS 316</v>
      </c>
      <c r="F287" s="56" t="str">
        <f aca="false">IF('06 Glass Fittings HW'!$C$29="","",'06 Glass Fittings HW'!E29)</f>
        <v>SS 316 satin</v>
      </c>
      <c r="G287" s="56" t="str">
        <f aca="false">IF('06 Glass Fittings HW'!$C$29="","",'06 Glass Fittings HW'!F29)</f>
        <v>Imported</v>
      </c>
      <c r="H287" s="57" t="str">
        <f aca="false">IF('06 Glass Fittings HW'!$C$29="","",'06 Glass Fittings HW'!G29)</f>
        <v>nos</v>
      </c>
      <c r="I287" s="58" t="n">
        <f aca="false">IF('06 Glass Fittings HW'!$C$29="","",'06 Glass Fittings HW'!J29)</f>
        <v>190</v>
      </c>
      <c r="J287" s="58" t="n">
        <f aca="false">IF('06 Glass Fittings HW'!$C$29="","",'06 Glass Fittings HW'!K29)</f>
        <v>228</v>
      </c>
      <c r="K287" s="58" t="n">
        <f aca="false">IF('06 Glass Fittings HW'!$C$29="","",'06 Glass Fittings HW'!L29)</f>
        <v>239.4</v>
      </c>
      <c r="L287" s="57" t="str">
        <f aca="false">IF('06 Glass Fittings HW'!$C$29="","",'06 Glass Fittings HW'!M29)</f>
        <v>Indicative</v>
      </c>
      <c r="M287" s="59" t="str">
        <f aca="false">IF(D287="","",IF(AND(OR(Search!$C$6="All Categories",A287=Search!$C$6),OR(Search!$P$5="",ISNUMBER(SEARCH(" "&amp;Search!$P$5,N287))),OR(Search!$P$6="",ISNUMBER(SEARCH(" "&amp;Search!$P$6,N287))),OR(Search!$P$7="",ISNUMBER(SEARCH(" "&amp;Search!$P$7,N287))),OR(Search!$P$8="",ISNUMBER(SEARCH(" "&amp;Search!$P$8,N287))),OR(Search!$P$9="",ISNUMBER(SEARCH(" "&amp;Search!$P$9,N287))),OR(Search!$P$10="",ISNUMBER(SEARCH(" "&amp;Search!$P$10,N287)))),ROW(),""))</f>
        <v/>
      </c>
      <c r="N287" s="0" t="str">
        <f aca="false">IF(D287="",""," "&amp;SUBSTITUTE(SUBSTITUTE(SUBSTITUTE(SUBSTITUTE(SUBSTITUTE(SUBSTITUTE(SUBSTITUTE(B287&amp;" "&amp;C287&amp;" "&amp;D287&amp;" "&amp;E287&amp;" "&amp;F287&amp;" "&amp;G287&amp;" "&amp;H287&amp;" "&amp;'06 Glass Fittings HW'!R29,"("," "),")"," "),"/"," "),"-"," "),","," "),";"," "),":"," ")&amp;" ")</f>
        <v> GF 025 Spider &amp; Point Fixed Spider fitting   2 arm SS 316 SS 316 satin Imported nos ss316 sus316 stainless steel </v>
      </c>
    </row>
    <row r="288" customFormat="false" ht="22.35" hidden="false" customHeight="false" outlineLevel="0" collapsed="false">
      <c r="A288" s="56" t="str">
        <f aca="false">IF('06 Glass Fittings HW'!$C$30="","","Glass Fittings - Partition, Shower &amp; Spider")</f>
        <v>Glass Fittings - Partition, Shower &amp; Spider</v>
      </c>
      <c r="B288" s="57" t="str">
        <f aca="false">IF('06 Glass Fittings HW'!$C$30="","",'06 Glass Fittings HW'!A30)</f>
        <v>GF-026</v>
      </c>
      <c r="C288" s="56" t="str">
        <f aca="false">IF('06 Glass Fittings HW'!$C$30="","",'06 Glass Fittings HW'!B30)</f>
        <v>Spider &amp; Point-Fixed</v>
      </c>
      <c r="D288" s="56" t="str">
        <f aca="false">IF('06 Glass Fittings HW'!$C$30="","",'06 Glass Fittings HW'!C30)</f>
        <v>Spider fitting - 1 arm</v>
      </c>
      <c r="E288" s="56" t="str">
        <f aca="false">IF('06 Glass Fittings HW'!$C$30="","",'06 Glass Fittings HW'!D30)</f>
        <v>SS 316</v>
      </c>
      <c r="F288" s="56" t="str">
        <f aca="false">IF('06 Glass Fittings HW'!$C$30="","",'06 Glass Fittings HW'!E30)</f>
        <v>SS 316 satin</v>
      </c>
      <c r="G288" s="56" t="str">
        <f aca="false">IF('06 Glass Fittings HW'!$C$30="","",'06 Glass Fittings HW'!F30)</f>
        <v>Imported</v>
      </c>
      <c r="H288" s="57" t="str">
        <f aca="false">IF('06 Glass Fittings HW'!$C$30="","",'06 Glass Fittings HW'!G30)</f>
        <v>nos</v>
      </c>
      <c r="I288" s="58" t="n">
        <f aca="false">IF('06 Glass Fittings HW'!$C$30="","",'06 Glass Fittings HW'!J30)</f>
        <v>140</v>
      </c>
      <c r="J288" s="58" t="n">
        <f aca="false">IF('06 Glass Fittings HW'!$C$30="","",'06 Glass Fittings HW'!K30)</f>
        <v>168</v>
      </c>
      <c r="K288" s="58" t="n">
        <f aca="false">IF('06 Glass Fittings HW'!$C$30="","",'06 Glass Fittings HW'!L30)</f>
        <v>176.4</v>
      </c>
      <c r="L288" s="57" t="str">
        <f aca="false">IF('06 Glass Fittings HW'!$C$30="","",'06 Glass Fittings HW'!M30)</f>
        <v>Indicative</v>
      </c>
      <c r="M288" s="59" t="str">
        <f aca="false">IF(D288="","",IF(AND(OR(Search!$C$6="All Categories",A288=Search!$C$6),OR(Search!$P$5="",ISNUMBER(SEARCH(" "&amp;Search!$P$5,N288))),OR(Search!$P$6="",ISNUMBER(SEARCH(" "&amp;Search!$P$6,N288))),OR(Search!$P$7="",ISNUMBER(SEARCH(" "&amp;Search!$P$7,N288))),OR(Search!$P$8="",ISNUMBER(SEARCH(" "&amp;Search!$P$8,N288))),OR(Search!$P$9="",ISNUMBER(SEARCH(" "&amp;Search!$P$9,N288))),OR(Search!$P$10="",ISNUMBER(SEARCH(" "&amp;Search!$P$10,N288)))),ROW(),""))</f>
        <v/>
      </c>
      <c r="N288" s="0" t="str">
        <f aca="false">IF(D288="",""," "&amp;SUBSTITUTE(SUBSTITUTE(SUBSTITUTE(SUBSTITUTE(SUBSTITUTE(SUBSTITUTE(SUBSTITUTE(B288&amp;" "&amp;C288&amp;" "&amp;D288&amp;" "&amp;E288&amp;" "&amp;F288&amp;" "&amp;G288&amp;" "&amp;H288&amp;" "&amp;'06 Glass Fittings HW'!R30,"("," "),")"," "),"/"," "),"-"," "),","," "),";"," "),":"," ")&amp;" ")</f>
        <v> GF 026 Spider &amp; Point Fixed Spider fitting   1 arm SS 316 SS 316 satin Imported nos ss316 sus316 stainless steel </v>
      </c>
    </row>
    <row r="289" customFormat="false" ht="22.35" hidden="false" customHeight="false" outlineLevel="0" collapsed="false">
      <c r="A289" s="56" t="str">
        <f aca="false">IF('06 Glass Fittings HW'!$C$31="","","Glass Fittings - Partition, Shower &amp; Spider")</f>
        <v>Glass Fittings - Partition, Shower &amp; Spider</v>
      </c>
      <c r="B289" s="57" t="str">
        <f aca="false">IF('06 Glass Fittings HW'!$C$31="","",'06 Glass Fittings HW'!A31)</f>
        <v>GF-027</v>
      </c>
      <c r="C289" s="56" t="str">
        <f aca="false">IF('06 Glass Fittings HW'!$C$31="","",'06 Glass Fittings HW'!B31)</f>
        <v>Spider &amp; Point-Fixed</v>
      </c>
      <c r="D289" s="56" t="str">
        <f aca="false">IF('06 Glass Fittings HW'!$C$31="","",'06 Glass Fittings HW'!C31)</f>
        <v>Routel / articulated bolt</v>
      </c>
      <c r="E289" s="56" t="str">
        <f aca="false">IF('06 Glass Fittings HW'!$C$31="","",'06 Glass Fittings HW'!D31)</f>
        <v>Countersunk, for 12-21.52 mm glass</v>
      </c>
      <c r="F289" s="56" t="str">
        <f aca="false">IF('06 Glass Fittings HW'!$C$31="","",'06 Glass Fittings HW'!E31)</f>
        <v>SS 316</v>
      </c>
      <c r="G289" s="56" t="str">
        <f aca="false">IF('06 Glass Fittings HW'!$C$31="","",'06 Glass Fittings HW'!F31)</f>
        <v>Imported</v>
      </c>
      <c r="H289" s="57" t="str">
        <f aca="false">IF('06 Glass Fittings HW'!$C$31="","",'06 Glass Fittings HW'!G31)</f>
        <v>nos</v>
      </c>
      <c r="I289" s="58" t="n">
        <f aca="false">IF('06 Glass Fittings HW'!$C$31="","",'06 Glass Fittings HW'!J31)</f>
        <v>120</v>
      </c>
      <c r="J289" s="58" t="n">
        <f aca="false">IF('06 Glass Fittings HW'!$C$31="","",'06 Glass Fittings HW'!K31)</f>
        <v>144</v>
      </c>
      <c r="K289" s="58" t="n">
        <f aca="false">IF('06 Glass Fittings HW'!$C$31="","",'06 Glass Fittings HW'!L31)</f>
        <v>151.2</v>
      </c>
      <c r="L289" s="57" t="str">
        <f aca="false">IF('06 Glass Fittings HW'!$C$31="","",'06 Glass Fittings HW'!M31)</f>
        <v>Indicative</v>
      </c>
      <c r="M289" s="59" t="str">
        <f aca="false">IF(D289="","",IF(AND(OR(Search!$C$6="All Categories",A289=Search!$C$6),OR(Search!$P$5="",ISNUMBER(SEARCH(" "&amp;Search!$P$5,N289))),OR(Search!$P$6="",ISNUMBER(SEARCH(" "&amp;Search!$P$6,N289))),OR(Search!$P$7="",ISNUMBER(SEARCH(" "&amp;Search!$P$7,N289))),OR(Search!$P$8="",ISNUMBER(SEARCH(" "&amp;Search!$P$8,N289))),OR(Search!$P$9="",ISNUMBER(SEARCH(" "&amp;Search!$P$9,N289))),OR(Search!$P$10="",ISNUMBER(SEARCH(" "&amp;Search!$P$10,N289)))),ROW(),""))</f>
        <v/>
      </c>
      <c r="N289" s="0" t="str">
        <f aca="false">IF(D289="",""," "&amp;SUBSTITUTE(SUBSTITUTE(SUBSTITUTE(SUBSTITUTE(SUBSTITUTE(SUBSTITUTE(SUBSTITUTE(B289&amp;" "&amp;C289&amp;" "&amp;D289&amp;" "&amp;E289&amp;" "&amp;F289&amp;" "&amp;G289&amp;" "&amp;H289&amp;" "&amp;'06 Glass Fittings HW'!R31,"("," "),")"," "),"/"," "),"-"," "),","," "),";"," "),":"," ")&amp;" ")</f>
        <v> GF 027 Spider &amp; Point Fixed Routel   articulated bolt Countersunk  for 12 21.52 mm glass SS 316 Imported nos 21.52mm ss316 sus316 fixing fastener stainless steel </v>
      </c>
    </row>
    <row r="290" customFormat="false" ht="22.35" hidden="false" customHeight="false" outlineLevel="0" collapsed="false">
      <c r="A290" s="56" t="str">
        <f aca="false">IF('06 Glass Fittings HW'!$C$32="","","Glass Fittings - Partition, Shower &amp; Spider")</f>
        <v>Glass Fittings - Partition, Shower &amp; Spider</v>
      </c>
      <c r="B290" s="57" t="str">
        <f aca="false">IF('06 Glass Fittings HW'!$C$32="","",'06 Glass Fittings HW'!A32)</f>
        <v>GF-028</v>
      </c>
      <c r="C290" s="56" t="str">
        <f aca="false">IF('06 Glass Fittings HW'!$C$32="","",'06 Glass Fittings HW'!B32)</f>
        <v>Spider &amp; Point-Fixed</v>
      </c>
      <c r="D290" s="56" t="str">
        <f aca="false">IF('06 Glass Fittings HW'!$C$32="","",'06 Glass Fittings HW'!C32)</f>
        <v>Glass fin bracket</v>
      </c>
      <c r="E290" s="56" t="str">
        <f aca="false">IF('06 Glass Fittings HW'!$C$32="","",'06 Glass Fittings HW'!D32)</f>
        <v>SS 316</v>
      </c>
      <c r="F290" s="56" t="str">
        <f aca="false">IF('06 Glass Fittings HW'!$C$32="","",'06 Glass Fittings HW'!E32)</f>
        <v>SS 316</v>
      </c>
      <c r="G290" s="56" t="str">
        <f aca="false">IF('06 Glass Fittings HW'!$C$32="","",'06 Glass Fittings HW'!F32)</f>
        <v>Imported</v>
      </c>
      <c r="H290" s="57" t="str">
        <f aca="false">IF('06 Glass Fittings HW'!$C$32="","",'06 Glass Fittings HW'!G32)</f>
        <v>nos</v>
      </c>
      <c r="I290" s="58" t="n">
        <f aca="false">IF('06 Glass Fittings HW'!$C$32="","",'06 Glass Fittings HW'!J32)</f>
        <v>220</v>
      </c>
      <c r="J290" s="58" t="n">
        <f aca="false">IF('06 Glass Fittings HW'!$C$32="","",'06 Glass Fittings HW'!K32)</f>
        <v>264</v>
      </c>
      <c r="K290" s="58" t="n">
        <f aca="false">IF('06 Glass Fittings HW'!$C$32="","",'06 Glass Fittings HW'!L32)</f>
        <v>277.2</v>
      </c>
      <c r="L290" s="57" t="str">
        <f aca="false">IF('06 Glass Fittings HW'!$C$32="","",'06 Glass Fittings HW'!M32)</f>
        <v>Indicative</v>
      </c>
      <c r="M290" s="59" t="str">
        <f aca="false">IF(D290="","",IF(AND(OR(Search!$C$6="All Categories",A290=Search!$C$6),OR(Search!$P$5="",ISNUMBER(SEARCH(" "&amp;Search!$P$5,N290))),OR(Search!$P$6="",ISNUMBER(SEARCH(" "&amp;Search!$P$6,N290))),OR(Search!$P$7="",ISNUMBER(SEARCH(" "&amp;Search!$P$7,N290))),OR(Search!$P$8="",ISNUMBER(SEARCH(" "&amp;Search!$P$8,N290))),OR(Search!$P$9="",ISNUMBER(SEARCH(" "&amp;Search!$P$9,N290))),OR(Search!$P$10="",ISNUMBER(SEARCH(" "&amp;Search!$P$10,N290)))),ROW(),""))</f>
        <v/>
      </c>
      <c r="N290" s="0" t="str">
        <f aca="false">IF(D290="",""," "&amp;SUBSTITUTE(SUBSTITUTE(SUBSTITUTE(SUBSTITUTE(SUBSTITUTE(SUBSTITUTE(SUBSTITUTE(B290&amp;" "&amp;C290&amp;" "&amp;D290&amp;" "&amp;E290&amp;" "&amp;F290&amp;" "&amp;G290&amp;" "&amp;H290&amp;" "&amp;'06 Glass Fittings HW'!R32,"("," "),")"," "),"/"," "),"-"," "),","," "),";"," "),":"," ")&amp;" ")</f>
        <v> GF 028 Spider &amp; Point Fixed Glass fin bracket SS 316 SS 316 Imported nos ss316 sus316 stainless steel </v>
      </c>
    </row>
    <row r="291" customFormat="false" ht="22.35" hidden="false" customHeight="false" outlineLevel="0" collapsed="false">
      <c r="A291" s="56" t="str">
        <f aca="false">IF('06 Glass Fittings HW'!$C$33="","","Glass Fittings - Partition, Shower &amp; Spider")</f>
        <v>Glass Fittings - Partition, Shower &amp; Spider</v>
      </c>
      <c r="B291" s="57" t="str">
        <f aca="false">IF('06 Glass Fittings HW'!$C$33="","",'06 Glass Fittings HW'!A33)</f>
        <v>GF-029</v>
      </c>
      <c r="C291" s="56" t="str">
        <f aca="false">IF('06 Glass Fittings HW'!$C$33="","",'06 Glass Fittings HW'!B33)</f>
        <v>Spider &amp; Point-Fixed</v>
      </c>
      <c r="D291" s="56" t="str">
        <f aca="false">IF('06 Glass Fittings HW'!$C$33="","",'06 Glass Fittings HW'!C33)</f>
        <v>Glass canopy rod / tie-rod set</v>
      </c>
      <c r="E291" s="56" t="str">
        <f aca="false">IF('06 Glass Fittings HW'!$C$33="","",'06 Glass Fittings HW'!D33)</f>
        <v>SS 316, adjustable</v>
      </c>
      <c r="F291" s="56" t="str">
        <f aca="false">IF('06 Glass Fittings HW'!$C$33="","",'06 Glass Fittings HW'!E33)</f>
        <v>SS 316</v>
      </c>
      <c r="G291" s="56" t="str">
        <f aca="false">IF('06 Glass Fittings HW'!$C$33="","",'06 Glass Fittings HW'!F33)</f>
        <v>Imported</v>
      </c>
      <c r="H291" s="57" t="str">
        <f aca="false">IF('06 Glass Fittings HW'!$C$33="","",'06 Glass Fittings HW'!G33)</f>
        <v>set</v>
      </c>
      <c r="I291" s="58" t="n">
        <f aca="false">IF('06 Glass Fittings HW'!$C$33="","",'06 Glass Fittings HW'!J33)</f>
        <v>650</v>
      </c>
      <c r="J291" s="58" t="n">
        <f aca="false">IF('06 Glass Fittings HW'!$C$33="","",'06 Glass Fittings HW'!K33)</f>
        <v>780</v>
      </c>
      <c r="K291" s="58" t="n">
        <f aca="false">IF('06 Glass Fittings HW'!$C$33="","",'06 Glass Fittings HW'!L33)</f>
        <v>819</v>
      </c>
      <c r="L291" s="57" t="str">
        <f aca="false">IF('06 Glass Fittings HW'!$C$33="","",'06 Glass Fittings HW'!M33)</f>
        <v>Indicative</v>
      </c>
      <c r="M291" s="59" t="str">
        <f aca="false">IF(D291="","",IF(AND(OR(Search!$C$6="All Categories",A291=Search!$C$6),OR(Search!$P$5="",ISNUMBER(SEARCH(" "&amp;Search!$P$5,N291))),OR(Search!$P$6="",ISNUMBER(SEARCH(" "&amp;Search!$P$6,N291))),OR(Search!$P$7="",ISNUMBER(SEARCH(" "&amp;Search!$P$7,N291))),OR(Search!$P$8="",ISNUMBER(SEARCH(" "&amp;Search!$P$8,N291))),OR(Search!$P$9="",ISNUMBER(SEARCH(" "&amp;Search!$P$9,N291))),OR(Search!$P$10="",ISNUMBER(SEARCH(" "&amp;Search!$P$10,N291)))),ROW(),""))</f>
        <v/>
      </c>
      <c r="N291" s="0" t="str">
        <f aca="false">IF(D291="",""," "&amp;SUBSTITUTE(SUBSTITUTE(SUBSTITUTE(SUBSTITUTE(SUBSTITUTE(SUBSTITUTE(SUBSTITUTE(B291&amp;" "&amp;C291&amp;" "&amp;D291&amp;" "&amp;E291&amp;" "&amp;F291&amp;" "&amp;G291&amp;" "&amp;H291&amp;" "&amp;'06 Glass Fittings HW'!R33,"("," "),")"," "),"/"," "),"-"," "),","," "),";"," "),":"," ")&amp;" ")</f>
        <v> GF 029 Spider &amp; Point Fixed Glass canopy rod   tie rod set SS 316  adjustable SS 316 Imported set ss316 sus316 shade stainless steel </v>
      </c>
    </row>
    <row r="292" customFormat="false" ht="22.35" hidden="false" customHeight="false" outlineLevel="0" collapsed="false">
      <c r="A292" s="56" t="str">
        <f aca="false">IF('06 Glass Fittings HW'!$C$34="","","Glass Fittings - Partition, Shower &amp; Spider")</f>
        <v>Glass Fittings - Partition, Shower &amp; Spider</v>
      </c>
      <c r="B292" s="57" t="str">
        <f aca="false">IF('06 Glass Fittings HW'!$C$34="","",'06 Glass Fittings HW'!A34)</f>
        <v>GF-030</v>
      </c>
      <c r="C292" s="56" t="str">
        <f aca="false">IF('06 Glass Fittings HW'!$C$34="","",'06 Glass Fittings HW'!B34)</f>
        <v>Spider &amp; Point-Fixed</v>
      </c>
      <c r="D292" s="56" t="str">
        <f aca="false">IF('06 Glass Fittings HW'!$C$34="","",'06 Glass Fittings HW'!C34)</f>
        <v>Glass canopy bracket / gripper</v>
      </c>
      <c r="E292" s="56" t="str">
        <f aca="false">IF('06 Glass Fittings HW'!$C$34="","",'06 Glass Fittings HW'!D34)</f>
        <v>SS 316</v>
      </c>
      <c r="F292" s="56" t="str">
        <f aca="false">IF('06 Glass Fittings HW'!$C$34="","",'06 Glass Fittings HW'!E34)</f>
        <v>SS 316</v>
      </c>
      <c r="G292" s="56" t="str">
        <f aca="false">IF('06 Glass Fittings HW'!$C$34="","",'06 Glass Fittings HW'!F34)</f>
        <v>Imported</v>
      </c>
      <c r="H292" s="57" t="str">
        <f aca="false">IF('06 Glass Fittings HW'!$C$34="","",'06 Glass Fittings HW'!G34)</f>
        <v>nos</v>
      </c>
      <c r="I292" s="58" t="n">
        <f aca="false">IF('06 Glass Fittings HW'!$C$34="","",'06 Glass Fittings HW'!J34)</f>
        <v>180</v>
      </c>
      <c r="J292" s="58" t="n">
        <f aca="false">IF('06 Glass Fittings HW'!$C$34="","",'06 Glass Fittings HW'!K34)</f>
        <v>216</v>
      </c>
      <c r="K292" s="58" t="n">
        <f aca="false">IF('06 Glass Fittings HW'!$C$34="","",'06 Glass Fittings HW'!L34)</f>
        <v>226.8</v>
      </c>
      <c r="L292" s="57" t="str">
        <f aca="false">IF('06 Glass Fittings HW'!$C$34="","",'06 Glass Fittings HW'!M34)</f>
        <v>Indicative</v>
      </c>
      <c r="M292" s="59" t="str">
        <f aca="false">IF(D292="","",IF(AND(OR(Search!$C$6="All Categories",A292=Search!$C$6),OR(Search!$P$5="",ISNUMBER(SEARCH(" "&amp;Search!$P$5,N292))),OR(Search!$P$6="",ISNUMBER(SEARCH(" "&amp;Search!$P$6,N292))),OR(Search!$P$7="",ISNUMBER(SEARCH(" "&amp;Search!$P$7,N292))),OR(Search!$P$8="",ISNUMBER(SEARCH(" "&amp;Search!$P$8,N292))),OR(Search!$P$9="",ISNUMBER(SEARCH(" "&amp;Search!$P$9,N292))),OR(Search!$P$10="",ISNUMBER(SEARCH(" "&amp;Search!$P$10,N292)))),ROW(),""))</f>
        <v/>
      </c>
      <c r="N292" s="0" t="str">
        <f aca="false">IF(D292="",""," "&amp;SUBSTITUTE(SUBSTITUTE(SUBSTITUTE(SUBSTITUTE(SUBSTITUTE(SUBSTITUTE(SUBSTITUTE(B292&amp;" "&amp;C292&amp;" "&amp;D292&amp;" "&amp;E292&amp;" "&amp;F292&amp;" "&amp;G292&amp;" "&amp;H292&amp;" "&amp;'06 Glass Fittings HW'!R34,"("," "),")"," "),"/"," "),"-"," "),","," "),";"," "),":"," ")&amp;" ")</f>
        <v> GF 030 Spider &amp; Point Fixed Glass canopy bracket   gripper SS 316 SS 316 Imported nos ss316 sus316 shade stainless steel </v>
      </c>
    </row>
    <row r="293" customFormat="false" ht="15" hidden="false" customHeight="false" outlineLevel="0" collapsed="false">
      <c r="A293" s="56" t="str">
        <f aca="false">IF('06 Glass Fittings HW'!$C$35="","","Glass Fittings - Partition, Shower &amp; Spider")</f>
        <v/>
      </c>
      <c r="B293" s="57" t="str">
        <f aca="false">IF('06 Glass Fittings HW'!$C$35="","",'06 Glass Fittings HW'!A35)</f>
        <v/>
      </c>
      <c r="C293" s="56" t="str">
        <f aca="false">IF('06 Glass Fittings HW'!$C$35="","",'06 Glass Fittings HW'!B35)</f>
        <v/>
      </c>
      <c r="D293" s="56" t="str">
        <f aca="false">IF('06 Glass Fittings HW'!$C$35="","",'06 Glass Fittings HW'!C35)</f>
        <v/>
      </c>
      <c r="E293" s="56" t="str">
        <f aca="false">IF('06 Glass Fittings HW'!$C$35="","",'06 Glass Fittings HW'!D35)</f>
        <v/>
      </c>
      <c r="F293" s="56" t="str">
        <f aca="false">IF('06 Glass Fittings HW'!$C$35="","",'06 Glass Fittings HW'!E35)</f>
        <v/>
      </c>
      <c r="G293" s="56" t="str">
        <f aca="false">IF('06 Glass Fittings HW'!$C$35="","",'06 Glass Fittings HW'!F35)</f>
        <v/>
      </c>
      <c r="H293" s="57" t="str">
        <f aca="false">IF('06 Glass Fittings HW'!$C$35="","",'06 Glass Fittings HW'!G35)</f>
        <v/>
      </c>
      <c r="I293" s="58" t="str">
        <f aca="false">IF('06 Glass Fittings HW'!$C$35="","",'06 Glass Fittings HW'!J35)</f>
        <v/>
      </c>
      <c r="J293" s="58" t="str">
        <f aca="false">IF('06 Glass Fittings HW'!$C$35="","",'06 Glass Fittings HW'!K35)</f>
        <v/>
      </c>
      <c r="K293" s="58" t="str">
        <f aca="false">IF('06 Glass Fittings HW'!$C$35="","",'06 Glass Fittings HW'!L35)</f>
        <v/>
      </c>
      <c r="L293" s="57" t="str">
        <f aca="false">IF('06 Glass Fittings HW'!$C$35="","",'06 Glass Fittings HW'!M35)</f>
        <v/>
      </c>
      <c r="M293" s="59" t="str">
        <f aca="false">IF(D293="","",IF(AND(OR(Search!$C$6="All Categories",A293=Search!$C$6),OR(Search!$P$5="",ISNUMBER(SEARCH(" "&amp;Search!$P$5,N293))),OR(Search!$P$6="",ISNUMBER(SEARCH(" "&amp;Search!$P$6,N293))),OR(Search!$P$7="",ISNUMBER(SEARCH(" "&amp;Search!$P$7,N293))),OR(Search!$P$8="",ISNUMBER(SEARCH(" "&amp;Search!$P$8,N293))),OR(Search!$P$9="",ISNUMBER(SEARCH(" "&amp;Search!$P$9,N293))),OR(Search!$P$10="",ISNUMBER(SEARCH(" "&amp;Search!$P$10,N293)))),ROW(),""))</f>
        <v/>
      </c>
      <c r="N293" s="0" t="str">
        <f aca="false">IF(D293="",""," "&amp;SUBSTITUTE(SUBSTITUTE(SUBSTITUTE(SUBSTITUTE(SUBSTITUTE(SUBSTITUTE(SUBSTITUTE(B293&amp;" "&amp;C293&amp;" "&amp;D293&amp;" "&amp;E293&amp;" "&amp;F293&amp;" "&amp;G293&amp;" "&amp;H293&amp;" "&amp;'06 Glass Fittings HW'!R35,"("," "),")"," "),"/"," "),"-"," "),","," "),";"," "),":"," ")&amp;" ")</f>
        <v/>
      </c>
    </row>
    <row r="294" customFormat="false" ht="15" hidden="false" customHeight="false" outlineLevel="0" collapsed="false">
      <c r="A294" s="56" t="str">
        <f aca="false">IF('06 Glass Fittings HW'!$C$36="","","Glass Fittings - Partition, Shower &amp; Spider")</f>
        <v/>
      </c>
      <c r="B294" s="57" t="str">
        <f aca="false">IF('06 Glass Fittings HW'!$C$36="","",'06 Glass Fittings HW'!A36)</f>
        <v/>
      </c>
      <c r="C294" s="56" t="str">
        <f aca="false">IF('06 Glass Fittings HW'!$C$36="","",'06 Glass Fittings HW'!B36)</f>
        <v/>
      </c>
      <c r="D294" s="56" t="str">
        <f aca="false">IF('06 Glass Fittings HW'!$C$36="","",'06 Glass Fittings HW'!C36)</f>
        <v/>
      </c>
      <c r="E294" s="56" t="str">
        <f aca="false">IF('06 Glass Fittings HW'!$C$36="","",'06 Glass Fittings HW'!D36)</f>
        <v/>
      </c>
      <c r="F294" s="56" t="str">
        <f aca="false">IF('06 Glass Fittings HW'!$C$36="","",'06 Glass Fittings HW'!E36)</f>
        <v/>
      </c>
      <c r="G294" s="56" t="str">
        <f aca="false">IF('06 Glass Fittings HW'!$C$36="","",'06 Glass Fittings HW'!F36)</f>
        <v/>
      </c>
      <c r="H294" s="57" t="str">
        <f aca="false">IF('06 Glass Fittings HW'!$C$36="","",'06 Glass Fittings HW'!G36)</f>
        <v/>
      </c>
      <c r="I294" s="58" t="str">
        <f aca="false">IF('06 Glass Fittings HW'!$C$36="","",'06 Glass Fittings HW'!J36)</f>
        <v/>
      </c>
      <c r="J294" s="58" t="str">
        <f aca="false">IF('06 Glass Fittings HW'!$C$36="","",'06 Glass Fittings HW'!K36)</f>
        <v/>
      </c>
      <c r="K294" s="58" t="str">
        <f aca="false">IF('06 Glass Fittings HW'!$C$36="","",'06 Glass Fittings HW'!L36)</f>
        <v/>
      </c>
      <c r="L294" s="57" t="str">
        <f aca="false">IF('06 Glass Fittings HW'!$C$36="","",'06 Glass Fittings HW'!M36)</f>
        <v/>
      </c>
      <c r="M294" s="59" t="str">
        <f aca="false">IF(D294="","",IF(AND(OR(Search!$C$6="All Categories",A294=Search!$C$6),OR(Search!$P$5="",ISNUMBER(SEARCH(" "&amp;Search!$P$5,N294))),OR(Search!$P$6="",ISNUMBER(SEARCH(" "&amp;Search!$P$6,N294))),OR(Search!$P$7="",ISNUMBER(SEARCH(" "&amp;Search!$P$7,N294))),OR(Search!$P$8="",ISNUMBER(SEARCH(" "&amp;Search!$P$8,N294))),OR(Search!$P$9="",ISNUMBER(SEARCH(" "&amp;Search!$P$9,N294))),OR(Search!$P$10="",ISNUMBER(SEARCH(" "&amp;Search!$P$10,N294)))),ROW(),""))</f>
        <v/>
      </c>
      <c r="N294" s="0" t="str">
        <f aca="false">IF(D294="",""," "&amp;SUBSTITUTE(SUBSTITUTE(SUBSTITUTE(SUBSTITUTE(SUBSTITUTE(SUBSTITUTE(SUBSTITUTE(B294&amp;" "&amp;C294&amp;" "&amp;D294&amp;" "&amp;E294&amp;" "&amp;F294&amp;" "&amp;G294&amp;" "&amp;H294&amp;" "&amp;'06 Glass Fittings HW'!R36,"("," "),")"," "),"/"," "),"-"," "),","," "),";"," "),":"," ")&amp;" ")</f>
        <v/>
      </c>
    </row>
    <row r="295" customFormat="false" ht="15" hidden="false" customHeight="false" outlineLevel="0" collapsed="false">
      <c r="A295" s="56" t="str">
        <f aca="false">IF('06 Glass Fittings HW'!$C$37="","","Glass Fittings - Partition, Shower &amp; Spider")</f>
        <v/>
      </c>
      <c r="B295" s="57" t="str">
        <f aca="false">IF('06 Glass Fittings HW'!$C$37="","",'06 Glass Fittings HW'!A37)</f>
        <v/>
      </c>
      <c r="C295" s="56" t="str">
        <f aca="false">IF('06 Glass Fittings HW'!$C$37="","",'06 Glass Fittings HW'!B37)</f>
        <v/>
      </c>
      <c r="D295" s="56" t="str">
        <f aca="false">IF('06 Glass Fittings HW'!$C$37="","",'06 Glass Fittings HW'!C37)</f>
        <v/>
      </c>
      <c r="E295" s="56" t="str">
        <f aca="false">IF('06 Glass Fittings HW'!$C$37="","",'06 Glass Fittings HW'!D37)</f>
        <v/>
      </c>
      <c r="F295" s="56" t="str">
        <f aca="false">IF('06 Glass Fittings HW'!$C$37="","",'06 Glass Fittings HW'!E37)</f>
        <v/>
      </c>
      <c r="G295" s="56" t="str">
        <f aca="false">IF('06 Glass Fittings HW'!$C$37="","",'06 Glass Fittings HW'!F37)</f>
        <v/>
      </c>
      <c r="H295" s="57" t="str">
        <f aca="false">IF('06 Glass Fittings HW'!$C$37="","",'06 Glass Fittings HW'!G37)</f>
        <v/>
      </c>
      <c r="I295" s="58" t="str">
        <f aca="false">IF('06 Glass Fittings HW'!$C$37="","",'06 Glass Fittings HW'!J37)</f>
        <v/>
      </c>
      <c r="J295" s="58" t="str">
        <f aca="false">IF('06 Glass Fittings HW'!$C$37="","",'06 Glass Fittings HW'!K37)</f>
        <v/>
      </c>
      <c r="K295" s="58" t="str">
        <f aca="false">IF('06 Glass Fittings HW'!$C$37="","",'06 Glass Fittings HW'!L37)</f>
        <v/>
      </c>
      <c r="L295" s="57" t="str">
        <f aca="false">IF('06 Glass Fittings HW'!$C$37="","",'06 Glass Fittings HW'!M37)</f>
        <v/>
      </c>
      <c r="M295" s="59" t="str">
        <f aca="false">IF(D295="","",IF(AND(OR(Search!$C$6="All Categories",A295=Search!$C$6),OR(Search!$P$5="",ISNUMBER(SEARCH(" "&amp;Search!$P$5,N295))),OR(Search!$P$6="",ISNUMBER(SEARCH(" "&amp;Search!$P$6,N295))),OR(Search!$P$7="",ISNUMBER(SEARCH(" "&amp;Search!$P$7,N295))),OR(Search!$P$8="",ISNUMBER(SEARCH(" "&amp;Search!$P$8,N295))),OR(Search!$P$9="",ISNUMBER(SEARCH(" "&amp;Search!$P$9,N295))),OR(Search!$P$10="",ISNUMBER(SEARCH(" "&amp;Search!$P$10,N295)))),ROW(),""))</f>
        <v/>
      </c>
      <c r="N295" s="0" t="str">
        <f aca="false">IF(D295="",""," "&amp;SUBSTITUTE(SUBSTITUTE(SUBSTITUTE(SUBSTITUTE(SUBSTITUTE(SUBSTITUTE(SUBSTITUTE(B295&amp;" "&amp;C295&amp;" "&amp;D295&amp;" "&amp;E295&amp;" "&amp;F295&amp;" "&amp;G295&amp;" "&amp;H295&amp;" "&amp;'06 Glass Fittings HW'!R37,"("," "),")"," "),"/"," "),"-"," "),","," "),";"," "),":"," ")&amp;" ")</f>
        <v/>
      </c>
    </row>
    <row r="296" customFormat="false" ht="15" hidden="false" customHeight="false" outlineLevel="0" collapsed="false">
      <c r="A296" s="56" t="str">
        <f aca="false">IF('06 Glass Fittings HW'!$C$38="","","Glass Fittings - Partition, Shower &amp; Spider")</f>
        <v/>
      </c>
      <c r="B296" s="57" t="str">
        <f aca="false">IF('06 Glass Fittings HW'!$C$38="","",'06 Glass Fittings HW'!A38)</f>
        <v/>
      </c>
      <c r="C296" s="56" t="str">
        <f aca="false">IF('06 Glass Fittings HW'!$C$38="","",'06 Glass Fittings HW'!B38)</f>
        <v/>
      </c>
      <c r="D296" s="56" t="str">
        <f aca="false">IF('06 Glass Fittings HW'!$C$38="","",'06 Glass Fittings HW'!C38)</f>
        <v/>
      </c>
      <c r="E296" s="56" t="str">
        <f aca="false">IF('06 Glass Fittings HW'!$C$38="","",'06 Glass Fittings HW'!D38)</f>
        <v/>
      </c>
      <c r="F296" s="56" t="str">
        <f aca="false">IF('06 Glass Fittings HW'!$C$38="","",'06 Glass Fittings HW'!E38)</f>
        <v/>
      </c>
      <c r="G296" s="56" t="str">
        <f aca="false">IF('06 Glass Fittings HW'!$C$38="","",'06 Glass Fittings HW'!F38)</f>
        <v/>
      </c>
      <c r="H296" s="57" t="str">
        <f aca="false">IF('06 Glass Fittings HW'!$C$38="","",'06 Glass Fittings HW'!G38)</f>
        <v/>
      </c>
      <c r="I296" s="58" t="str">
        <f aca="false">IF('06 Glass Fittings HW'!$C$38="","",'06 Glass Fittings HW'!J38)</f>
        <v/>
      </c>
      <c r="J296" s="58" t="str">
        <f aca="false">IF('06 Glass Fittings HW'!$C$38="","",'06 Glass Fittings HW'!K38)</f>
        <v/>
      </c>
      <c r="K296" s="58" t="str">
        <f aca="false">IF('06 Glass Fittings HW'!$C$38="","",'06 Glass Fittings HW'!L38)</f>
        <v/>
      </c>
      <c r="L296" s="57" t="str">
        <f aca="false">IF('06 Glass Fittings HW'!$C$38="","",'06 Glass Fittings HW'!M38)</f>
        <v/>
      </c>
      <c r="M296" s="59" t="str">
        <f aca="false">IF(D296="","",IF(AND(OR(Search!$C$6="All Categories",A296=Search!$C$6),OR(Search!$P$5="",ISNUMBER(SEARCH(" "&amp;Search!$P$5,N296))),OR(Search!$P$6="",ISNUMBER(SEARCH(" "&amp;Search!$P$6,N296))),OR(Search!$P$7="",ISNUMBER(SEARCH(" "&amp;Search!$P$7,N296))),OR(Search!$P$8="",ISNUMBER(SEARCH(" "&amp;Search!$P$8,N296))),OR(Search!$P$9="",ISNUMBER(SEARCH(" "&amp;Search!$P$9,N296))),OR(Search!$P$10="",ISNUMBER(SEARCH(" "&amp;Search!$P$10,N296)))),ROW(),""))</f>
        <v/>
      </c>
      <c r="N296" s="0" t="str">
        <f aca="false">IF(D296="",""," "&amp;SUBSTITUTE(SUBSTITUTE(SUBSTITUTE(SUBSTITUTE(SUBSTITUTE(SUBSTITUTE(SUBSTITUTE(B296&amp;" "&amp;C296&amp;" "&amp;D296&amp;" "&amp;E296&amp;" "&amp;F296&amp;" "&amp;G296&amp;" "&amp;H296&amp;" "&amp;'06 Glass Fittings HW'!R38,"("," "),")"," "),"/"," "),"-"," "),","," "),";"," "),":"," ")&amp;" ")</f>
        <v/>
      </c>
    </row>
    <row r="297" customFormat="false" ht="15" hidden="false" customHeight="false" outlineLevel="0" collapsed="false">
      <c r="A297" s="56" t="str">
        <f aca="false">IF('06 Glass Fittings HW'!$C$39="","","Glass Fittings - Partition, Shower &amp; Spider")</f>
        <v/>
      </c>
      <c r="B297" s="57" t="str">
        <f aca="false">IF('06 Glass Fittings HW'!$C$39="","",'06 Glass Fittings HW'!A39)</f>
        <v/>
      </c>
      <c r="C297" s="56" t="str">
        <f aca="false">IF('06 Glass Fittings HW'!$C$39="","",'06 Glass Fittings HW'!B39)</f>
        <v/>
      </c>
      <c r="D297" s="56" t="str">
        <f aca="false">IF('06 Glass Fittings HW'!$C$39="","",'06 Glass Fittings HW'!C39)</f>
        <v/>
      </c>
      <c r="E297" s="56" t="str">
        <f aca="false">IF('06 Glass Fittings HW'!$C$39="","",'06 Glass Fittings HW'!D39)</f>
        <v/>
      </c>
      <c r="F297" s="56" t="str">
        <f aca="false">IF('06 Glass Fittings HW'!$C$39="","",'06 Glass Fittings HW'!E39)</f>
        <v/>
      </c>
      <c r="G297" s="56" t="str">
        <f aca="false">IF('06 Glass Fittings HW'!$C$39="","",'06 Glass Fittings HW'!F39)</f>
        <v/>
      </c>
      <c r="H297" s="57" t="str">
        <f aca="false">IF('06 Glass Fittings HW'!$C$39="","",'06 Glass Fittings HW'!G39)</f>
        <v/>
      </c>
      <c r="I297" s="58" t="str">
        <f aca="false">IF('06 Glass Fittings HW'!$C$39="","",'06 Glass Fittings HW'!J39)</f>
        <v/>
      </c>
      <c r="J297" s="58" t="str">
        <f aca="false">IF('06 Glass Fittings HW'!$C$39="","",'06 Glass Fittings HW'!K39)</f>
        <v/>
      </c>
      <c r="K297" s="58" t="str">
        <f aca="false">IF('06 Glass Fittings HW'!$C$39="","",'06 Glass Fittings HW'!L39)</f>
        <v/>
      </c>
      <c r="L297" s="57" t="str">
        <f aca="false">IF('06 Glass Fittings HW'!$C$39="","",'06 Glass Fittings HW'!M39)</f>
        <v/>
      </c>
      <c r="M297" s="59" t="str">
        <f aca="false">IF(D297="","",IF(AND(OR(Search!$C$6="All Categories",A297=Search!$C$6),OR(Search!$P$5="",ISNUMBER(SEARCH(" "&amp;Search!$P$5,N297))),OR(Search!$P$6="",ISNUMBER(SEARCH(" "&amp;Search!$P$6,N297))),OR(Search!$P$7="",ISNUMBER(SEARCH(" "&amp;Search!$P$7,N297))),OR(Search!$P$8="",ISNUMBER(SEARCH(" "&amp;Search!$P$8,N297))),OR(Search!$P$9="",ISNUMBER(SEARCH(" "&amp;Search!$P$9,N297))),OR(Search!$P$10="",ISNUMBER(SEARCH(" "&amp;Search!$P$10,N297)))),ROW(),""))</f>
        <v/>
      </c>
      <c r="N297" s="0" t="str">
        <f aca="false">IF(D297="",""," "&amp;SUBSTITUTE(SUBSTITUTE(SUBSTITUTE(SUBSTITUTE(SUBSTITUTE(SUBSTITUTE(SUBSTITUTE(B297&amp;" "&amp;C297&amp;" "&amp;D297&amp;" "&amp;E297&amp;" "&amp;F297&amp;" "&amp;G297&amp;" "&amp;H297&amp;" "&amp;'06 Glass Fittings HW'!R39,"("," "),")"," "),"/"," "),"-"," "),","," "),";"," "),":"," ")&amp;" ")</f>
        <v/>
      </c>
    </row>
    <row r="298" customFormat="false" ht="15" hidden="false" customHeight="false" outlineLevel="0" collapsed="false">
      <c r="A298" s="56" t="str">
        <f aca="false">IF('06 Glass Fittings HW'!$C$40="","","Glass Fittings - Partition, Shower &amp; Spider")</f>
        <v/>
      </c>
      <c r="B298" s="57" t="str">
        <f aca="false">IF('06 Glass Fittings HW'!$C$40="","",'06 Glass Fittings HW'!A40)</f>
        <v/>
      </c>
      <c r="C298" s="56" t="str">
        <f aca="false">IF('06 Glass Fittings HW'!$C$40="","",'06 Glass Fittings HW'!B40)</f>
        <v/>
      </c>
      <c r="D298" s="56" t="str">
        <f aca="false">IF('06 Glass Fittings HW'!$C$40="","",'06 Glass Fittings HW'!C40)</f>
        <v/>
      </c>
      <c r="E298" s="56" t="str">
        <f aca="false">IF('06 Glass Fittings HW'!$C$40="","",'06 Glass Fittings HW'!D40)</f>
        <v/>
      </c>
      <c r="F298" s="56" t="str">
        <f aca="false">IF('06 Glass Fittings HW'!$C$40="","",'06 Glass Fittings HW'!E40)</f>
        <v/>
      </c>
      <c r="G298" s="56" t="str">
        <f aca="false">IF('06 Glass Fittings HW'!$C$40="","",'06 Glass Fittings HW'!F40)</f>
        <v/>
      </c>
      <c r="H298" s="57" t="str">
        <f aca="false">IF('06 Glass Fittings HW'!$C$40="","",'06 Glass Fittings HW'!G40)</f>
        <v/>
      </c>
      <c r="I298" s="58" t="str">
        <f aca="false">IF('06 Glass Fittings HW'!$C$40="","",'06 Glass Fittings HW'!J40)</f>
        <v/>
      </c>
      <c r="J298" s="58" t="str">
        <f aca="false">IF('06 Glass Fittings HW'!$C$40="","",'06 Glass Fittings HW'!K40)</f>
        <v/>
      </c>
      <c r="K298" s="58" t="str">
        <f aca="false">IF('06 Glass Fittings HW'!$C$40="","",'06 Glass Fittings HW'!L40)</f>
        <v/>
      </c>
      <c r="L298" s="57" t="str">
        <f aca="false">IF('06 Glass Fittings HW'!$C$40="","",'06 Glass Fittings HW'!M40)</f>
        <v/>
      </c>
      <c r="M298" s="59" t="str">
        <f aca="false">IF(D298="","",IF(AND(OR(Search!$C$6="All Categories",A298=Search!$C$6),OR(Search!$P$5="",ISNUMBER(SEARCH(" "&amp;Search!$P$5,N298))),OR(Search!$P$6="",ISNUMBER(SEARCH(" "&amp;Search!$P$6,N298))),OR(Search!$P$7="",ISNUMBER(SEARCH(" "&amp;Search!$P$7,N298))),OR(Search!$P$8="",ISNUMBER(SEARCH(" "&amp;Search!$P$8,N298))),OR(Search!$P$9="",ISNUMBER(SEARCH(" "&amp;Search!$P$9,N298))),OR(Search!$P$10="",ISNUMBER(SEARCH(" "&amp;Search!$P$10,N298)))),ROW(),""))</f>
        <v/>
      </c>
      <c r="N298" s="0" t="str">
        <f aca="false">IF(D298="",""," "&amp;SUBSTITUTE(SUBSTITUTE(SUBSTITUTE(SUBSTITUTE(SUBSTITUTE(SUBSTITUTE(SUBSTITUTE(B298&amp;" "&amp;C298&amp;" "&amp;D298&amp;" "&amp;E298&amp;" "&amp;F298&amp;" "&amp;G298&amp;" "&amp;H298&amp;" "&amp;'06 Glass Fittings HW'!R40,"("," "),")"," "),"/"," "),"-"," "),","," "),";"," "),":"," ")&amp;" ")</f>
        <v/>
      </c>
    </row>
    <row r="299" customFormat="false" ht="15" hidden="false" customHeight="false" outlineLevel="0" collapsed="false">
      <c r="A299" s="56" t="str">
        <f aca="false">IF('06 Glass Fittings HW'!$C$41="","","Glass Fittings - Partition, Shower &amp; Spider")</f>
        <v/>
      </c>
      <c r="B299" s="57" t="str">
        <f aca="false">IF('06 Glass Fittings HW'!$C$41="","",'06 Glass Fittings HW'!A41)</f>
        <v/>
      </c>
      <c r="C299" s="56" t="str">
        <f aca="false">IF('06 Glass Fittings HW'!$C$41="","",'06 Glass Fittings HW'!B41)</f>
        <v/>
      </c>
      <c r="D299" s="56" t="str">
        <f aca="false">IF('06 Glass Fittings HW'!$C$41="","",'06 Glass Fittings HW'!C41)</f>
        <v/>
      </c>
      <c r="E299" s="56" t="str">
        <f aca="false">IF('06 Glass Fittings HW'!$C$41="","",'06 Glass Fittings HW'!D41)</f>
        <v/>
      </c>
      <c r="F299" s="56" t="str">
        <f aca="false">IF('06 Glass Fittings HW'!$C$41="","",'06 Glass Fittings HW'!E41)</f>
        <v/>
      </c>
      <c r="G299" s="56" t="str">
        <f aca="false">IF('06 Glass Fittings HW'!$C$41="","",'06 Glass Fittings HW'!F41)</f>
        <v/>
      </c>
      <c r="H299" s="57" t="str">
        <f aca="false">IF('06 Glass Fittings HW'!$C$41="","",'06 Glass Fittings HW'!G41)</f>
        <v/>
      </c>
      <c r="I299" s="58" t="str">
        <f aca="false">IF('06 Glass Fittings HW'!$C$41="","",'06 Glass Fittings HW'!J41)</f>
        <v/>
      </c>
      <c r="J299" s="58" t="str">
        <f aca="false">IF('06 Glass Fittings HW'!$C$41="","",'06 Glass Fittings HW'!K41)</f>
        <v/>
      </c>
      <c r="K299" s="58" t="str">
        <f aca="false">IF('06 Glass Fittings HW'!$C$41="","",'06 Glass Fittings HW'!L41)</f>
        <v/>
      </c>
      <c r="L299" s="57" t="str">
        <f aca="false">IF('06 Glass Fittings HW'!$C$41="","",'06 Glass Fittings HW'!M41)</f>
        <v/>
      </c>
      <c r="M299" s="59" t="str">
        <f aca="false">IF(D299="","",IF(AND(OR(Search!$C$6="All Categories",A299=Search!$C$6),OR(Search!$P$5="",ISNUMBER(SEARCH(" "&amp;Search!$P$5,N299))),OR(Search!$P$6="",ISNUMBER(SEARCH(" "&amp;Search!$P$6,N299))),OR(Search!$P$7="",ISNUMBER(SEARCH(" "&amp;Search!$P$7,N299))),OR(Search!$P$8="",ISNUMBER(SEARCH(" "&amp;Search!$P$8,N299))),OR(Search!$P$9="",ISNUMBER(SEARCH(" "&amp;Search!$P$9,N299))),OR(Search!$P$10="",ISNUMBER(SEARCH(" "&amp;Search!$P$10,N299)))),ROW(),""))</f>
        <v/>
      </c>
      <c r="N299" s="0" t="str">
        <f aca="false">IF(D299="",""," "&amp;SUBSTITUTE(SUBSTITUTE(SUBSTITUTE(SUBSTITUTE(SUBSTITUTE(SUBSTITUTE(SUBSTITUTE(B299&amp;" "&amp;C299&amp;" "&amp;D299&amp;" "&amp;E299&amp;" "&amp;F299&amp;" "&amp;G299&amp;" "&amp;H299&amp;" "&amp;'06 Glass Fittings HW'!R41,"("," "),")"," "),"/"," "),"-"," "),","," "),";"," "),":"," ")&amp;" ")</f>
        <v/>
      </c>
    </row>
    <row r="300" customFormat="false" ht="15" hidden="false" customHeight="false" outlineLevel="0" collapsed="false">
      <c r="A300" s="56" t="str">
        <f aca="false">IF('06 Glass Fittings HW'!$C$42="","","Glass Fittings - Partition, Shower &amp; Spider")</f>
        <v/>
      </c>
      <c r="B300" s="57" t="str">
        <f aca="false">IF('06 Glass Fittings HW'!$C$42="","",'06 Glass Fittings HW'!A42)</f>
        <v/>
      </c>
      <c r="C300" s="56" t="str">
        <f aca="false">IF('06 Glass Fittings HW'!$C$42="","",'06 Glass Fittings HW'!B42)</f>
        <v/>
      </c>
      <c r="D300" s="56" t="str">
        <f aca="false">IF('06 Glass Fittings HW'!$C$42="","",'06 Glass Fittings HW'!C42)</f>
        <v/>
      </c>
      <c r="E300" s="56" t="str">
        <f aca="false">IF('06 Glass Fittings HW'!$C$42="","",'06 Glass Fittings HW'!D42)</f>
        <v/>
      </c>
      <c r="F300" s="56" t="str">
        <f aca="false">IF('06 Glass Fittings HW'!$C$42="","",'06 Glass Fittings HW'!E42)</f>
        <v/>
      </c>
      <c r="G300" s="56" t="str">
        <f aca="false">IF('06 Glass Fittings HW'!$C$42="","",'06 Glass Fittings HW'!F42)</f>
        <v/>
      </c>
      <c r="H300" s="57" t="str">
        <f aca="false">IF('06 Glass Fittings HW'!$C$42="","",'06 Glass Fittings HW'!G42)</f>
        <v/>
      </c>
      <c r="I300" s="58" t="str">
        <f aca="false">IF('06 Glass Fittings HW'!$C$42="","",'06 Glass Fittings HW'!J42)</f>
        <v/>
      </c>
      <c r="J300" s="58" t="str">
        <f aca="false">IF('06 Glass Fittings HW'!$C$42="","",'06 Glass Fittings HW'!K42)</f>
        <v/>
      </c>
      <c r="K300" s="58" t="str">
        <f aca="false">IF('06 Glass Fittings HW'!$C$42="","",'06 Glass Fittings HW'!L42)</f>
        <v/>
      </c>
      <c r="L300" s="57" t="str">
        <f aca="false">IF('06 Glass Fittings HW'!$C$42="","",'06 Glass Fittings HW'!M42)</f>
        <v/>
      </c>
      <c r="M300" s="59" t="str">
        <f aca="false">IF(D300="","",IF(AND(OR(Search!$C$6="All Categories",A300=Search!$C$6),OR(Search!$P$5="",ISNUMBER(SEARCH(" "&amp;Search!$P$5,N300))),OR(Search!$P$6="",ISNUMBER(SEARCH(" "&amp;Search!$P$6,N300))),OR(Search!$P$7="",ISNUMBER(SEARCH(" "&amp;Search!$P$7,N300))),OR(Search!$P$8="",ISNUMBER(SEARCH(" "&amp;Search!$P$8,N300))),OR(Search!$P$9="",ISNUMBER(SEARCH(" "&amp;Search!$P$9,N300))),OR(Search!$P$10="",ISNUMBER(SEARCH(" "&amp;Search!$P$10,N300)))),ROW(),""))</f>
        <v/>
      </c>
      <c r="N300" s="0" t="str">
        <f aca="false">IF(D300="",""," "&amp;SUBSTITUTE(SUBSTITUTE(SUBSTITUTE(SUBSTITUTE(SUBSTITUTE(SUBSTITUTE(SUBSTITUTE(B300&amp;" "&amp;C300&amp;" "&amp;D300&amp;" "&amp;E300&amp;" "&amp;F300&amp;" "&amp;G300&amp;" "&amp;H300&amp;" "&amp;'06 Glass Fittings HW'!R42,"("," "),")"," "),"/"," "),"-"," "),","," "),";"," "),":"," ")&amp;" ")</f>
        <v/>
      </c>
    </row>
    <row r="301" customFormat="false" ht="15" hidden="false" customHeight="false" outlineLevel="0" collapsed="false">
      <c r="A301" s="56" t="str">
        <f aca="false">IF('06 Glass Fittings HW'!$C$43="","","Glass Fittings - Partition, Shower &amp; Spider")</f>
        <v/>
      </c>
      <c r="B301" s="57" t="str">
        <f aca="false">IF('06 Glass Fittings HW'!$C$43="","",'06 Glass Fittings HW'!A43)</f>
        <v/>
      </c>
      <c r="C301" s="56" t="str">
        <f aca="false">IF('06 Glass Fittings HW'!$C$43="","",'06 Glass Fittings HW'!B43)</f>
        <v/>
      </c>
      <c r="D301" s="56" t="str">
        <f aca="false">IF('06 Glass Fittings HW'!$C$43="","",'06 Glass Fittings HW'!C43)</f>
        <v/>
      </c>
      <c r="E301" s="56" t="str">
        <f aca="false">IF('06 Glass Fittings HW'!$C$43="","",'06 Glass Fittings HW'!D43)</f>
        <v/>
      </c>
      <c r="F301" s="56" t="str">
        <f aca="false">IF('06 Glass Fittings HW'!$C$43="","",'06 Glass Fittings HW'!E43)</f>
        <v/>
      </c>
      <c r="G301" s="56" t="str">
        <f aca="false">IF('06 Glass Fittings HW'!$C$43="","",'06 Glass Fittings HW'!F43)</f>
        <v/>
      </c>
      <c r="H301" s="57" t="str">
        <f aca="false">IF('06 Glass Fittings HW'!$C$43="","",'06 Glass Fittings HW'!G43)</f>
        <v/>
      </c>
      <c r="I301" s="58" t="str">
        <f aca="false">IF('06 Glass Fittings HW'!$C$43="","",'06 Glass Fittings HW'!J43)</f>
        <v/>
      </c>
      <c r="J301" s="58" t="str">
        <f aca="false">IF('06 Glass Fittings HW'!$C$43="","",'06 Glass Fittings HW'!K43)</f>
        <v/>
      </c>
      <c r="K301" s="58" t="str">
        <f aca="false">IF('06 Glass Fittings HW'!$C$43="","",'06 Glass Fittings HW'!L43)</f>
        <v/>
      </c>
      <c r="L301" s="57" t="str">
        <f aca="false">IF('06 Glass Fittings HW'!$C$43="","",'06 Glass Fittings HW'!M43)</f>
        <v/>
      </c>
      <c r="M301" s="59" t="str">
        <f aca="false">IF(D301="","",IF(AND(OR(Search!$C$6="All Categories",A301=Search!$C$6),OR(Search!$P$5="",ISNUMBER(SEARCH(" "&amp;Search!$P$5,N301))),OR(Search!$P$6="",ISNUMBER(SEARCH(" "&amp;Search!$P$6,N301))),OR(Search!$P$7="",ISNUMBER(SEARCH(" "&amp;Search!$P$7,N301))),OR(Search!$P$8="",ISNUMBER(SEARCH(" "&amp;Search!$P$8,N301))),OR(Search!$P$9="",ISNUMBER(SEARCH(" "&amp;Search!$P$9,N301))),OR(Search!$P$10="",ISNUMBER(SEARCH(" "&amp;Search!$P$10,N301)))),ROW(),""))</f>
        <v/>
      </c>
      <c r="N301" s="0" t="str">
        <f aca="false">IF(D301="",""," "&amp;SUBSTITUTE(SUBSTITUTE(SUBSTITUTE(SUBSTITUTE(SUBSTITUTE(SUBSTITUTE(SUBSTITUTE(B301&amp;" "&amp;C301&amp;" "&amp;D301&amp;" "&amp;E301&amp;" "&amp;F301&amp;" "&amp;G301&amp;" "&amp;H301&amp;" "&amp;'06 Glass Fittings HW'!R43,"("," "),")"," "),"/"," "),"-"," "),","," "),";"," "),":"," ")&amp;" ")</f>
        <v/>
      </c>
    </row>
    <row r="302" customFormat="false" ht="15" hidden="false" customHeight="false" outlineLevel="0" collapsed="false">
      <c r="A302" s="56" t="str">
        <f aca="false">IF('06 Glass Fittings HW'!$C$44="","","Glass Fittings - Partition, Shower &amp; Spider")</f>
        <v/>
      </c>
      <c r="B302" s="57" t="str">
        <f aca="false">IF('06 Glass Fittings HW'!$C$44="","",'06 Glass Fittings HW'!A44)</f>
        <v/>
      </c>
      <c r="C302" s="56" t="str">
        <f aca="false">IF('06 Glass Fittings HW'!$C$44="","",'06 Glass Fittings HW'!B44)</f>
        <v/>
      </c>
      <c r="D302" s="56" t="str">
        <f aca="false">IF('06 Glass Fittings HW'!$C$44="","",'06 Glass Fittings HW'!C44)</f>
        <v/>
      </c>
      <c r="E302" s="56" t="str">
        <f aca="false">IF('06 Glass Fittings HW'!$C$44="","",'06 Glass Fittings HW'!D44)</f>
        <v/>
      </c>
      <c r="F302" s="56" t="str">
        <f aca="false">IF('06 Glass Fittings HW'!$C$44="","",'06 Glass Fittings HW'!E44)</f>
        <v/>
      </c>
      <c r="G302" s="56" t="str">
        <f aca="false">IF('06 Glass Fittings HW'!$C$44="","",'06 Glass Fittings HW'!F44)</f>
        <v/>
      </c>
      <c r="H302" s="57" t="str">
        <f aca="false">IF('06 Glass Fittings HW'!$C$44="","",'06 Glass Fittings HW'!G44)</f>
        <v/>
      </c>
      <c r="I302" s="58" t="str">
        <f aca="false">IF('06 Glass Fittings HW'!$C$44="","",'06 Glass Fittings HW'!J44)</f>
        <v/>
      </c>
      <c r="J302" s="58" t="str">
        <f aca="false">IF('06 Glass Fittings HW'!$C$44="","",'06 Glass Fittings HW'!K44)</f>
        <v/>
      </c>
      <c r="K302" s="58" t="str">
        <f aca="false">IF('06 Glass Fittings HW'!$C$44="","",'06 Glass Fittings HW'!L44)</f>
        <v/>
      </c>
      <c r="L302" s="57" t="str">
        <f aca="false">IF('06 Glass Fittings HW'!$C$44="","",'06 Glass Fittings HW'!M44)</f>
        <v/>
      </c>
      <c r="M302" s="59" t="str">
        <f aca="false">IF(D302="","",IF(AND(OR(Search!$C$6="All Categories",A302=Search!$C$6),OR(Search!$P$5="",ISNUMBER(SEARCH(" "&amp;Search!$P$5,N302))),OR(Search!$P$6="",ISNUMBER(SEARCH(" "&amp;Search!$P$6,N302))),OR(Search!$P$7="",ISNUMBER(SEARCH(" "&amp;Search!$P$7,N302))),OR(Search!$P$8="",ISNUMBER(SEARCH(" "&amp;Search!$P$8,N302))),OR(Search!$P$9="",ISNUMBER(SEARCH(" "&amp;Search!$P$9,N302))),OR(Search!$P$10="",ISNUMBER(SEARCH(" "&amp;Search!$P$10,N302)))),ROW(),""))</f>
        <v/>
      </c>
      <c r="N302" s="0" t="str">
        <f aca="false">IF(D302="",""," "&amp;SUBSTITUTE(SUBSTITUTE(SUBSTITUTE(SUBSTITUTE(SUBSTITUTE(SUBSTITUTE(SUBSTITUTE(B302&amp;" "&amp;C302&amp;" "&amp;D302&amp;" "&amp;E302&amp;" "&amp;F302&amp;" "&amp;G302&amp;" "&amp;H302&amp;" "&amp;'06 Glass Fittings HW'!R44,"("," "),")"," "),"/"," "),"-"," "),","," "),";"," "),":"," ")&amp;" ")</f>
        <v/>
      </c>
    </row>
    <row r="303" customFormat="false" ht="15" hidden="false" customHeight="false" outlineLevel="0" collapsed="false">
      <c r="A303" s="56" t="str">
        <f aca="false">IF('06 Glass Fittings HW'!$C$45="","","Glass Fittings - Partition, Shower &amp; Spider")</f>
        <v/>
      </c>
      <c r="B303" s="57" t="str">
        <f aca="false">IF('06 Glass Fittings HW'!$C$45="","",'06 Glass Fittings HW'!A45)</f>
        <v/>
      </c>
      <c r="C303" s="56" t="str">
        <f aca="false">IF('06 Glass Fittings HW'!$C$45="","",'06 Glass Fittings HW'!B45)</f>
        <v/>
      </c>
      <c r="D303" s="56" t="str">
        <f aca="false">IF('06 Glass Fittings HW'!$C$45="","",'06 Glass Fittings HW'!C45)</f>
        <v/>
      </c>
      <c r="E303" s="56" t="str">
        <f aca="false">IF('06 Glass Fittings HW'!$C$45="","",'06 Glass Fittings HW'!D45)</f>
        <v/>
      </c>
      <c r="F303" s="56" t="str">
        <f aca="false">IF('06 Glass Fittings HW'!$C$45="","",'06 Glass Fittings HW'!E45)</f>
        <v/>
      </c>
      <c r="G303" s="56" t="str">
        <f aca="false">IF('06 Glass Fittings HW'!$C$45="","",'06 Glass Fittings HW'!F45)</f>
        <v/>
      </c>
      <c r="H303" s="57" t="str">
        <f aca="false">IF('06 Glass Fittings HW'!$C$45="","",'06 Glass Fittings HW'!G45)</f>
        <v/>
      </c>
      <c r="I303" s="58" t="str">
        <f aca="false">IF('06 Glass Fittings HW'!$C$45="","",'06 Glass Fittings HW'!J45)</f>
        <v/>
      </c>
      <c r="J303" s="58" t="str">
        <f aca="false">IF('06 Glass Fittings HW'!$C$45="","",'06 Glass Fittings HW'!K45)</f>
        <v/>
      </c>
      <c r="K303" s="58" t="str">
        <f aca="false">IF('06 Glass Fittings HW'!$C$45="","",'06 Glass Fittings HW'!L45)</f>
        <v/>
      </c>
      <c r="L303" s="57" t="str">
        <f aca="false">IF('06 Glass Fittings HW'!$C$45="","",'06 Glass Fittings HW'!M45)</f>
        <v/>
      </c>
      <c r="M303" s="59" t="str">
        <f aca="false">IF(D303="","",IF(AND(OR(Search!$C$6="All Categories",A303=Search!$C$6),OR(Search!$P$5="",ISNUMBER(SEARCH(" "&amp;Search!$P$5,N303))),OR(Search!$P$6="",ISNUMBER(SEARCH(" "&amp;Search!$P$6,N303))),OR(Search!$P$7="",ISNUMBER(SEARCH(" "&amp;Search!$P$7,N303))),OR(Search!$P$8="",ISNUMBER(SEARCH(" "&amp;Search!$P$8,N303))),OR(Search!$P$9="",ISNUMBER(SEARCH(" "&amp;Search!$P$9,N303))),OR(Search!$P$10="",ISNUMBER(SEARCH(" "&amp;Search!$P$10,N303)))),ROW(),""))</f>
        <v/>
      </c>
      <c r="N303" s="0" t="str">
        <f aca="false">IF(D303="",""," "&amp;SUBSTITUTE(SUBSTITUTE(SUBSTITUTE(SUBSTITUTE(SUBSTITUTE(SUBSTITUTE(SUBSTITUTE(B303&amp;" "&amp;C303&amp;" "&amp;D303&amp;" "&amp;E303&amp;" "&amp;F303&amp;" "&amp;G303&amp;" "&amp;H303&amp;" "&amp;'06 Glass Fittings HW'!R45,"("," "),")"," "),"/"," "),"-"," "),","," "),";"," "),":"," ")&amp;" ")</f>
        <v/>
      </c>
    </row>
    <row r="304" customFormat="false" ht="15" hidden="false" customHeight="false" outlineLevel="0" collapsed="false">
      <c r="A304" s="56" t="str">
        <f aca="false">IF('06 Glass Fittings HW'!$C$46="","","Glass Fittings - Partition, Shower &amp; Spider")</f>
        <v/>
      </c>
      <c r="B304" s="57" t="str">
        <f aca="false">IF('06 Glass Fittings HW'!$C$46="","",'06 Glass Fittings HW'!A46)</f>
        <v/>
      </c>
      <c r="C304" s="56" t="str">
        <f aca="false">IF('06 Glass Fittings HW'!$C$46="","",'06 Glass Fittings HW'!B46)</f>
        <v/>
      </c>
      <c r="D304" s="56" t="str">
        <f aca="false">IF('06 Glass Fittings HW'!$C$46="","",'06 Glass Fittings HW'!C46)</f>
        <v/>
      </c>
      <c r="E304" s="56" t="str">
        <f aca="false">IF('06 Glass Fittings HW'!$C$46="","",'06 Glass Fittings HW'!D46)</f>
        <v/>
      </c>
      <c r="F304" s="56" t="str">
        <f aca="false">IF('06 Glass Fittings HW'!$C$46="","",'06 Glass Fittings HW'!E46)</f>
        <v/>
      </c>
      <c r="G304" s="56" t="str">
        <f aca="false">IF('06 Glass Fittings HW'!$C$46="","",'06 Glass Fittings HW'!F46)</f>
        <v/>
      </c>
      <c r="H304" s="57" t="str">
        <f aca="false">IF('06 Glass Fittings HW'!$C$46="","",'06 Glass Fittings HW'!G46)</f>
        <v/>
      </c>
      <c r="I304" s="58" t="str">
        <f aca="false">IF('06 Glass Fittings HW'!$C$46="","",'06 Glass Fittings HW'!J46)</f>
        <v/>
      </c>
      <c r="J304" s="58" t="str">
        <f aca="false">IF('06 Glass Fittings HW'!$C$46="","",'06 Glass Fittings HW'!K46)</f>
        <v/>
      </c>
      <c r="K304" s="58" t="str">
        <f aca="false">IF('06 Glass Fittings HW'!$C$46="","",'06 Glass Fittings HW'!L46)</f>
        <v/>
      </c>
      <c r="L304" s="57" t="str">
        <f aca="false">IF('06 Glass Fittings HW'!$C$46="","",'06 Glass Fittings HW'!M46)</f>
        <v/>
      </c>
      <c r="M304" s="59" t="str">
        <f aca="false">IF(D304="","",IF(AND(OR(Search!$C$6="All Categories",A304=Search!$C$6),OR(Search!$P$5="",ISNUMBER(SEARCH(" "&amp;Search!$P$5,N304))),OR(Search!$P$6="",ISNUMBER(SEARCH(" "&amp;Search!$P$6,N304))),OR(Search!$P$7="",ISNUMBER(SEARCH(" "&amp;Search!$P$7,N304))),OR(Search!$P$8="",ISNUMBER(SEARCH(" "&amp;Search!$P$8,N304))),OR(Search!$P$9="",ISNUMBER(SEARCH(" "&amp;Search!$P$9,N304))),OR(Search!$P$10="",ISNUMBER(SEARCH(" "&amp;Search!$P$10,N304)))),ROW(),""))</f>
        <v/>
      </c>
      <c r="N304" s="0" t="str">
        <f aca="false">IF(D304="",""," "&amp;SUBSTITUTE(SUBSTITUTE(SUBSTITUTE(SUBSTITUTE(SUBSTITUTE(SUBSTITUTE(SUBSTITUTE(B304&amp;" "&amp;C304&amp;" "&amp;D304&amp;" "&amp;E304&amp;" "&amp;F304&amp;" "&amp;G304&amp;" "&amp;H304&amp;" "&amp;'06 Glass Fittings HW'!R46,"("," "),")"," "),"/"," "),"-"," "),","," "),";"," "),":"," ")&amp;" ")</f>
        <v/>
      </c>
    </row>
    <row r="305" customFormat="false" ht="15" hidden="false" customHeight="false" outlineLevel="0" collapsed="false">
      <c r="A305" s="56" t="str">
        <f aca="false">IF('06 Glass Fittings HW'!$C$47="","","Glass Fittings - Partition, Shower &amp; Spider")</f>
        <v/>
      </c>
      <c r="B305" s="57" t="str">
        <f aca="false">IF('06 Glass Fittings HW'!$C$47="","",'06 Glass Fittings HW'!A47)</f>
        <v/>
      </c>
      <c r="C305" s="56" t="str">
        <f aca="false">IF('06 Glass Fittings HW'!$C$47="","",'06 Glass Fittings HW'!B47)</f>
        <v/>
      </c>
      <c r="D305" s="56" t="str">
        <f aca="false">IF('06 Glass Fittings HW'!$C$47="","",'06 Glass Fittings HW'!C47)</f>
        <v/>
      </c>
      <c r="E305" s="56" t="str">
        <f aca="false">IF('06 Glass Fittings HW'!$C$47="","",'06 Glass Fittings HW'!D47)</f>
        <v/>
      </c>
      <c r="F305" s="56" t="str">
        <f aca="false">IF('06 Glass Fittings HW'!$C$47="","",'06 Glass Fittings HW'!E47)</f>
        <v/>
      </c>
      <c r="G305" s="56" t="str">
        <f aca="false">IF('06 Glass Fittings HW'!$C$47="","",'06 Glass Fittings HW'!F47)</f>
        <v/>
      </c>
      <c r="H305" s="57" t="str">
        <f aca="false">IF('06 Glass Fittings HW'!$C$47="","",'06 Glass Fittings HW'!G47)</f>
        <v/>
      </c>
      <c r="I305" s="58" t="str">
        <f aca="false">IF('06 Glass Fittings HW'!$C$47="","",'06 Glass Fittings HW'!J47)</f>
        <v/>
      </c>
      <c r="J305" s="58" t="str">
        <f aca="false">IF('06 Glass Fittings HW'!$C$47="","",'06 Glass Fittings HW'!K47)</f>
        <v/>
      </c>
      <c r="K305" s="58" t="str">
        <f aca="false">IF('06 Glass Fittings HW'!$C$47="","",'06 Glass Fittings HW'!L47)</f>
        <v/>
      </c>
      <c r="L305" s="57" t="str">
        <f aca="false">IF('06 Glass Fittings HW'!$C$47="","",'06 Glass Fittings HW'!M47)</f>
        <v/>
      </c>
      <c r="M305" s="59" t="str">
        <f aca="false">IF(D305="","",IF(AND(OR(Search!$C$6="All Categories",A305=Search!$C$6),OR(Search!$P$5="",ISNUMBER(SEARCH(" "&amp;Search!$P$5,N305))),OR(Search!$P$6="",ISNUMBER(SEARCH(" "&amp;Search!$P$6,N305))),OR(Search!$P$7="",ISNUMBER(SEARCH(" "&amp;Search!$P$7,N305))),OR(Search!$P$8="",ISNUMBER(SEARCH(" "&amp;Search!$P$8,N305))),OR(Search!$P$9="",ISNUMBER(SEARCH(" "&amp;Search!$P$9,N305))),OR(Search!$P$10="",ISNUMBER(SEARCH(" "&amp;Search!$P$10,N305)))),ROW(),""))</f>
        <v/>
      </c>
      <c r="N305" s="0" t="str">
        <f aca="false">IF(D305="",""," "&amp;SUBSTITUTE(SUBSTITUTE(SUBSTITUTE(SUBSTITUTE(SUBSTITUTE(SUBSTITUTE(SUBSTITUTE(B305&amp;" "&amp;C305&amp;" "&amp;D305&amp;" "&amp;E305&amp;" "&amp;F305&amp;" "&amp;G305&amp;" "&amp;H305&amp;" "&amp;'06 Glass Fittings HW'!R47,"("," "),")"," "),"/"," "),"-"," "),","," "),";"," "),":"," ")&amp;" ")</f>
        <v/>
      </c>
    </row>
    <row r="306" customFormat="false" ht="15" hidden="false" customHeight="false" outlineLevel="0" collapsed="false">
      <c r="A306" s="56" t="str">
        <f aca="false">IF('06 Glass Fittings HW'!$C$48="","","Glass Fittings - Partition, Shower &amp; Spider")</f>
        <v/>
      </c>
      <c r="B306" s="57" t="str">
        <f aca="false">IF('06 Glass Fittings HW'!$C$48="","",'06 Glass Fittings HW'!A48)</f>
        <v/>
      </c>
      <c r="C306" s="56" t="str">
        <f aca="false">IF('06 Glass Fittings HW'!$C$48="","",'06 Glass Fittings HW'!B48)</f>
        <v/>
      </c>
      <c r="D306" s="56" t="str">
        <f aca="false">IF('06 Glass Fittings HW'!$C$48="","",'06 Glass Fittings HW'!C48)</f>
        <v/>
      </c>
      <c r="E306" s="56" t="str">
        <f aca="false">IF('06 Glass Fittings HW'!$C$48="","",'06 Glass Fittings HW'!D48)</f>
        <v/>
      </c>
      <c r="F306" s="56" t="str">
        <f aca="false">IF('06 Glass Fittings HW'!$C$48="","",'06 Glass Fittings HW'!E48)</f>
        <v/>
      </c>
      <c r="G306" s="56" t="str">
        <f aca="false">IF('06 Glass Fittings HW'!$C$48="","",'06 Glass Fittings HW'!F48)</f>
        <v/>
      </c>
      <c r="H306" s="57" t="str">
        <f aca="false">IF('06 Glass Fittings HW'!$C$48="","",'06 Glass Fittings HW'!G48)</f>
        <v/>
      </c>
      <c r="I306" s="58" t="str">
        <f aca="false">IF('06 Glass Fittings HW'!$C$48="","",'06 Glass Fittings HW'!J48)</f>
        <v/>
      </c>
      <c r="J306" s="58" t="str">
        <f aca="false">IF('06 Glass Fittings HW'!$C$48="","",'06 Glass Fittings HW'!K48)</f>
        <v/>
      </c>
      <c r="K306" s="58" t="str">
        <f aca="false">IF('06 Glass Fittings HW'!$C$48="","",'06 Glass Fittings HW'!L48)</f>
        <v/>
      </c>
      <c r="L306" s="57" t="str">
        <f aca="false">IF('06 Glass Fittings HW'!$C$48="","",'06 Glass Fittings HW'!M48)</f>
        <v/>
      </c>
      <c r="M306" s="59" t="str">
        <f aca="false">IF(D306="","",IF(AND(OR(Search!$C$6="All Categories",A306=Search!$C$6),OR(Search!$P$5="",ISNUMBER(SEARCH(" "&amp;Search!$P$5,N306))),OR(Search!$P$6="",ISNUMBER(SEARCH(" "&amp;Search!$P$6,N306))),OR(Search!$P$7="",ISNUMBER(SEARCH(" "&amp;Search!$P$7,N306))),OR(Search!$P$8="",ISNUMBER(SEARCH(" "&amp;Search!$P$8,N306))),OR(Search!$P$9="",ISNUMBER(SEARCH(" "&amp;Search!$P$9,N306))),OR(Search!$P$10="",ISNUMBER(SEARCH(" "&amp;Search!$P$10,N306)))),ROW(),""))</f>
        <v/>
      </c>
      <c r="N306" s="0" t="str">
        <f aca="false">IF(D306="",""," "&amp;SUBSTITUTE(SUBSTITUTE(SUBSTITUTE(SUBSTITUTE(SUBSTITUTE(SUBSTITUTE(SUBSTITUTE(B306&amp;" "&amp;C306&amp;" "&amp;D306&amp;" "&amp;E306&amp;" "&amp;F306&amp;" "&amp;G306&amp;" "&amp;H306&amp;" "&amp;'06 Glass Fittings HW'!R48,"("," "),")"," "),"/"," "),"-"," "),","," "),";"," "),":"," ")&amp;" ")</f>
        <v/>
      </c>
    </row>
    <row r="307" customFormat="false" ht="15" hidden="false" customHeight="false" outlineLevel="0" collapsed="false">
      <c r="A307" s="56" t="str">
        <f aca="false">IF('06 Glass Fittings HW'!$C$49="","","Glass Fittings - Partition, Shower &amp; Spider")</f>
        <v/>
      </c>
      <c r="B307" s="57" t="str">
        <f aca="false">IF('06 Glass Fittings HW'!$C$49="","",'06 Glass Fittings HW'!A49)</f>
        <v/>
      </c>
      <c r="C307" s="56" t="str">
        <f aca="false">IF('06 Glass Fittings HW'!$C$49="","",'06 Glass Fittings HW'!B49)</f>
        <v/>
      </c>
      <c r="D307" s="56" t="str">
        <f aca="false">IF('06 Glass Fittings HW'!$C$49="","",'06 Glass Fittings HW'!C49)</f>
        <v/>
      </c>
      <c r="E307" s="56" t="str">
        <f aca="false">IF('06 Glass Fittings HW'!$C$49="","",'06 Glass Fittings HW'!D49)</f>
        <v/>
      </c>
      <c r="F307" s="56" t="str">
        <f aca="false">IF('06 Glass Fittings HW'!$C$49="","",'06 Glass Fittings HW'!E49)</f>
        <v/>
      </c>
      <c r="G307" s="56" t="str">
        <f aca="false">IF('06 Glass Fittings HW'!$C$49="","",'06 Glass Fittings HW'!F49)</f>
        <v/>
      </c>
      <c r="H307" s="57" t="str">
        <f aca="false">IF('06 Glass Fittings HW'!$C$49="","",'06 Glass Fittings HW'!G49)</f>
        <v/>
      </c>
      <c r="I307" s="58" t="str">
        <f aca="false">IF('06 Glass Fittings HW'!$C$49="","",'06 Glass Fittings HW'!J49)</f>
        <v/>
      </c>
      <c r="J307" s="58" t="str">
        <f aca="false">IF('06 Glass Fittings HW'!$C$49="","",'06 Glass Fittings HW'!K49)</f>
        <v/>
      </c>
      <c r="K307" s="58" t="str">
        <f aca="false">IF('06 Glass Fittings HW'!$C$49="","",'06 Glass Fittings HW'!L49)</f>
        <v/>
      </c>
      <c r="L307" s="57" t="str">
        <f aca="false">IF('06 Glass Fittings HW'!$C$49="","",'06 Glass Fittings HW'!M49)</f>
        <v/>
      </c>
      <c r="M307" s="59" t="str">
        <f aca="false">IF(D307="","",IF(AND(OR(Search!$C$6="All Categories",A307=Search!$C$6),OR(Search!$P$5="",ISNUMBER(SEARCH(" "&amp;Search!$P$5,N307))),OR(Search!$P$6="",ISNUMBER(SEARCH(" "&amp;Search!$P$6,N307))),OR(Search!$P$7="",ISNUMBER(SEARCH(" "&amp;Search!$P$7,N307))),OR(Search!$P$8="",ISNUMBER(SEARCH(" "&amp;Search!$P$8,N307))),OR(Search!$P$9="",ISNUMBER(SEARCH(" "&amp;Search!$P$9,N307))),OR(Search!$P$10="",ISNUMBER(SEARCH(" "&amp;Search!$P$10,N307)))),ROW(),""))</f>
        <v/>
      </c>
      <c r="N307" s="0" t="str">
        <f aca="false">IF(D307="",""," "&amp;SUBSTITUTE(SUBSTITUTE(SUBSTITUTE(SUBSTITUTE(SUBSTITUTE(SUBSTITUTE(SUBSTITUTE(B307&amp;" "&amp;C307&amp;" "&amp;D307&amp;" "&amp;E307&amp;" "&amp;F307&amp;" "&amp;G307&amp;" "&amp;H307&amp;" "&amp;'06 Glass Fittings HW'!R49,"("," "),")"," "),"/"," "),"-"," "),","," "),";"," "),":"," ")&amp;" ")</f>
        <v/>
      </c>
    </row>
    <row r="308" customFormat="false" ht="15" hidden="false" customHeight="false" outlineLevel="0" collapsed="false">
      <c r="A308" s="56" t="str">
        <f aca="false">IF('07 Balustrade HW'!$C$5="","","Balustrade &amp; Handrail Components")</f>
        <v>Balustrade &amp; Handrail Components</v>
      </c>
      <c r="B308" s="57" t="str">
        <f aca="false">IF('07 Balustrade HW'!$C$5="","",'07 Balustrade HW'!A5)</f>
        <v>BH-001</v>
      </c>
      <c r="C308" s="56" t="str">
        <f aca="false">IF('07 Balustrade HW'!$C$5="","",'07 Balustrade HW'!B5)</f>
        <v>Posts</v>
      </c>
      <c r="D308" s="56" t="str">
        <f aca="false">IF('07 Balustrade HW'!$C$5="","",'07 Balustrade HW'!C5)</f>
        <v>SS balustrade post with glass clamps</v>
      </c>
      <c r="E308" s="56" t="str">
        <f aca="false">IF('07 Balustrade HW'!$C$5="","",'07 Balustrade HW'!D5)</f>
        <v>Dia 50.8 mm, 1000-1100 mm H</v>
      </c>
      <c r="F308" s="56" t="str">
        <f aca="false">IF('07 Balustrade HW'!$C$5="","",'07 Balustrade HW'!E5)</f>
        <v>SS 304 satin</v>
      </c>
      <c r="G308" s="56" t="str">
        <f aca="false">IF('07 Balustrade HW'!$C$5="","",'07 Balustrade HW'!F5)</f>
        <v>Local / China</v>
      </c>
      <c r="H308" s="57" t="str">
        <f aca="false">IF('07 Balustrade HW'!$C$5="","",'07 Balustrade HW'!G5)</f>
        <v>nos</v>
      </c>
      <c r="I308" s="58" t="n">
        <f aca="false">IF('07 Balustrade HW'!$C$5="","",'07 Balustrade HW'!J5)</f>
        <v>260</v>
      </c>
      <c r="J308" s="58" t="n">
        <f aca="false">IF('07 Balustrade HW'!$C$5="","",'07 Balustrade HW'!K5)</f>
        <v>312</v>
      </c>
      <c r="K308" s="58" t="n">
        <f aca="false">IF('07 Balustrade HW'!$C$5="","",'07 Balustrade HW'!L5)</f>
        <v>327.6</v>
      </c>
      <c r="L308" s="57" t="str">
        <f aca="false">IF('07 Balustrade HW'!$C$5="","",'07 Balustrade HW'!M5)</f>
        <v>Indicative</v>
      </c>
      <c r="M308" s="59" t="str">
        <f aca="false">IF(D308="","",IF(AND(OR(Search!$C$6="All Categories",A308=Search!$C$6),OR(Search!$P$5="",ISNUMBER(SEARCH(" "&amp;Search!$P$5,N308))),OR(Search!$P$6="",ISNUMBER(SEARCH(" "&amp;Search!$P$6,N308))),OR(Search!$P$7="",ISNUMBER(SEARCH(" "&amp;Search!$P$7,N308))),OR(Search!$P$8="",ISNUMBER(SEARCH(" "&amp;Search!$P$8,N308))),OR(Search!$P$9="",ISNUMBER(SEARCH(" "&amp;Search!$P$9,N308))),OR(Search!$P$10="",ISNUMBER(SEARCH(" "&amp;Search!$P$10,N308)))),ROW(),""))</f>
        <v/>
      </c>
      <c r="N308" s="0" t="str">
        <f aca="false">IF(D308="",""," "&amp;SUBSTITUTE(SUBSTITUTE(SUBSTITUTE(SUBSTITUTE(SUBSTITUTE(SUBSTITUTE(SUBSTITUTE(B308&amp;" "&amp;C308&amp;" "&amp;D308&amp;" "&amp;E308&amp;" "&amp;F308&amp;" "&amp;G308&amp;" "&amp;H308&amp;" "&amp;'07 Balustrade HW'!R5,"("," "),")"," "),"/"," "),"-"," "),","," "),";"," "),":"," ")&amp;" ")</f>
        <v> BH 001 Posts SS balustrade post with glass clamps Dia 50.8 mm  1000 1100 mm H SS 304 satin Local   China nos 50.8mm 1100mm ss304 sus304 railing handrail stainless steel </v>
      </c>
    </row>
    <row r="309" customFormat="false" ht="15" hidden="false" customHeight="false" outlineLevel="0" collapsed="false">
      <c r="A309" s="56" t="str">
        <f aca="false">IF('07 Balustrade HW'!$C$6="","","Balustrade &amp; Handrail Components")</f>
        <v>Balustrade &amp; Handrail Components</v>
      </c>
      <c r="B309" s="57" t="str">
        <f aca="false">IF('07 Balustrade HW'!$C$6="","",'07 Balustrade HW'!A6)</f>
        <v>BH-002</v>
      </c>
      <c r="C309" s="56" t="str">
        <f aca="false">IF('07 Balustrade HW'!$C$6="","",'07 Balustrade HW'!B6)</f>
        <v>Posts</v>
      </c>
      <c r="D309" s="56" t="str">
        <f aca="false">IF('07 Balustrade HW'!$C$6="","",'07 Balustrade HW'!C6)</f>
        <v>SS balustrade post with glass clamps</v>
      </c>
      <c r="E309" s="56" t="str">
        <f aca="false">IF('07 Balustrade HW'!$C$6="","",'07 Balustrade HW'!D6)</f>
        <v>Dia 50.8 mm, 1000-1100 mm H</v>
      </c>
      <c r="F309" s="56" t="str">
        <f aca="false">IF('07 Balustrade HW'!$C$6="","",'07 Balustrade HW'!E6)</f>
        <v>SS 316 satin</v>
      </c>
      <c r="G309" s="56" t="str">
        <f aca="false">IF('07 Balustrade HW'!$C$6="","",'07 Balustrade HW'!F6)</f>
        <v>Local / China</v>
      </c>
      <c r="H309" s="57" t="str">
        <f aca="false">IF('07 Balustrade HW'!$C$6="","",'07 Balustrade HW'!G6)</f>
        <v>nos</v>
      </c>
      <c r="I309" s="58" t="n">
        <f aca="false">IF('07 Balustrade HW'!$C$6="","",'07 Balustrade HW'!J6)</f>
        <v>340</v>
      </c>
      <c r="J309" s="58" t="n">
        <f aca="false">IF('07 Balustrade HW'!$C$6="","",'07 Balustrade HW'!K6)</f>
        <v>408</v>
      </c>
      <c r="K309" s="58" t="n">
        <f aca="false">IF('07 Balustrade HW'!$C$6="","",'07 Balustrade HW'!L6)</f>
        <v>428.4</v>
      </c>
      <c r="L309" s="57" t="str">
        <f aca="false">IF('07 Balustrade HW'!$C$6="","",'07 Balustrade HW'!M6)</f>
        <v>Indicative</v>
      </c>
      <c r="M309" s="59" t="str">
        <f aca="false">IF(D309="","",IF(AND(OR(Search!$C$6="All Categories",A309=Search!$C$6),OR(Search!$P$5="",ISNUMBER(SEARCH(" "&amp;Search!$P$5,N309))),OR(Search!$P$6="",ISNUMBER(SEARCH(" "&amp;Search!$P$6,N309))),OR(Search!$P$7="",ISNUMBER(SEARCH(" "&amp;Search!$P$7,N309))),OR(Search!$P$8="",ISNUMBER(SEARCH(" "&amp;Search!$P$8,N309))),OR(Search!$P$9="",ISNUMBER(SEARCH(" "&amp;Search!$P$9,N309))),OR(Search!$P$10="",ISNUMBER(SEARCH(" "&amp;Search!$P$10,N309)))),ROW(),""))</f>
        <v/>
      </c>
      <c r="N309" s="0" t="str">
        <f aca="false">IF(D309="",""," "&amp;SUBSTITUTE(SUBSTITUTE(SUBSTITUTE(SUBSTITUTE(SUBSTITUTE(SUBSTITUTE(SUBSTITUTE(B309&amp;" "&amp;C309&amp;" "&amp;D309&amp;" "&amp;E309&amp;" "&amp;F309&amp;" "&amp;G309&amp;" "&amp;H309&amp;" "&amp;'07 Balustrade HW'!R6,"("," "),")"," "),"/"," "),"-"," "),","," "),";"," "),":"," ")&amp;" ")</f>
        <v> BH 002 Posts SS balustrade post with glass clamps Dia 50.8 mm  1000 1100 mm H SS 316 satin Local   China nos 50.8mm 1100mm ss316 sus316 railing handrail stainless steel </v>
      </c>
    </row>
    <row r="310" customFormat="false" ht="15" hidden="false" customHeight="false" outlineLevel="0" collapsed="false">
      <c r="A310" s="56" t="str">
        <f aca="false">IF('07 Balustrade HW'!$C$7="","","Balustrade &amp; Handrail Components")</f>
        <v>Balustrade &amp; Handrail Components</v>
      </c>
      <c r="B310" s="57" t="str">
        <f aca="false">IF('07 Balustrade HW'!$C$7="","",'07 Balustrade HW'!A7)</f>
        <v>BH-003</v>
      </c>
      <c r="C310" s="56" t="str">
        <f aca="false">IF('07 Balustrade HW'!$C$7="","",'07 Balustrade HW'!B7)</f>
        <v>Posts</v>
      </c>
      <c r="D310" s="56" t="str">
        <f aca="false">IF('07 Balustrade HW'!$C$7="","",'07 Balustrade HW'!C7)</f>
        <v>SS square post with glass clamps</v>
      </c>
      <c r="E310" s="56" t="str">
        <f aca="false">IF('07 Balustrade HW'!$C$7="","",'07 Balustrade HW'!D7)</f>
        <v>40 x 40 mm, 1000-1100 mm H</v>
      </c>
      <c r="F310" s="56" t="str">
        <f aca="false">IF('07 Balustrade HW'!$C$7="","",'07 Balustrade HW'!E7)</f>
        <v>SS 304 satin</v>
      </c>
      <c r="G310" s="56" t="str">
        <f aca="false">IF('07 Balustrade HW'!$C$7="","",'07 Balustrade HW'!F7)</f>
        <v>Local / China</v>
      </c>
      <c r="H310" s="57" t="str">
        <f aca="false">IF('07 Balustrade HW'!$C$7="","",'07 Balustrade HW'!G7)</f>
        <v>nos</v>
      </c>
      <c r="I310" s="58" t="n">
        <f aca="false">IF('07 Balustrade HW'!$C$7="","",'07 Balustrade HW'!J7)</f>
        <v>280</v>
      </c>
      <c r="J310" s="58" t="n">
        <f aca="false">IF('07 Balustrade HW'!$C$7="","",'07 Balustrade HW'!K7)</f>
        <v>336</v>
      </c>
      <c r="K310" s="58" t="n">
        <f aca="false">IF('07 Balustrade HW'!$C$7="","",'07 Balustrade HW'!L7)</f>
        <v>352.8</v>
      </c>
      <c r="L310" s="57" t="str">
        <f aca="false">IF('07 Balustrade HW'!$C$7="","",'07 Balustrade HW'!M7)</f>
        <v>Indicative</v>
      </c>
      <c r="M310" s="59" t="str">
        <f aca="false">IF(D310="","",IF(AND(OR(Search!$C$6="All Categories",A310=Search!$C$6),OR(Search!$P$5="",ISNUMBER(SEARCH(" "&amp;Search!$P$5,N310))),OR(Search!$P$6="",ISNUMBER(SEARCH(" "&amp;Search!$P$6,N310))),OR(Search!$P$7="",ISNUMBER(SEARCH(" "&amp;Search!$P$7,N310))),OR(Search!$P$8="",ISNUMBER(SEARCH(" "&amp;Search!$P$8,N310))),OR(Search!$P$9="",ISNUMBER(SEARCH(" "&amp;Search!$P$9,N310))),OR(Search!$P$10="",ISNUMBER(SEARCH(" "&amp;Search!$P$10,N310)))),ROW(),""))</f>
        <v/>
      </c>
      <c r="N310" s="0" t="str">
        <f aca="false">IF(D310="",""," "&amp;SUBSTITUTE(SUBSTITUTE(SUBSTITUTE(SUBSTITUTE(SUBSTITUTE(SUBSTITUTE(SUBSTITUTE(B310&amp;" "&amp;C310&amp;" "&amp;D310&amp;" "&amp;E310&amp;" "&amp;F310&amp;" "&amp;G310&amp;" "&amp;H310&amp;" "&amp;'07 Balustrade HW'!R7,"("," "),")"," "),"/"," "),"-"," "),","," "),";"," "),":"," ")&amp;" ")</f>
        <v> BH 003 Posts SS square post with glass clamps 40 x 40 mm  1000 1100 mm H SS 304 satin Local   China nos 40x40 40mm 1100mm ss304 sus304 stainless steel </v>
      </c>
    </row>
    <row r="311" customFormat="false" ht="15" hidden="false" customHeight="false" outlineLevel="0" collapsed="false">
      <c r="A311" s="56" t="str">
        <f aca="false">IF('07 Balustrade HW'!$C$8="","","Balustrade &amp; Handrail Components")</f>
        <v>Balustrade &amp; Handrail Components</v>
      </c>
      <c r="B311" s="57" t="str">
        <f aca="false">IF('07 Balustrade HW'!$C$8="","",'07 Balustrade HW'!A8)</f>
        <v>BH-004</v>
      </c>
      <c r="C311" s="56" t="str">
        <f aca="false">IF('07 Balustrade HW'!$C$8="","",'07 Balustrade HW'!B8)</f>
        <v>Posts</v>
      </c>
      <c r="D311" s="56" t="str">
        <f aca="false">IF('07 Balustrade HW'!$C$8="","",'07 Balustrade HW'!C8)</f>
        <v>SS post with wire / rod infill holes</v>
      </c>
      <c r="E311" s="56" t="str">
        <f aca="false">IF('07 Balustrade HW'!$C$8="","",'07 Balustrade HW'!D8)</f>
        <v>Dia 50.8 mm, 5 holes</v>
      </c>
      <c r="F311" s="56" t="str">
        <f aca="false">IF('07 Balustrade HW'!$C$8="","",'07 Balustrade HW'!E8)</f>
        <v>SS 316 satin</v>
      </c>
      <c r="G311" s="56" t="str">
        <f aca="false">IF('07 Balustrade HW'!$C$8="","",'07 Balustrade HW'!F8)</f>
        <v>Local</v>
      </c>
      <c r="H311" s="57" t="str">
        <f aca="false">IF('07 Balustrade HW'!$C$8="","",'07 Balustrade HW'!G8)</f>
        <v>nos</v>
      </c>
      <c r="I311" s="58" t="n">
        <f aca="false">IF('07 Balustrade HW'!$C$8="","",'07 Balustrade HW'!J8)</f>
        <v>320</v>
      </c>
      <c r="J311" s="58" t="n">
        <f aca="false">IF('07 Balustrade HW'!$C$8="","",'07 Balustrade HW'!K8)</f>
        <v>384</v>
      </c>
      <c r="K311" s="58" t="n">
        <f aca="false">IF('07 Balustrade HW'!$C$8="","",'07 Balustrade HW'!L8)</f>
        <v>403.2</v>
      </c>
      <c r="L311" s="57" t="str">
        <f aca="false">IF('07 Balustrade HW'!$C$8="","",'07 Balustrade HW'!M8)</f>
        <v>Indicative</v>
      </c>
      <c r="M311" s="59" t="str">
        <f aca="false">IF(D311="","",IF(AND(OR(Search!$C$6="All Categories",A311=Search!$C$6),OR(Search!$P$5="",ISNUMBER(SEARCH(" "&amp;Search!$P$5,N311))),OR(Search!$P$6="",ISNUMBER(SEARCH(" "&amp;Search!$P$6,N311))),OR(Search!$P$7="",ISNUMBER(SEARCH(" "&amp;Search!$P$7,N311))),OR(Search!$P$8="",ISNUMBER(SEARCH(" "&amp;Search!$P$8,N311))),OR(Search!$P$9="",ISNUMBER(SEARCH(" "&amp;Search!$P$9,N311))),OR(Search!$P$10="",ISNUMBER(SEARCH(" "&amp;Search!$P$10,N311)))),ROW(),""))</f>
        <v/>
      </c>
      <c r="N311" s="0" t="str">
        <f aca="false">IF(D311="",""," "&amp;SUBSTITUTE(SUBSTITUTE(SUBSTITUTE(SUBSTITUTE(SUBSTITUTE(SUBSTITUTE(SUBSTITUTE(B311&amp;" "&amp;C311&amp;" "&amp;D311&amp;" "&amp;E311&amp;" "&amp;F311&amp;" "&amp;G311&amp;" "&amp;H311&amp;" "&amp;'07 Balustrade HW'!R8,"("," "),")"," "),"/"," "),"-"," "),","," "),";"," "),":"," ")&amp;" ")</f>
        <v> BH 004 Posts SS post with wire   rod infill holes Dia 50.8 mm  5 holes SS 316 satin Local nos 50.8mm ss316 sus316 stainless steel </v>
      </c>
    </row>
    <row r="312" customFormat="false" ht="15" hidden="false" customHeight="false" outlineLevel="0" collapsed="false">
      <c r="A312" s="56" t="str">
        <f aca="false">IF('07 Balustrade HW'!$C$9="","","Balustrade &amp; Handrail Components")</f>
        <v>Balustrade &amp; Handrail Components</v>
      </c>
      <c r="B312" s="57" t="str">
        <f aca="false">IF('07 Balustrade HW'!$C$9="","",'07 Balustrade HW'!A9)</f>
        <v>BH-005</v>
      </c>
      <c r="C312" s="56" t="str">
        <f aca="false">IF('07 Balustrade HW'!$C$9="","",'07 Balustrade HW'!B9)</f>
        <v>Glass Clamps &amp; Spigots</v>
      </c>
      <c r="D312" s="56" t="str">
        <f aca="false">IF('07 Balustrade HW'!$C$9="","",'07 Balustrade HW'!C9)</f>
        <v>Glass clamp - round / flat back</v>
      </c>
      <c r="E312" s="56" t="str">
        <f aca="false">IF('07 Balustrade HW'!$C$9="","",'07 Balustrade HW'!D9)</f>
        <v>For 8-12 mm glass</v>
      </c>
      <c r="F312" s="56" t="str">
        <f aca="false">IF('07 Balustrade HW'!$C$9="","",'07 Balustrade HW'!E9)</f>
        <v>SS 304</v>
      </c>
      <c r="G312" s="56" t="str">
        <f aca="false">IF('07 Balustrade HW'!$C$9="","",'07 Balustrade HW'!F9)</f>
        <v>Local / China</v>
      </c>
      <c r="H312" s="57" t="str">
        <f aca="false">IF('07 Balustrade HW'!$C$9="","",'07 Balustrade HW'!G9)</f>
        <v>nos</v>
      </c>
      <c r="I312" s="58" t="n">
        <f aca="false">IF('07 Balustrade HW'!$C$9="","",'07 Balustrade HW'!J9)</f>
        <v>35</v>
      </c>
      <c r="J312" s="58" t="n">
        <f aca="false">IF('07 Balustrade HW'!$C$9="","",'07 Balustrade HW'!K9)</f>
        <v>42</v>
      </c>
      <c r="K312" s="58" t="n">
        <f aca="false">IF('07 Balustrade HW'!$C$9="","",'07 Balustrade HW'!L9)</f>
        <v>44.1</v>
      </c>
      <c r="L312" s="57" t="str">
        <f aca="false">IF('07 Balustrade HW'!$C$9="","",'07 Balustrade HW'!M9)</f>
        <v>Indicative</v>
      </c>
      <c r="M312" s="59" t="str">
        <f aca="false">IF(D312="","",IF(AND(OR(Search!$C$6="All Categories",A312=Search!$C$6),OR(Search!$P$5="",ISNUMBER(SEARCH(" "&amp;Search!$P$5,N312))),OR(Search!$P$6="",ISNUMBER(SEARCH(" "&amp;Search!$P$6,N312))),OR(Search!$P$7="",ISNUMBER(SEARCH(" "&amp;Search!$P$7,N312))),OR(Search!$P$8="",ISNUMBER(SEARCH(" "&amp;Search!$P$8,N312))),OR(Search!$P$9="",ISNUMBER(SEARCH(" "&amp;Search!$P$9,N312))),OR(Search!$P$10="",ISNUMBER(SEARCH(" "&amp;Search!$P$10,N312)))),ROW(),""))</f>
        <v/>
      </c>
      <c r="N312" s="0" t="str">
        <f aca="false">IF(D312="",""," "&amp;SUBSTITUTE(SUBSTITUTE(SUBSTITUTE(SUBSTITUTE(SUBSTITUTE(SUBSTITUTE(SUBSTITUTE(B312&amp;" "&amp;C312&amp;" "&amp;D312&amp;" "&amp;E312&amp;" "&amp;F312&amp;" "&amp;G312&amp;" "&amp;H312&amp;" "&amp;'07 Balustrade HW'!R9,"("," "),")"," "),"/"," "),"-"," "),","," "),";"," "),":"," ")&amp;" ")</f>
        <v> BH 005 Glass Clamps &amp; Spigots Glass clamp   round   flat back For 8 12 mm glass SS 304 Local   China nos 12mm ss304 sus304 stainless steel </v>
      </c>
    </row>
    <row r="313" customFormat="false" ht="15" hidden="false" customHeight="false" outlineLevel="0" collapsed="false">
      <c r="A313" s="56" t="str">
        <f aca="false">IF('07 Balustrade HW'!$C$10="","","Balustrade &amp; Handrail Components")</f>
        <v>Balustrade &amp; Handrail Components</v>
      </c>
      <c r="B313" s="57" t="str">
        <f aca="false">IF('07 Balustrade HW'!$C$10="","",'07 Balustrade HW'!A10)</f>
        <v>BH-006</v>
      </c>
      <c r="C313" s="56" t="str">
        <f aca="false">IF('07 Balustrade HW'!$C$10="","",'07 Balustrade HW'!B10)</f>
        <v>Glass Clamps &amp; Spigots</v>
      </c>
      <c r="D313" s="56" t="str">
        <f aca="false">IF('07 Balustrade HW'!$C$10="","",'07 Balustrade HW'!C10)</f>
        <v>Glass clamp - round / flat back</v>
      </c>
      <c r="E313" s="56" t="str">
        <f aca="false">IF('07 Balustrade HW'!$C$10="","",'07 Balustrade HW'!D10)</f>
        <v>For 8-12 mm glass</v>
      </c>
      <c r="F313" s="56" t="str">
        <f aca="false">IF('07 Balustrade HW'!$C$10="","",'07 Balustrade HW'!E10)</f>
        <v>SS 316</v>
      </c>
      <c r="G313" s="56" t="str">
        <f aca="false">IF('07 Balustrade HW'!$C$10="","",'07 Balustrade HW'!F10)</f>
        <v>Local / China</v>
      </c>
      <c r="H313" s="57" t="str">
        <f aca="false">IF('07 Balustrade HW'!$C$10="","",'07 Balustrade HW'!G10)</f>
        <v>nos</v>
      </c>
      <c r="I313" s="58" t="n">
        <f aca="false">IF('07 Balustrade HW'!$C$10="","",'07 Balustrade HW'!J10)</f>
        <v>50</v>
      </c>
      <c r="J313" s="58" t="n">
        <f aca="false">IF('07 Balustrade HW'!$C$10="","",'07 Balustrade HW'!K10)</f>
        <v>60</v>
      </c>
      <c r="K313" s="58" t="n">
        <f aca="false">IF('07 Balustrade HW'!$C$10="","",'07 Balustrade HW'!L10)</f>
        <v>63</v>
      </c>
      <c r="L313" s="57" t="str">
        <f aca="false">IF('07 Balustrade HW'!$C$10="","",'07 Balustrade HW'!M10)</f>
        <v>Indicative</v>
      </c>
      <c r="M313" s="59" t="str">
        <f aca="false">IF(D313="","",IF(AND(OR(Search!$C$6="All Categories",A313=Search!$C$6),OR(Search!$P$5="",ISNUMBER(SEARCH(" "&amp;Search!$P$5,N313))),OR(Search!$P$6="",ISNUMBER(SEARCH(" "&amp;Search!$P$6,N313))),OR(Search!$P$7="",ISNUMBER(SEARCH(" "&amp;Search!$P$7,N313))),OR(Search!$P$8="",ISNUMBER(SEARCH(" "&amp;Search!$P$8,N313))),OR(Search!$P$9="",ISNUMBER(SEARCH(" "&amp;Search!$P$9,N313))),OR(Search!$P$10="",ISNUMBER(SEARCH(" "&amp;Search!$P$10,N313)))),ROW(),""))</f>
        <v/>
      </c>
      <c r="N313" s="0" t="str">
        <f aca="false">IF(D313="",""," "&amp;SUBSTITUTE(SUBSTITUTE(SUBSTITUTE(SUBSTITUTE(SUBSTITUTE(SUBSTITUTE(SUBSTITUTE(B313&amp;" "&amp;C313&amp;" "&amp;D313&amp;" "&amp;E313&amp;" "&amp;F313&amp;" "&amp;G313&amp;" "&amp;H313&amp;" "&amp;'07 Balustrade HW'!R10,"("," "),")"," "),"/"," "),"-"," "),","," "),";"," "),":"," ")&amp;" ")</f>
        <v> BH 006 Glass Clamps &amp; Spigots Glass clamp   round   flat back For 8 12 mm glass SS 316 Local   China nos 12mm ss316 sus316 stainless steel </v>
      </c>
    </row>
    <row r="314" customFormat="false" ht="15" hidden="false" customHeight="false" outlineLevel="0" collapsed="false">
      <c r="A314" s="56" t="str">
        <f aca="false">IF('07 Balustrade HW'!$C$11="","","Balustrade &amp; Handrail Components")</f>
        <v>Balustrade &amp; Handrail Components</v>
      </c>
      <c r="B314" s="57" t="str">
        <f aca="false">IF('07 Balustrade HW'!$C$11="","",'07 Balustrade HW'!A11)</f>
        <v>BH-007</v>
      </c>
      <c r="C314" s="56" t="str">
        <f aca="false">IF('07 Balustrade HW'!$C$11="","",'07 Balustrade HW'!B11)</f>
        <v>Glass Clamps &amp; Spigots</v>
      </c>
      <c r="D314" s="56" t="str">
        <f aca="false">IF('07 Balustrade HW'!$C$11="","",'07 Balustrade HW'!C11)</f>
        <v>Glass spigot - core drilled</v>
      </c>
      <c r="E314" s="56" t="str">
        <f aca="false">IF('07 Balustrade HW'!$C$11="","",'07 Balustrade HW'!D11)</f>
        <v>For 12-17.52 mm glass</v>
      </c>
      <c r="F314" s="56" t="str">
        <f aca="false">IF('07 Balustrade HW'!$C$11="","",'07 Balustrade HW'!E11)</f>
        <v>SS 2205 duplex</v>
      </c>
      <c r="G314" s="56" t="str">
        <f aca="false">IF('07 Balustrade HW'!$C$11="","",'07 Balustrade HW'!F11)</f>
        <v>Imported</v>
      </c>
      <c r="H314" s="57" t="str">
        <f aca="false">IF('07 Balustrade HW'!$C$11="","",'07 Balustrade HW'!G11)</f>
        <v>nos</v>
      </c>
      <c r="I314" s="58" t="n">
        <f aca="false">IF('07 Balustrade HW'!$C$11="","",'07 Balustrade HW'!J11)</f>
        <v>260</v>
      </c>
      <c r="J314" s="58" t="n">
        <f aca="false">IF('07 Balustrade HW'!$C$11="","",'07 Balustrade HW'!K11)</f>
        <v>312</v>
      </c>
      <c r="K314" s="58" t="n">
        <f aca="false">IF('07 Balustrade HW'!$C$11="","",'07 Balustrade HW'!L11)</f>
        <v>327.6</v>
      </c>
      <c r="L314" s="57" t="str">
        <f aca="false">IF('07 Balustrade HW'!$C$11="","",'07 Balustrade HW'!M11)</f>
        <v>Indicative</v>
      </c>
      <c r="M314" s="59" t="str">
        <f aca="false">IF(D314="","",IF(AND(OR(Search!$C$6="All Categories",A314=Search!$C$6),OR(Search!$P$5="",ISNUMBER(SEARCH(" "&amp;Search!$P$5,N314))),OR(Search!$P$6="",ISNUMBER(SEARCH(" "&amp;Search!$P$6,N314))),OR(Search!$P$7="",ISNUMBER(SEARCH(" "&amp;Search!$P$7,N314))),OR(Search!$P$8="",ISNUMBER(SEARCH(" "&amp;Search!$P$8,N314))),OR(Search!$P$9="",ISNUMBER(SEARCH(" "&amp;Search!$P$9,N314))),OR(Search!$P$10="",ISNUMBER(SEARCH(" "&amp;Search!$P$10,N314)))),ROW(),""))</f>
        <v/>
      </c>
      <c r="N314" s="0" t="str">
        <f aca="false">IF(D314="",""," "&amp;SUBSTITUTE(SUBSTITUTE(SUBSTITUTE(SUBSTITUTE(SUBSTITUTE(SUBSTITUTE(SUBSTITUTE(B314&amp;" "&amp;C314&amp;" "&amp;D314&amp;" "&amp;E314&amp;" "&amp;F314&amp;" "&amp;G314&amp;" "&amp;H314&amp;" "&amp;'07 Balustrade HW'!R11,"("," "),")"," "),"/"," "),"-"," "),","," "),";"," "),":"," ")&amp;" ")</f>
        <v> BH 007 Glass Clamps &amp; Spigots Glass spigot   core drilled For 12 17.52 mm glass SS 2205 duplex Imported nos 17.52mm stainless steel </v>
      </c>
    </row>
    <row r="315" customFormat="false" ht="15" hidden="false" customHeight="false" outlineLevel="0" collapsed="false">
      <c r="A315" s="56" t="str">
        <f aca="false">IF('07 Balustrade HW'!$C$12="","","Balustrade &amp; Handrail Components")</f>
        <v>Balustrade &amp; Handrail Components</v>
      </c>
      <c r="B315" s="57" t="str">
        <f aca="false">IF('07 Balustrade HW'!$C$12="","",'07 Balustrade HW'!A12)</f>
        <v>BH-008</v>
      </c>
      <c r="C315" s="56" t="str">
        <f aca="false">IF('07 Balustrade HW'!$C$12="","",'07 Balustrade HW'!B12)</f>
        <v>Glass Clamps &amp; Spigots</v>
      </c>
      <c r="D315" s="56" t="str">
        <f aca="false">IF('07 Balustrade HW'!$C$12="","",'07 Balustrade HW'!C12)</f>
        <v>Glass spigot - base plate</v>
      </c>
      <c r="E315" s="56" t="str">
        <f aca="false">IF('07 Balustrade HW'!$C$12="","",'07 Balustrade HW'!D12)</f>
        <v>For 12-17.52 mm glass</v>
      </c>
      <c r="F315" s="56" t="str">
        <f aca="false">IF('07 Balustrade HW'!$C$12="","",'07 Balustrade HW'!E12)</f>
        <v>SS 316</v>
      </c>
      <c r="G315" s="56" t="str">
        <f aca="false">IF('07 Balustrade HW'!$C$12="","",'07 Balustrade HW'!F12)</f>
        <v>Local / China</v>
      </c>
      <c r="H315" s="57" t="str">
        <f aca="false">IF('07 Balustrade HW'!$C$12="","",'07 Balustrade HW'!G12)</f>
        <v>nos</v>
      </c>
      <c r="I315" s="58" t="n">
        <f aca="false">IF('07 Balustrade HW'!$C$12="","",'07 Balustrade HW'!J12)</f>
        <v>180</v>
      </c>
      <c r="J315" s="58" t="n">
        <f aca="false">IF('07 Balustrade HW'!$C$12="","",'07 Balustrade HW'!K12)</f>
        <v>216</v>
      </c>
      <c r="K315" s="58" t="n">
        <f aca="false">IF('07 Balustrade HW'!$C$12="","",'07 Balustrade HW'!L12)</f>
        <v>226.8</v>
      </c>
      <c r="L315" s="57" t="str">
        <f aca="false">IF('07 Balustrade HW'!$C$12="","",'07 Balustrade HW'!M12)</f>
        <v>Indicative</v>
      </c>
      <c r="M315" s="59" t="str">
        <f aca="false">IF(D315="","",IF(AND(OR(Search!$C$6="All Categories",A315=Search!$C$6),OR(Search!$P$5="",ISNUMBER(SEARCH(" "&amp;Search!$P$5,N315))),OR(Search!$P$6="",ISNUMBER(SEARCH(" "&amp;Search!$P$6,N315))),OR(Search!$P$7="",ISNUMBER(SEARCH(" "&amp;Search!$P$7,N315))),OR(Search!$P$8="",ISNUMBER(SEARCH(" "&amp;Search!$P$8,N315))),OR(Search!$P$9="",ISNUMBER(SEARCH(" "&amp;Search!$P$9,N315))),OR(Search!$P$10="",ISNUMBER(SEARCH(" "&amp;Search!$P$10,N315)))),ROW(),""))</f>
        <v/>
      </c>
      <c r="N315" s="0" t="str">
        <f aca="false">IF(D315="",""," "&amp;SUBSTITUTE(SUBSTITUTE(SUBSTITUTE(SUBSTITUTE(SUBSTITUTE(SUBSTITUTE(SUBSTITUTE(B315&amp;" "&amp;C315&amp;" "&amp;D315&amp;" "&amp;E315&amp;" "&amp;F315&amp;" "&amp;G315&amp;" "&amp;H315&amp;" "&amp;'07 Balustrade HW'!R12,"("," "),")"," "),"/"," "),"-"," "),","," "),";"," "),":"," ")&amp;" ")</f>
        <v> BH 008 Glass Clamps &amp; Spigots Glass spigot   base plate For 12 17.52 mm glass SS 316 Local   China nos 17.52mm ss316 sus316 stainless steel </v>
      </c>
    </row>
    <row r="316" customFormat="false" ht="15" hidden="false" customHeight="false" outlineLevel="0" collapsed="false">
      <c r="A316" s="56" t="str">
        <f aca="false">IF('07 Balustrade HW'!$C$13="","","Balustrade &amp; Handrail Components")</f>
        <v>Balustrade &amp; Handrail Components</v>
      </c>
      <c r="B316" s="57" t="str">
        <f aca="false">IF('07 Balustrade HW'!$C$13="","",'07 Balustrade HW'!A13)</f>
        <v>BH-009</v>
      </c>
      <c r="C316" s="56" t="str">
        <f aca="false">IF('07 Balustrade HW'!$C$13="","",'07 Balustrade HW'!B13)</f>
        <v>Glass Clamps &amp; Spigots</v>
      </c>
      <c r="D316" s="56" t="str">
        <f aca="false">IF('07 Balustrade HW'!$C$13="","",'07 Balustrade HW'!C13)</f>
        <v>Glass standoff / point fixing</v>
      </c>
      <c r="E316" s="56" t="str">
        <f aca="false">IF('07 Balustrade HW'!$C$13="","",'07 Balustrade HW'!D13)</f>
        <v>Dia 50 mm, for 12-17.52 mm glass</v>
      </c>
      <c r="F316" s="56" t="str">
        <f aca="false">IF('07 Balustrade HW'!$C$13="","",'07 Balustrade HW'!E13)</f>
        <v>SS 316</v>
      </c>
      <c r="G316" s="56" t="str">
        <f aca="false">IF('07 Balustrade HW'!$C$13="","",'07 Balustrade HW'!F13)</f>
        <v>Local / China</v>
      </c>
      <c r="H316" s="57" t="str">
        <f aca="false">IF('07 Balustrade HW'!$C$13="","",'07 Balustrade HW'!G13)</f>
        <v>nos</v>
      </c>
      <c r="I316" s="58" t="n">
        <f aca="false">IF('07 Balustrade HW'!$C$13="","",'07 Balustrade HW'!J13)</f>
        <v>75</v>
      </c>
      <c r="J316" s="58" t="n">
        <f aca="false">IF('07 Balustrade HW'!$C$13="","",'07 Balustrade HW'!K13)</f>
        <v>90</v>
      </c>
      <c r="K316" s="58" t="n">
        <f aca="false">IF('07 Balustrade HW'!$C$13="","",'07 Balustrade HW'!L13)</f>
        <v>94.5</v>
      </c>
      <c r="L316" s="57" t="str">
        <f aca="false">IF('07 Balustrade HW'!$C$13="","",'07 Balustrade HW'!M13)</f>
        <v>Indicative</v>
      </c>
      <c r="M316" s="59" t="str">
        <f aca="false">IF(D316="","",IF(AND(OR(Search!$C$6="All Categories",A316=Search!$C$6),OR(Search!$P$5="",ISNUMBER(SEARCH(" "&amp;Search!$P$5,N316))),OR(Search!$P$6="",ISNUMBER(SEARCH(" "&amp;Search!$P$6,N316))),OR(Search!$P$7="",ISNUMBER(SEARCH(" "&amp;Search!$P$7,N316))),OR(Search!$P$8="",ISNUMBER(SEARCH(" "&amp;Search!$P$8,N316))),OR(Search!$P$9="",ISNUMBER(SEARCH(" "&amp;Search!$P$9,N316))),OR(Search!$P$10="",ISNUMBER(SEARCH(" "&amp;Search!$P$10,N316)))),ROW(),""))</f>
        <v/>
      </c>
      <c r="N316" s="0" t="str">
        <f aca="false">IF(D316="",""," "&amp;SUBSTITUTE(SUBSTITUTE(SUBSTITUTE(SUBSTITUTE(SUBSTITUTE(SUBSTITUTE(SUBSTITUTE(B316&amp;" "&amp;C316&amp;" "&amp;D316&amp;" "&amp;E316&amp;" "&amp;F316&amp;" "&amp;G316&amp;" "&amp;H316&amp;" "&amp;'07 Balustrade HW'!R13,"("," "),")"," "),"/"," "),"-"," "),","," "),";"," "),":"," ")&amp;" ")</f>
        <v> BH 009 Glass Clamps &amp; Spigots Glass standoff   point fixing Dia 50 mm  for 12 17.52 mm glass SS 316 Local   China nos 50mm 17.52mm ss316 sus316 stainless steel </v>
      </c>
    </row>
    <row r="317" customFormat="false" ht="15" hidden="false" customHeight="false" outlineLevel="0" collapsed="false">
      <c r="A317" s="56" t="str">
        <f aca="false">IF('07 Balustrade HW'!$C$14="","","Balustrade &amp; Handrail Components")</f>
        <v>Balustrade &amp; Handrail Components</v>
      </c>
      <c r="B317" s="57" t="str">
        <f aca="false">IF('07 Balustrade HW'!$C$14="","",'07 Balustrade HW'!A14)</f>
        <v>BH-010</v>
      </c>
      <c r="C317" s="56" t="str">
        <f aca="false">IF('07 Balustrade HW'!$C$14="","",'07 Balustrade HW'!B14)</f>
        <v>Glass Clamps &amp; Spigots</v>
      </c>
      <c r="D317" s="56" t="str">
        <f aca="false">IF('07 Balustrade HW'!$C$14="","",'07 Balustrade HW'!C14)</f>
        <v>Base shoe wedge / gasket kit</v>
      </c>
      <c r="E317" s="56" t="str">
        <f aca="false">IF('07 Balustrade HW'!$C$14="","",'07 Balustrade HW'!D14)</f>
        <v>Per lm</v>
      </c>
      <c r="F317" s="56" t="str">
        <f aca="false">IF('07 Balustrade HW'!$C$14="","",'07 Balustrade HW'!E14)</f>
        <v>EPDM / PVC</v>
      </c>
      <c r="G317" s="56" t="str">
        <f aca="false">IF('07 Balustrade HW'!$C$14="","",'07 Balustrade HW'!F14)</f>
        <v>Local / Imported</v>
      </c>
      <c r="H317" s="57" t="str">
        <f aca="false">IF('07 Balustrade HW'!$C$14="","",'07 Balustrade HW'!G14)</f>
        <v>lm</v>
      </c>
      <c r="I317" s="58" t="n">
        <f aca="false">IF('07 Balustrade HW'!$C$14="","",'07 Balustrade HW'!J14)</f>
        <v>40</v>
      </c>
      <c r="J317" s="58" t="n">
        <f aca="false">IF('07 Balustrade HW'!$C$14="","",'07 Balustrade HW'!K14)</f>
        <v>48</v>
      </c>
      <c r="K317" s="58" t="n">
        <f aca="false">IF('07 Balustrade HW'!$C$14="","",'07 Balustrade HW'!L14)</f>
        <v>50.4</v>
      </c>
      <c r="L317" s="57" t="str">
        <f aca="false">IF('07 Balustrade HW'!$C$14="","",'07 Balustrade HW'!M14)</f>
        <v>Indicative</v>
      </c>
      <c r="M317" s="59" t="str">
        <f aca="false">IF(D317="","",IF(AND(OR(Search!$C$6="All Categories",A317=Search!$C$6),OR(Search!$P$5="",ISNUMBER(SEARCH(" "&amp;Search!$P$5,N317))),OR(Search!$P$6="",ISNUMBER(SEARCH(" "&amp;Search!$P$6,N317))),OR(Search!$P$7="",ISNUMBER(SEARCH(" "&amp;Search!$P$7,N317))),OR(Search!$P$8="",ISNUMBER(SEARCH(" "&amp;Search!$P$8,N317))),OR(Search!$P$9="",ISNUMBER(SEARCH(" "&amp;Search!$P$9,N317))),OR(Search!$P$10="",ISNUMBER(SEARCH(" "&amp;Search!$P$10,N317)))),ROW(),""))</f>
        <v/>
      </c>
      <c r="N317" s="0" t="str">
        <f aca="false">IF(D317="",""," "&amp;SUBSTITUTE(SUBSTITUTE(SUBSTITUTE(SUBSTITUTE(SUBSTITUTE(SUBSTITUTE(SUBSTITUTE(B317&amp;" "&amp;C317&amp;" "&amp;D317&amp;" "&amp;E317&amp;" "&amp;F317&amp;" "&amp;G317&amp;" "&amp;H317&amp;" "&amp;'07 Balustrade HW'!R14,"("," "),")"," "),"/"," "),"-"," "),","," "),";"," "),":"," ")&amp;" ")</f>
        <v> BH 010 Glass Clamps &amp; Spigots Base shoe wedge   gasket kit Per lm EPDM   PVC Local   Imported lm rubber epdm stainless steel </v>
      </c>
    </row>
    <row r="318" customFormat="false" ht="22.35" hidden="false" customHeight="false" outlineLevel="0" collapsed="false">
      <c r="A318" s="56" t="str">
        <f aca="false">IF('07 Balustrade HW'!$C$15="","","Balustrade &amp; Handrail Components")</f>
        <v>Balustrade &amp; Handrail Components</v>
      </c>
      <c r="B318" s="57" t="str">
        <f aca="false">IF('07 Balustrade HW'!$C$15="","",'07 Balustrade HW'!A15)</f>
        <v>BH-011</v>
      </c>
      <c r="C318" s="56" t="str">
        <f aca="false">IF('07 Balustrade HW'!$C$15="","",'07 Balustrade HW'!B15)</f>
        <v>Glass Clamps &amp; Spigots</v>
      </c>
      <c r="D318" s="56" t="str">
        <f aca="false">IF('07 Balustrade HW'!$C$15="","",'07 Balustrade HW'!C15)</f>
        <v>Base shoe end cap</v>
      </c>
      <c r="E318" s="56" t="str">
        <f aca="false">IF('07 Balustrade HW'!$C$15="","",'07 Balustrade HW'!D15)</f>
        <v>-</v>
      </c>
      <c r="F318" s="56" t="str">
        <f aca="false">IF('07 Balustrade HW'!$C$15="","",'07 Balustrade HW'!E15)</f>
        <v>Aluminium / SS cladding</v>
      </c>
      <c r="G318" s="56" t="str">
        <f aca="false">IF('07 Balustrade HW'!$C$15="","",'07 Balustrade HW'!F15)</f>
        <v>Local</v>
      </c>
      <c r="H318" s="57" t="str">
        <f aca="false">IF('07 Balustrade HW'!$C$15="","",'07 Balustrade HW'!G15)</f>
        <v>nos</v>
      </c>
      <c r="I318" s="58" t="n">
        <f aca="false">IF('07 Balustrade HW'!$C$15="","",'07 Balustrade HW'!J15)</f>
        <v>45</v>
      </c>
      <c r="J318" s="58" t="n">
        <f aca="false">IF('07 Balustrade HW'!$C$15="","",'07 Balustrade HW'!K15)</f>
        <v>54</v>
      </c>
      <c r="K318" s="58" t="n">
        <f aca="false">IF('07 Balustrade HW'!$C$15="","",'07 Balustrade HW'!L15)</f>
        <v>56.7</v>
      </c>
      <c r="L318" s="57" t="str">
        <f aca="false">IF('07 Balustrade HW'!$C$15="","",'07 Balustrade HW'!M15)</f>
        <v>Indicative</v>
      </c>
      <c r="M318" s="59" t="str">
        <f aca="false">IF(D318="","",IF(AND(OR(Search!$C$6="All Categories",A318=Search!$C$6),OR(Search!$P$5="",ISNUMBER(SEARCH(" "&amp;Search!$P$5,N318))),OR(Search!$P$6="",ISNUMBER(SEARCH(" "&amp;Search!$P$6,N318))),OR(Search!$P$7="",ISNUMBER(SEARCH(" "&amp;Search!$P$7,N318))),OR(Search!$P$8="",ISNUMBER(SEARCH(" "&amp;Search!$P$8,N318))),OR(Search!$P$9="",ISNUMBER(SEARCH(" "&amp;Search!$P$9,N318))),OR(Search!$P$10="",ISNUMBER(SEARCH(" "&amp;Search!$P$10,N318)))),ROW(),""))</f>
        <v/>
      </c>
      <c r="N318" s="0" t="str">
        <f aca="false">IF(D318="",""," "&amp;SUBSTITUTE(SUBSTITUTE(SUBSTITUTE(SUBSTITUTE(SUBSTITUTE(SUBSTITUTE(SUBSTITUTE(B318&amp;" "&amp;C318&amp;" "&amp;D318&amp;" "&amp;E318&amp;" "&amp;F318&amp;" "&amp;G318&amp;" "&amp;H318&amp;" "&amp;'07 Balustrade HW'!R15,"("," "),")"," "),"/"," "),"-"," "),","," "),";"," "),":"," ")&amp;" ")</f>
        <v> BH 011 Glass Clamps &amp; Spigots Base shoe end cap   Aluminium   SS cladding Local nos aluminum alu stainless steel </v>
      </c>
    </row>
    <row r="319" customFormat="false" ht="15" hidden="false" customHeight="false" outlineLevel="0" collapsed="false">
      <c r="A319" s="56" t="str">
        <f aca="false">IF('07 Balustrade HW'!$C$16="","","Balustrade &amp; Handrail Components")</f>
        <v>Balustrade &amp; Handrail Components</v>
      </c>
      <c r="B319" s="57" t="str">
        <f aca="false">IF('07 Balustrade HW'!$C$16="","",'07 Balustrade HW'!A16)</f>
        <v>BH-012</v>
      </c>
      <c r="C319" s="56" t="str">
        <f aca="false">IF('07 Balustrade HW'!$C$16="","",'07 Balustrade HW'!B16)</f>
        <v>Glass Clamps &amp; Spigots</v>
      </c>
      <c r="D319" s="56" t="str">
        <f aca="false">IF('07 Balustrade HW'!$C$16="","",'07 Balustrade HW'!C16)</f>
        <v>Base shoe SS cladding / cover</v>
      </c>
      <c r="E319" s="56" t="str">
        <f aca="false">IF('07 Balustrade HW'!$C$16="","",'07 Balustrade HW'!D16)</f>
        <v>Per lm</v>
      </c>
      <c r="F319" s="56" t="str">
        <f aca="false">IF('07 Balustrade HW'!$C$16="","",'07 Balustrade HW'!E16)</f>
        <v>SS 304 satin</v>
      </c>
      <c r="G319" s="56" t="str">
        <f aca="false">IF('07 Balustrade HW'!$C$16="","",'07 Balustrade HW'!F16)</f>
        <v>Local</v>
      </c>
      <c r="H319" s="57" t="str">
        <f aca="false">IF('07 Balustrade HW'!$C$16="","",'07 Balustrade HW'!G16)</f>
        <v>lm</v>
      </c>
      <c r="I319" s="58" t="n">
        <f aca="false">IF('07 Balustrade HW'!$C$16="","",'07 Balustrade HW'!J16)</f>
        <v>120</v>
      </c>
      <c r="J319" s="58" t="n">
        <f aca="false">IF('07 Balustrade HW'!$C$16="","",'07 Balustrade HW'!K16)</f>
        <v>144</v>
      </c>
      <c r="K319" s="58" t="n">
        <f aca="false">IF('07 Balustrade HW'!$C$16="","",'07 Balustrade HW'!L16)</f>
        <v>151.2</v>
      </c>
      <c r="L319" s="57" t="str">
        <f aca="false">IF('07 Balustrade HW'!$C$16="","",'07 Balustrade HW'!M16)</f>
        <v>Indicative</v>
      </c>
      <c r="M319" s="59" t="str">
        <f aca="false">IF(D319="","",IF(AND(OR(Search!$C$6="All Categories",A319=Search!$C$6),OR(Search!$P$5="",ISNUMBER(SEARCH(" "&amp;Search!$P$5,N319))),OR(Search!$P$6="",ISNUMBER(SEARCH(" "&amp;Search!$P$6,N319))),OR(Search!$P$7="",ISNUMBER(SEARCH(" "&amp;Search!$P$7,N319))),OR(Search!$P$8="",ISNUMBER(SEARCH(" "&amp;Search!$P$8,N319))),OR(Search!$P$9="",ISNUMBER(SEARCH(" "&amp;Search!$P$9,N319))),OR(Search!$P$10="",ISNUMBER(SEARCH(" "&amp;Search!$P$10,N319)))),ROW(),""))</f>
        <v/>
      </c>
      <c r="N319" s="0" t="str">
        <f aca="false">IF(D319="",""," "&amp;SUBSTITUTE(SUBSTITUTE(SUBSTITUTE(SUBSTITUTE(SUBSTITUTE(SUBSTITUTE(SUBSTITUTE(B319&amp;" "&amp;C319&amp;" "&amp;D319&amp;" "&amp;E319&amp;" "&amp;F319&amp;" "&amp;G319&amp;" "&amp;H319&amp;" "&amp;'07 Balustrade HW'!R16,"("," "),")"," "),"/"," "),"-"," "),","," "),";"," "),":"," ")&amp;" ")</f>
        <v> BH 012 Glass Clamps &amp; Spigots Base shoe SS cladding   cover Per lm SS 304 satin Local lm ss304 sus304 stainless steel </v>
      </c>
    </row>
    <row r="320" customFormat="false" ht="15" hidden="false" customHeight="false" outlineLevel="0" collapsed="false">
      <c r="A320" s="56" t="str">
        <f aca="false">IF('07 Balustrade HW'!$C$17="","","Balustrade &amp; Handrail Components")</f>
        <v>Balustrade &amp; Handrail Components</v>
      </c>
      <c r="B320" s="57" t="str">
        <f aca="false">IF('07 Balustrade HW'!$C$17="","",'07 Balustrade HW'!A17)</f>
        <v>BH-013</v>
      </c>
      <c r="C320" s="56" t="str">
        <f aca="false">IF('07 Balustrade HW'!$C$17="","",'07 Balustrade HW'!B17)</f>
        <v>Handrail Fittings</v>
      </c>
      <c r="D320" s="56" t="str">
        <f aca="false">IF('07 Balustrade HW'!$C$17="","",'07 Balustrade HW'!C17)</f>
        <v>Handrail bracket - wall mounted</v>
      </c>
      <c r="E320" s="56" t="str">
        <f aca="false">IF('07 Balustrade HW'!$C$17="","",'07 Balustrade HW'!D17)</f>
        <v>For dia 42-50 mm</v>
      </c>
      <c r="F320" s="56" t="str">
        <f aca="false">IF('07 Balustrade HW'!$C$17="","",'07 Balustrade HW'!E17)</f>
        <v>SS 304</v>
      </c>
      <c r="G320" s="56" t="str">
        <f aca="false">IF('07 Balustrade HW'!$C$17="","",'07 Balustrade HW'!F17)</f>
        <v>Local / China</v>
      </c>
      <c r="H320" s="57" t="str">
        <f aca="false">IF('07 Balustrade HW'!$C$17="","",'07 Balustrade HW'!G17)</f>
        <v>nos</v>
      </c>
      <c r="I320" s="58" t="n">
        <f aca="false">IF('07 Balustrade HW'!$C$17="","",'07 Balustrade HW'!J17)</f>
        <v>35</v>
      </c>
      <c r="J320" s="58" t="n">
        <f aca="false">IF('07 Balustrade HW'!$C$17="","",'07 Balustrade HW'!K17)</f>
        <v>42</v>
      </c>
      <c r="K320" s="58" t="n">
        <f aca="false">IF('07 Balustrade HW'!$C$17="","",'07 Balustrade HW'!L17)</f>
        <v>44.1</v>
      </c>
      <c r="L320" s="57" t="str">
        <f aca="false">IF('07 Balustrade HW'!$C$17="","",'07 Balustrade HW'!M17)</f>
        <v>Indicative</v>
      </c>
      <c r="M320" s="59" t="str">
        <f aca="false">IF(D320="","",IF(AND(OR(Search!$C$6="All Categories",A320=Search!$C$6),OR(Search!$P$5="",ISNUMBER(SEARCH(" "&amp;Search!$P$5,N320))),OR(Search!$P$6="",ISNUMBER(SEARCH(" "&amp;Search!$P$6,N320))),OR(Search!$P$7="",ISNUMBER(SEARCH(" "&amp;Search!$P$7,N320))),OR(Search!$P$8="",ISNUMBER(SEARCH(" "&amp;Search!$P$8,N320))),OR(Search!$P$9="",ISNUMBER(SEARCH(" "&amp;Search!$P$9,N320))),OR(Search!$P$10="",ISNUMBER(SEARCH(" "&amp;Search!$P$10,N320)))),ROW(),""))</f>
        <v/>
      </c>
      <c r="N320" s="0" t="str">
        <f aca="false">IF(D320="",""," "&amp;SUBSTITUTE(SUBSTITUTE(SUBSTITUTE(SUBSTITUTE(SUBSTITUTE(SUBSTITUTE(SUBSTITUTE(B320&amp;" "&amp;C320&amp;" "&amp;D320&amp;" "&amp;E320&amp;" "&amp;F320&amp;" "&amp;G320&amp;" "&amp;H320&amp;" "&amp;'07 Balustrade HW'!R17,"("," "),")"," "),"/"," "),"-"," "),","," "),";"," "),":"," ")&amp;" ")</f>
        <v> BH 013 Handrail Fittings Handrail bracket   wall mounted For dia 42 50 mm SS 304 Local   China nos 50mm ss304 sus304 railing balustrade stainless steel </v>
      </c>
    </row>
    <row r="321" customFormat="false" ht="15" hidden="false" customHeight="false" outlineLevel="0" collapsed="false">
      <c r="A321" s="56" t="str">
        <f aca="false">IF('07 Balustrade HW'!$C$18="","","Balustrade &amp; Handrail Components")</f>
        <v>Balustrade &amp; Handrail Components</v>
      </c>
      <c r="B321" s="57" t="str">
        <f aca="false">IF('07 Balustrade HW'!$C$18="","",'07 Balustrade HW'!A18)</f>
        <v>BH-014</v>
      </c>
      <c r="C321" s="56" t="str">
        <f aca="false">IF('07 Balustrade HW'!$C$18="","",'07 Balustrade HW'!B18)</f>
        <v>Handrail Fittings</v>
      </c>
      <c r="D321" s="56" t="str">
        <f aca="false">IF('07 Balustrade HW'!$C$18="","",'07 Balustrade HW'!C18)</f>
        <v>Handrail bracket - wall mounted</v>
      </c>
      <c r="E321" s="56" t="str">
        <f aca="false">IF('07 Balustrade HW'!$C$18="","",'07 Balustrade HW'!D18)</f>
        <v>For dia 42-50 mm</v>
      </c>
      <c r="F321" s="56" t="str">
        <f aca="false">IF('07 Balustrade HW'!$C$18="","",'07 Balustrade HW'!E18)</f>
        <v>SS 316</v>
      </c>
      <c r="G321" s="56" t="str">
        <f aca="false">IF('07 Balustrade HW'!$C$18="","",'07 Balustrade HW'!F18)</f>
        <v>Local / China</v>
      </c>
      <c r="H321" s="57" t="str">
        <f aca="false">IF('07 Balustrade HW'!$C$18="","",'07 Balustrade HW'!G18)</f>
        <v>nos</v>
      </c>
      <c r="I321" s="58" t="n">
        <f aca="false">IF('07 Balustrade HW'!$C$18="","",'07 Balustrade HW'!J18)</f>
        <v>50</v>
      </c>
      <c r="J321" s="58" t="n">
        <f aca="false">IF('07 Balustrade HW'!$C$18="","",'07 Balustrade HW'!K18)</f>
        <v>60</v>
      </c>
      <c r="K321" s="58" t="n">
        <f aca="false">IF('07 Balustrade HW'!$C$18="","",'07 Balustrade HW'!L18)</f>
        <v>63</v>
      </c>
      <c r="L321" s="57" t="str">
        <f aca="false">IF('07 Balustrade HW'!$C$18="","",'07 Balustrade HW'!M18)</f>
        <v>Indicative</v>
      </c>
      <c r="M321" s="59" t="str">
        <f aca="false">IF(D321="","",IF(AND(OR(Search!$C$6="All Categories",A321=Search!$C$6),OR(Search!$P$5="",ISNUMBER(SEARCH(" "&amp;Search!$P$5,N321))),OR(Search!$P$6="",ISNUMBER(SEARCH(" "&amp;Search!$P$6,N321))),OR(Search!$P$7="",ISNUMBER(SEARCH(" "&amp;Search!$P$7,N321))),OR(Search!$P$8="",ISNUMBER(SEARCH(" "&amp;Search!$P$8,N321))),OR(Search!$P$9="",ISNUMBER(SEARCH(" "&amp;Search!$P$9,N321))),OR(Search!$P$10="",ISNUMBER(SEARCH(" "&amp;Search!$P$10,N321)))),ROW(),""))</f>
        <v/>
      </c>
      <c r="N321" s="0" t="str">
        <f aca="false">IF(D321="",""," "&amp;SUBSTITUTE(SUBSTITUTE(SUBSTITUTE(SUBSTITUTE(SUBSTITUTE(SUBSTITUTE(SUBSTITUTE(B321&amp;" "&amp;C321&amp;" "&amp;D321&amp;" "&amp;E321&amp;" "&amp;F321&amp;" "&amp;G321&amp;" "&amp;H321&amp;" "&amp;'07 Balustrade HW'!R18,"("," "),")"," "),"/"," "),"-"," "),","," "),";"," "),":"," ")&amp;" ")</f>
        <v> BH 014 Handrail Fittings Handrail bracket   wall mounted For dia 42 50 mm SS 316 Local   China nos 50mm ss316 sus316 railing balustrade stainless steel </v>
      </c>
    </row>
    <row r="322" customFormat="false" ht="15" hidden="false" customHeight="false" outlineLevel="0" collapsed="false">
      <c r="A322" s="56" t="str">
        <f aca="false">IF('07 Balustrade HW'!$C$19="","","Balustrade &amp; Handrail Components")</f>
        <v>Balustrade &amp; Handrail Components</v>
      </c>
      <c r="B322" s="57" t="str">
        <f aca="false">IF('07 Balustrade HW'!$C$19="","",'07 Balustrade HW'!A19)</f>
        <v>BH-015</v>
      </c>
      <c r="C322" s="56" t="str">
        <f aca="false">IF('07 Balustrade HW'!$C$19="","",'07 Balustrade HW'!B19)</f>
        <v>Handrail Fittings</v>
      </c>
      <c r="D322" s="56" t="str">
        <f aca="false">IF('07 Balustrade HW'!$C$19="","",'07 Balustrade HW'!C19)</f>
        <v>Glass-mounted handrail bracket</v>
      </c>
      <c r="E322" s="56" t="str">
        <f aca="false">IF('07 Balustrade HW'!$C$19="","",'07 Balustrade HW'!D19)</f>
        <v>For 10-17.52 mm glass</v>
      </c>
      <c r="F322" s="56" t="str">
        <f aca="false">IF('07 Balustrade HW'!$C$19="","",'07 Balustrade HW'!E19)</f>
        <v>SS 316</v>
      </c>
      <c r="G322" s="56" t="str">
        <f aca="false">IF('07 Balustrade HW'!$C$19="","",'07 Balustrade HW'!F19)</f>
        <v>Local / China</v>
      </c>
      <c r="H322" s="57" t="str">
        <f aca="false">IF('07 Balustrade HW'!$C$19="","",'07 Balustrade HW'!G19)</f>
        <v>nos</v>
      </c>
      <c r="I322" s="58" t="n">
        <f aca="false">IF('07 Balustrade HW'!$C$19="","",'07 Balustrade HW'!J19)</f>
        <v>65</v>
      </c>
      <c r="J322" s="58" t="n">
        <f aca="false">IF('07 Balustrade HW'!$C$19="","",'07 Balustrade HW'!K19)</f>
        <v>78</v>
      </c>
      <c r="K322" s="58" t="n">
        <f aca="false">IF('07 Balustrade HW'!$C$19="","",'07 Balustrade HW'!L19)</f>
        <v>81.9</v>
      </c>
      <c r="L322" s="57" t="str">
        <f aca="false">IF('07 Balustrade HW'!$C$19="","",'07 Balustrade HW'!M19)</f>
        <v>Indicative</v>
      </c>
      <c r="M322" s="59" t="str">
        <f aca="false">IF(D322="","",IF(AND(OR(Search!$C$6="All Categories",A322=Search!$C$6),OR(Search!$P$5="",ISNUMBER(SEARCH(" "&amp;Search!$P$5,N322))),OR(Search!$P$6="",ISNUMBER(SEARCH(" "&amp;Search!$P$6,N322))),OR(Search!$P$7="",ISNUMBER(SEARCH(" "&amp;Search!$P$7,N322))),OR(Search!$P$8="",ISNUMBER(SEARCH(" "&amp;Search!$P$8,N322))),OR(Search!$P$9="",ISNUMBER(SEARCH(" "&amp;Search!$P$9,N322))),OR(Search!$P$10="",ISNUMBER(SEARCH(" "&amp;Search!$P$10,N322)))),ROW(),""))</f>
        <v/>
      </c>
      <c r="N322" s="0" t="str">
        <f aca="false">IF(D322="",""," "&amp;SUBSTITUTE(SUBSTITUTE(SUBSTITUTE(SUBSTITUTE(SUBSTITUTE(SUBSTITUTE(SUBSTITUTE(B322&amp;" "&amp;C322&amp;" "&amp;D322&amp;" "&amp;E322&amp;" "&amp;F322&amp;" "&amp;G322&amp;" "&amp;H322&amp;" "&amp;'07 Balustrade HW'!R19,"("," "),")"," "),"/"," "),"-"," "),","," "),";"," "),":"," ")&amp;" ")</f>
        <v> BH 015 Handrail Fittings Glass mounted handrail bracket For 10 17.52 mm glass SS 316 Local   China nos 17.52mm ss316 sus316 railing balustrade stainless steel </v>
      </c>
    </row>
    <row r="323" customFormat="false" ht="15" hidden="false" customHeight="false" outlineLevel="0" collapsed="false">
      <c r="A323" s="56" t="str">
        <f aca="false">IF('07 Balustrade HW'!$C$20="","","Balustrade &amp; Handrail Components")</f>
        <v>Balustrade &amp; Handrail Components</v>
      </c>
      <c r="B323" s="57" t="str">
        <f aca="false">IF('07 Balustrade HW'!$C$20="","",'07 Balustrade HW'!A20)</f>
        <v>BH-016</v>
      </c>
      <c r="C323" s="56" t="str">
        <f aca="false">IF('07 Balustrade HW'!$C$20="","",'07 Balustrade HW'!B20)</f>
        <v>Handrail Fittings</v>
      </c>
      <c r="D323" s="56" t="str">
        <f aca="false">IF('07 Balustrade HW'!$C$20="","",'07 Balustrade HW'!C20)</f>
        <v>Handrail end cap / bend / elbow</v>
      </c>
      <c r="E323" s="56" t="str">
        <f aca="false">IF('07 Balustrade HW'!$C$20="","",'07 Balustrade HW'!D20)</f>
        <v>Dia 50.8 mm</v>
      </c>
      <c r="F323" s="56" t="str">
        <f aca="false">IF('07 Balustrade HW'!$C$20="","",'07 Balustrade HW'!E20)</f>
        <v>SS 304</v>
      </c>
      <c r="G323" s="56" t="str">
        <f aca="false">IF('07 Balustrade HW'!$C$20="","",'07 Balustrade HW'!F20)</f>
        <v>Local</v>
      </c>
      <c r="H323" s="57" t="str">
        <f aca="false">IF('07 Balustrade HW'!$C$20="","",'07 Balustrade HW'!G20)</f>
        <v>nos</v>
      </c>
      <c r="I323" s="58" t="n">
        <f aca="false">IF('07 Balustrade HW'!$C$20="","",'07 Balustrade HW'!J20)</f>
        <v>25</v>
      </c>
      <c r="J323" s="58" t="n">
        <f aca="false">IF('07 Balustrade HW'!$C$20="","",'07 Balustrade HW'!K20)</f>
        <v>30</v>
      </c>
      <c r="K323" s="58" t="n">
        <f aca="false">IF('07 Balustrade HW'!$C$20="","",'07 Balustrade HW'!L20)</f>
        <v>31.5</v>
      </c>
      <c r="L323" s="57" t="str">
        <f aca="false">IF('07 Balustrade HW'!$C$20="","",'07 Balustrade HW'!M20)</f>
        <v>Indicative</v>
      </c>
      <c r="M323" s="59" t="str">
        <f aca="false">IF(D323="","",IF(AND(OR(Search!$C$6="All Categories",A323=Search!$C$6),OR(Search!$P$5="",ISNUMBER(SEARCH(" "&amp;Search!$P$5,N323))),OR(Search!$P$6="",ISNUMBER(SEARCH(" "&amp;Search!$P$6,N323))),OR(Search!$P$7="",ISNUMBER(SEARCH(" "&amp;Search!$P$7,N323))),OR(Search!$P$8="",ISNUMBER(SEARCH(" "&amp;Search!$P$8,N323))),OR(Search!$P$9="",ISNUMBER(SEARCH(" "&amp;Search!$P$9,N323))),OR(Search!$P$10="",ISNUMBER(SEARCH(" "&amp;Search!$P$10,N323)))),ROW(),""))</f>
        <v/>
      </c>
      <c r="N323" s="0" t="str">
        <f aca="false">IF(D323="",""," "&amp;SUBSTITUTE(SUBSTITUTE(SUBSTITUTE(SUBSTITUTE(SUBSTITUTE(SUBSTITUTE(SUBSTITUTE(B323&amp;" "&amp;C323&amp;" "&amp;D323&amp;" "&amp;E323&amp;" "&amp;F323&amp;" "&amp;G323&amp;" "&amp;H323&amp;" "&amp;'07 Balustrade HW'!R20,"("," "),")"," "),"/"," "),"-"," "),","," "),";"," "),":"," ")&amp;" ")</f>
        <v> BH 016 Handrail Fittings Handrail end cap   bend   elbow Dia 50.8 mm SS 304 Local nos 50.8mm ss304 sus304 railing balustrade stainless steel </v>
      </c>
    </row>
    <row r="324" customFormat="false" ht="15" hidden="false" customHeight="false" outlineLevel="0" collapsed="false">
      <c r="A324" s="56" t="str">
        <f aca="false">IF('07 Balustrade HW'!$C$21="","","Balustrade &amp; Handrail Components")</f>
        <v>Balustrade &amp; Handrail Components</v>
      </c>
      <c r="B324" s="57" t="str">
        <f aca="false">IF('07 Balustrade HW'!$C$21="","",'07 Balustrade HW'!A21)</f>
        <v>BH-017</v>
      </c>
      <c r="C324" s="56" t="str">
        <f aca="false">IF('07 Balustrade HW'!$C$21="","",'07 Balustrade HW'!B21)</f>
        <v>Handrail Fittings</v>
      </c>
      <c r="D324" s="56" t="str">
        <f aca="false">IF('07 Balustrade HW'!$C$21="","",'07 Balustrade HW'!C21)</f>
        <v>Handrail slotted top rail (glass cap)</v>
      </c>
      <c r="E324" s="56" t="str">
        <f aca="false">IF('07 Balustrade HW'!$C$21="","",'07 Balustrade HW'!D21)</f>
        <v>Dia 50.8 mm, 24 mm slot</v>
      </c>
      <c r="F324" s="56" t="str">
        <f aca="false">IF('07 Balustrade HW'!$C$21="","",'07 Balustrade HW'!E21)</f>
        <v>SS 304 satin</v>
      </c>
      <c r="G324" s="56" t="str">
        <f aca="false">IF('07 Balustrade HW'!$C$21="","",'07 Balustrade HW'!F21)</f>
        <v>Local / China</v>
      </c>
      <c r="H324" s="57" t="str">
        <f aca="false">IF('07 Balustrade HW'!$C$21="","",'07 Balustrade HW'!G21)</f>
        <v>lm</v>
      </c>
      <c r="I324" s="58" t="n">
        <f aca="false">IF('07 Balustrade HW'!$C$21="","",'07 Balustrade HW'!J21)</f>
        <v>110</v>
      </c>
      <c r="J324" s="58" t="n">
        <f aca="false">IF('07 Balustrade HW'!$C$21="","",'07 Balustrade HW'!K21)</f>
        <v>132</v>
      </c>
      <c r="K324" s="58" t="n">
        <f aca="false">IF('07 Balustrade HW'!$C$21="","",'07 Balustrade HW'!L21)</f>
        <v>138.6</v>
      </c>
      <c r="L324" s="57" t="str">
        <f aca="false">IF('07 Balustrade HW'!$C$21="","",'07 Balustrade HW'!M21)</f>
        <v>Indicative</v>
      </c>
      <c r="M324" s="59" t="str">
        <f aca="false">IF(D324="","",IF(AND(OR(Search!$C$6="All Categories",A324=Search!$C$6),OR(Search!$P$5="",ISNUMBER(SEARCH(" "&amp;Search!$P$5,N324))),OR(Search!$P$6="",ISNUMBER(SEARCH(" "&amp;Search!$P$6,N324))),OR(Search!$P$7="",ISNUMBER(SEARCH(" "&amp;Search!$P$7,N324))),OR(Search!$P$8="",ISNUMBER(SEARCH(" "&amp;Search!$P$8,N324))),OR(Search!$P$9="",ISNUMBER(SEARCH(" "&amp;Search!$P$9,N324))),OR(Search!$P$10="",ISNUMBER(SEARCH(" "&amp;Search!$P$10,N324)))),ROW(),""))</f>
        <v/>
      </c>
      <c r="N324" s="0" t="str">
        <f aca="false">IF(D324="",""," "&amp;SUBSTITUTE(SUBSTITUTE(SUBSTITUTE(SUBSTITUTE(SUBSTITUTE(SUBSTITUTE(SUBSTITUTE(B324&amp;" "&amp;C324&amp;" "&amp;D324&amp;" "&amp;E324&amp;" "&amp;F324&amp;" "&amp;G324&amp;" "&amp;H324&amp;" "&amp;'07 Balustrade HW'!R21,"("," "),")"," "),"/"," "),"-"," "),","," "),";"," "),":"," ")&amp;" ")</f>
        <v> BH 017 Handrail Fittings Handrail slotted top rail  glass cap  Dia 50.8 mm  24 mm slot SS 304 satin Local   China lm 50.8mm 24mm ss304 sus304 railing balustrade stainless steel </v>
      </c>
    </row>
    <row r="325" customFormat="false" ht="15" hidden="false" customHeight="false" outlineLevel="0" collapsed="false">
      <c r="A325" s="56" t="str">
        <f aca="false">IF('07 Balustrade HW'!$C$22="","","Balustrade &amp; Handrail Components")</f>
        <v>Balustrade &amp; Handrail Components</v>
      </c>
      <c r="B325" s="57" t="str">
        <f aca="false">IF('07 Balustrade HW'!$C$22="","",'07 Balustrade HW'!A22)</f>
        <v>BH-018</v>
      </c>
      <c r="C325" s="56" t="str">
        <f aca="false">IF('07 Balustrade HW'!$C$22="","",'07 Balustrade HW'!B22)</f>
        <v>Handrail Fittings</v>
      </c>
      <c r="D325" s="56" t="str">
        <f aca="false">IF('07 Balustrade HW'!$C$22="","",'07 Balustrade HW'!C22)</f>
        <v>Handrail slotted top rail (glass cap)</v>
      </c>
      <c r="E325" s="56" t="str">
        <f aca="false">IF('07 Balustrade HW'!$C$22="","",'07 Balustrade HW'!D22)</f>
        <v>Dia 50.8 mm, 24 mm slot</v>
      </c>
      <c r="F325" s="56" t="str">
        <f aca="false">IF('07 Balustrade HW'!$C$22="","",'07 Balustrade HW'!E22)</f>
        <v>SS 316 satin</v>
      </c>
      <c r="G325" s="56" t="str">
        <f aca="false">IF('07 Balustrade HW'!$C$22="","",'07 Balustrade HW'!F22)</f>
        <v>Local / China</v>
      </c>
      <c r="H325" s="57" t="str">
        <f aca="false">IF('07 Balustrade HW'!$C$22="","",'07 Balustrade HW'!G22)</f>
        <v>lm</v>
      </c>
      <c r="I325" s="58" t="n">
        <f aca="false">IF('07 Balustrade HW'!$C$22="","",'07 Balustrade HW'!J22)</f>
        <v>150</v>
      </c>
      <c r="J325" s="58" t="n">
        <f aca="false">IF('07 Balustrade HW'!$C$22="","",'07 Balustrade HW'!K22)</f>
        <v>180</v>
      </c>
      <c r="K325" s="58" t="n">
        <f aca="false">IF('07 Balustrade HW'!$C$22="","",'07 Balustrade HW'!L22)</f>
        <v>189</v>
      </c>
      <c r="L325" s="57" t="str">
        <f aca="false">IF('07 Balustrade HW'!$C$22="","",'07 Balustrade HW'!M22)</f>
        <v>Indicative</v>
      </c>
      <c r="M325" s="59" t="str">
        <f aca="false">IF(D325="","",IF(AND(OR(Search!$C$6="All Categories",A325=Search!$C$6),OR(Search!$P$5="",ISNUMBER(SEARCH(" "&amp;Search!$P$5,N325))),OR(Search!$P$6="",ISNUMBER(SEARCH(" "&amp;Search!$P$6,N325))),OR(Search!$P$7="",ISNUMBER(SEARCH(" "&amp;Search!$P$7,N325))),OR(Search!$P$8="",ISNUMBER(SEARCH(" "&amp;Search!$P$8,N325))),OR(Search!$P$9="",ISNUMBER(SEARCH(" "&amp;Search!$P$9,N325))),OR(Search!$P$10="",ISNUMBER(SEARCH(" "&amp;Search!$P$10,N325)))),ROW(),""))</f>
        <v/>
      </c>
      <c r="N325" s="0" t="str">
        <f aca="false">IF(D325="",""," "&amp;SUBSTITUTE(SUBSTITUTE(SUBSTITUTE(SUBSTITUTE(SUBSTITUTE(SUBSTITUTE(SUBSTITUTE(B325&amp;" "&amp;C325&amp;" "&amp;D325&amp;" "&amp;E325&amp;" "&amp;F325&amp;" "&amp;G325&amp;" "&amp;H325&amp;" "&amp;'07 Balustrade HW'!R22,"("," "),")"," "),"/"," "),"-"," "),","," "),";"," "),":"," ")&amp;" ")</f>
        <v> BH 018 Handrail Fittings Handrail slotted top rail  glass cap  Dia 50.8 mm  24 mm slot SS 316 satin Local   China lm 50.8mm 24mm ss316 sus316 railing balustrade stainless steel </v>
      </c>
    </row>
    <row r="326" customFormat="false" ht="15" hidden="false" customHeight="false" outlineLevel="0" collapsed="false">
      <c r="A326" s="56" t="str">
        <f aca="false">IF('07 Balustrade HW'!$C$23="","","Balustrade &amp; Handrail Components")</f>
        <v>Balustrade &amp; Handrail Components</v>
      </c>
      <c r="B326" s="57" t="str">
        <f aca="false">IF('07 Balustrade HW'!$C$23="","",'07 Balustrade HW'!A23)</f>
        <v>BH-019</v>
      </c>
      <c r="C326" s="56" t="str">
        <f aca="false">IF('07 Balustrade HW'!$C$23="","",'07 Balustrade HW'!B23)</f>
        <v>Wire &amp; Rod Infill</v>
      </c>
      <c r="D326" s="56" t="str">
        <f aca="false">IF('07 Balustrade HW'!$C$23="","",'07 Balustrade HW'!C23)</f>
        <v>SS wire rope</v>
      </c>
      <c r="E326" s="56" t="str">
        <f aca="false">IF('07 Balustrade HW'!$C$23="","",'07 Balustrade HW'!D23)</f>
        <v>Dia 4 mm, 7x7</v>
      </c>
      <c r="F326" s="56" t="str">
        <f aca="false">IF('07 Balustrade HW'!$C$23="","",'07 Balustrade HW'!E23)</f>
        <v>SS 316</v>
      </c>
      <c r="G326" s="56" t="str">
        <f aca="false">IF('07 Balustrade HW'!$C$23="","",'07 Balustrade HW'!F23)</f>
        <v>Imported</v>
      </c>
      <c r="H326" s="57" t="str">
        <f aca="false">IF('07 Balustrade HW'!$C$23="","",'07 Balustrade HW'!G23)</f>
        <v>lm</v>
      </c>
      <c r="I326" s="58" t="n">
        <f aca="false">IF('07 Balustrade HW'!$C$23="","",'07 Balustrade HW'!J23)</f>
        <v>8</v>
      </c>
      <c r="J326" s="58" t="n">
        <f aca="false">IF('07 Balustrade HW'!$C$23="","",'07 Balustrade HW'!K23)</f>
        <v>9.6</v>
      </c>
      <c r="K326" s="58" t="n">
        <f aca="false">IF('07 Balustrade HW'!$C$23="","",'07 Balustrade HW'!L23)</f>
        <v>10.08</v>
      </c>
      <c r="L326" s="57" t="str">
        <f aca="false">IF('07 Balustrade HW'!$C$23="","",'07 Balustrade HW'!M23)</f>
        <v>Indicative</v>
      </c>
      <c r="M326" s="59" t="str">
        <f aca="false">IF(D326="","",IF(AND(OR(Search!$C$6="All Categories",A326=Search!$C$6),OR(Search!$P$5="",ISNUMBER(SEARCH(" "&amp;Search!$P$5,N326))),OR(Search!$P$6="",ISNUMBER(SEARCH(" "&amp;Search!$P$6,N326))),OR(Search!$P$7="",ISNUMBER(SEARCH(" "&amp;Search!$P$7,N326))),OR(Search!$P$8="",ISNUMBER(SEARCH(" "&amp;Search!$P$8,N326))),OR(Search!$P$9="",ISNUMBER(SEARCH(" "&amp;Search!$P$9,N326))),OR(Search!$P$10="",ISNUMBER(SEARCH(" "&amp;Search!$P$10,N326)))),ROW(),""))</f>
        <v/>
      </c>
      <c r="N326" s="0" t="str">
        <f aca="false">IF(D326="",""," "&amp;SUBSTITUTE(SUBSTITUTE(SUBSTITUTE(SUBSTITUTE(SUBSTITUTE(SUBSTITUTE(SUBSTITUTE(B326&amp;" "&amp;C326&amp;" "&amp;D326&amp;" "&amp;E326&amp;" "&amp;F326&amp;" "&amp;G326&amp;" "&amp;H326&amp;" "&amp;'07 Balustrade HW'!R23,"("," "),")"," "),"/"," "),"-"," "),","," "),";"," "),":"," ")&amp;" ")</f>
        <v> BH 019 Wire &amp; Rod Infill SS wire rope Dia 4 mm  7x7 SS 316 Imported lm 7x7 4mm ss316 sus316 stainless steel </v>
      </c>
    </row>
    <row r="327" customFormat="false" ht="15" hidden="false" customHeight="false" outlineLevel="0" collapsed="false">
      <c r="A327" s="56" t="str">
        <f aca="false">IF('07 Balustrade HW'!$C$24="","","Balustrade &amp; Handrail Components")</f>
        <v>Balustrade &amp; Handrail Components</v>
      </c>
      <c r="B327" s="57" t="str">
        <f aca="false">IF('07 Balustrade HW'!$C$24="","",'07 Balustrade HW'!A24)</f>
        <v>BH-020</v>
      </c>
      <c r="C327" s="56" t="str">
        <f aca="false">IF('07 Balustrade HW'!$C$24="","",'07 Balustrade HW'!B24)</f>
        <v>Wire &amp; Rod Infill</v>
      </c>
      <c r="D327" s="56" t="str">
        <f aca="false">IF('07 Balustrade HW'!$C$24="","",'07 Balustrade HW'!C24)</f>
        <v>Wire rope tensioner / end fitting</v>
      </c>
      <c r="E327" s="56" t="str">
        <f aca="false">IF('07 Balustrade HW'!$C$24="","",'07 Balustrade HW'!D24)</f>
        <v>Set</v>
      </c>
      <c r="F327" s="56" t="str">
        <f aca="false">IF('07 Balustrade HW'!$C$24="","",'07 Balustrade HW'!E24)</f>
        <v>SS 316</v>
      </c>
      <c r="G327" s="56" t="str">
        <f aca="false">IF('07 Balustrade HW'!$C$24="","",'07 Balustrade HW'!F24)</f>
        <v>Imported</v>
      </c>
      <c r="H327" s="57" t="str">
        <f aca="false">IF('07 Balustrade HW'!$C$24="","",'07 Balustrade HW'!G24)</f>
        <v>set</v>
      </c>
      <c r="I327" s="58" t="n">
        <f aca="false">IF('07 Balustrade HW'!$C$24="","",'07 Balustrade HW'!J24)</f>
        <v>75</v>
      </c>
      <c r="J327" s="58" t="n">
        <f aca="false">IF('07 Balustrade HW'!$C$24="","",'07 Balustrade HW'!K24)</f>
        <v>90</v>
      </c>
      <c r="K327" s="58" t="n">
        <f aca="false">IF('07 Balustrade HW'!$C$24="","",'07 Balustrade HW'!L24)</f>
        <v>94.5</v>
      </c>
      <c r="L327" s="57" t="str">
        <f aca="false">IF('07 Balustrade HW'!$C$24="","",'07 Balustrade HW'!M24)</f>
        <v>Indicative</v>
      </c>
      <c r="M327" s="59" t="str">
        <f aca="false">IF(D327="","",IF(AND(OR(Search!$C$6="All Categories",A327=Search!$C$6),OR(Search!$P$5="",ISNUMBER(SEARCH(" "&amp;Search!$P$5,N327))),OR(Search!$P$6="",ISNUMBER(SEARCH(" "&amp;Search!$P$6,N327))),OR(Search!$P$7="",ISNUMBER(SEARCH(" "&amp;Search!$P$7,N327))),OR(Search!$P$8="",ISNUMBER(SEARCH(" "&amp;Search!$P$8,N327))),OR(Search!$P$9="",ISNUMBER(SEARCH(" "&amp;Search!$P$9,N327))),OR(Search!$P$10="",ISNUMBER(SEARCH(" "&amp;Search!$P$10,N327)))),ROW(),""))</f>
        <v/>
      </c>
      <c r="N327" s="0" t="str">
        <f aca="false">IF(D327="",""," "&amp;SUBSTITUTE(SUBSTITUTE(SUBSTITUTE(SUBSTITUTE(SUBSTITUTE(SUBSTITUTE(SUBSTITUTE(B327&amp;" "&amp;C327&amp;" "&amp;D327&amp;" "&amp;E327&amp;" "&amp;F327&amp;" "&amp;G327&amp;" "&amp;H327&amp;" "&amp;'07 Balustrade HW'!R24,"("," "),")"," "),"/"," "),"-"," "),","," "),";"," "),":"," ")&amp;" ")</f>
        <v> BH 020 Wire &amp; Rod Infill Wire rope tensioner   end fitting Set SS 316 Imported set ss316 sus316 stainless steel </v>
      </c>
    </row>
    <row r="328" customFormat="false" ht="15" hidden="false" customHeight="false" outlineLevel="0" collapsed="false">
      <c r="A328" s="56" t="str">
        <f aca="false">IF('07 Balustrade HW'!$C$25="","","Balustrade &amp; Handrail Components")</f>
        <v>Balustrade &amp; Handrail Components</v>
      </c>
      <c r="B328" s="57" t="str">
        <f aca="false">IF('07 Balustrade HW'!$C$25="","",'07 Balustrade HW'!A25)</f>
        <v>BH-021</v>
      </c>
      <c r="C328" s="56" t="str">
        <f aca="false">IF('07 Balustrade HW'!$C$25="","",'07 Balustrade HW'!B25)</f>
        <v>Wire &amp; Rod Infill</v>
      </c>
      <c r="D328" s="56" t="str">
        <f aca="false">IF('07 Balustrade HW'!$C$25="","",'07 Balustrade HW'!C25)</f>
        <v>SS cross bar / rod</v>
      </c>
      <c r="E328" s="56" t="str">
        <f aca="false">IF('07 Balustrade HW'!$C$25="","",'07 Balustrade HW'!D25)</f>
        <v>Dia 12 mm</v>
      </c>
      <c r="F328" s="56" t="str">
        <f aca="false">IF('07 Balustrade HW'!$C$25="","",'07 Balustrade HW'!E25)</f>
        <v>SS 304 satin</v>
      </c>
      <c r="G328" s="56" t="str">
        <f aca="false">IF('07 Balustrade HW'!$C$25="","",'07 Balustrade HW'!F25)</f>
        <v>Local</v>
      </c>
      <c r="H328" s="57" t="str">
        <f aca="false">IF('07 Balustrade HW'!$C$25="","",'07 Balustrade HW'!G25)</f>
        <v>lm</v>
      </c>
      <c r="I328" s="58" t="n">
        <f aca="false">IF('07 Balustrade HW'!$C$25="","",'07 Balustrade HW'!J25)</f>
        <v>18</v>
      </c>
      <c r="J328" s="58" t="n">
        <f aca="false">IF('07 Balustrade HW'!$C$25="","",'07 Balustrade HW'!K25)</f>
        <v>21.6</v>
      </c>
      <c r="K328" s="58" t="n">
        <f aca="false">IF('07 Balustrade HW'!$C$25="","",'07 Balustrade HW'!L25)</f>
        <v>22.68</v>
      </c>
      <c r="L328" s="57" t="str">
        <f aca="false">IF('07 Balustrade HW'!$C$25="","",'07 Balustrade HW'!M25)</f>
        <v>Indicative</v>
      </c>
      <c r="M328" s="59" t="str">
        <f aca="false">IF(D328="","",IF(AND(OR(Search!$C$6="All Categories",A328=Search!$C$6),OR(Search!$P$5="",ISNUMBER(SEARCH(" "&amp;Search!$P$5,N328))),OR(Search!$P$6="",ISNUMBER(SEARCH(" "&amp;Search!$P$6,N328))),OR(Search!$P$7="",ISNUMBER(SEARCH(" "&amp;Search!$P$7,N328))),OR(Search!$P$8="",ISNUMBER(SEARCH(" "&amp;Search!$P$8,N328))),OR(Search!$P$9="",ISNUMBER(SEARCH(" "&amp;Search!$P$9,N328))),OR(Search!$P$10="",ISNUMBER(SEARCH(" "&amp;Search!$P$10,N328)))),ROW(),""))</f>
        <v/>
      </c>
      <c r="N328" s="0" t="str">
        <f aca="false">IF(D328="",""," "&amp;SUBSTITUTE(SUBSTITUTE(SUBSTITUTE(SUBSTITUTE(SUBSTITUTE(SUBSTITUTE(SUBSTITUTE(B328&amp;" "&amp;C328&amp;" "&amp;D328&amp;" "&amp;E328&amp;" "&amp;F328&amp;" "&amp;G328&amp;" "&amp;H328&amp;" "&amp;'07 Balustrade HW'!R25,"("," "),")"," "),"/"," "),"-"," "),","," "),";"," "),":"," ")&amp;" ")</f>
        <v> BH 021 Wire &amp; Rod Infill SS cross bar   rod Dia 12 mm SS 304 satin Local lm 12mm ss304 sus304 stainless steel </v>
      </c>
    </row>
    <row r="329" customFormat="false" ht="15" hidden="false" customHeight="false" outlineLevel="0" collapsed="false">
      <c r="A329" s="56" t="str">
        <f aca="false">IF('07 Balustrade HW'!$C$26="","","Balustrade &amp; Handrail Components")</f>
        <v>Balustrade &amp; Handrail Components</v>
      </c>
      <c r="B329" s="57" t="str">
        <f aca="false">IF('07 Balustrade HW'!$C$26="","",'07 Balustrade HW'!A26)</f>
        <v>BH-022</v>
      </c>
      <c r="C329" s="56" t="str">
        <f aca="false">IF('07 Balustrade HW'!$C$26="","",'07 Balustrade HW'!B26)</f>
        <v>Wire &amp; Rod Infill</v>
      </c>
      <c r="D329" s="56" t="str">
        <f aca="false">IF('07 Balustrade HW'!$C$26="","",'07 Balustrade HW'!C26)</f>
        <v>Cross bar holder</v>
      </c>
      <c r="E329" s="56" t="str">
        <f aca="false">IF('07 Balustrade HW'!$C$26="","",'07 Balustrade HW'!D26)</f>
        <v>Dia 12 mm</v>
      </c>
      <c r="F329" s="56" t="str">
        <f aca="false">IF('07 Balustrade HW'!$C$26="","",'07 Balustrade HW'!E26)</f>
        <v>SS 304</v>
      </c>
      <c r="G329" s="56" t="str">
        <f aca="false">IF('07 Balustrade HW'!$C$26="","",'07 Balustrade HW'!F26)</f>
        <v>Local</v>
      </c>
      <c r="H329" s="57" t="str">
        <f aca="false">IF('07 Balustrade HW'!$C$26="","",'07 Balustrade HW'!G26)</f>
        <v>nos</v>
      </c>
      <c r="I329" s="58" t="n">
        <f aca="false">IF('07 Balustrade HW'!$C$26="","",'07 Balustrade HW'!J26)</f>
        <v>10</v>
      </c>
      <c r="J329" s="58" t="n">
        <f aca="false">IF('07 Balustrade HW'!$C$26="","",'07 Balustrade HW'!K26)</f>
        <v>12</v>
      </c>
      <c r="K329" s="58" t="n">
        <f aca="false">IF('07 Balustrade HW'!$C$26="","",'07 Balustrade HW'!L26)</f>
        <v>12.6</v>
      </c>
      <c r="L329" s="57" t="str">
        <f aca="false">IF('07 Balustrade HW'!$C$26="","",'07 Balustrade HW'!M26)</f>
        <v>Indicative</v>
      </c>
      <c r="M329" s="59" t="str">
        <f aca="false">IF(D329="","",IF(AND(OR(Search!$C$6="All Categories",A329=Search!$C$6),OR(Search!$P$5="",ISNUMBER(SEARCH(" "&amp;Search!$P$5,N329))),OR(Search!$P$6="",ISNUMBER(SEARCH(" "&amp;Search!$P$6,N329))),OR(Search!$P$7="",ISNUMBER(SEARCH(" "&amp;Search!$P$7,N329))),OR(Search!$P$8="",ISNUMBER(SEARCH(" "&amp;Search!$P$8,N329))),OR(Search!$P$9="",ISNUMBER(SEARCH(" "&amp;Search!$P$9,N329))),OR(Search!$P$10="",ISNUMBER(SEARCH(" "&amp;Search!$P$10,N329)))),ROW(),""))</f>
        <v/>
      </c>
      <c r="N329" s="0" t="str">
        <f aca="false">IF(D329="",""," "&amp;SUBSTITUTE(SUBSTITUTE(SUBSTITUTE(SUBSTITUTE(SUBSTITUTE(SUBSTITUTE(SUBSTITUTE(B329&amp;" "&amp;C329&amp;" "&amp;D329&amp;" "&amp;E329&amp;" "&amp;F329&amp;" "&amp;G329&amp;" "&amp;H329&amp;" "&amp;'07 Balustrade HW'!R26,"("," "),")"," "),"/"," "),"-"," "),","," "),";"," "),":"," ")&amp;" ")</f>
        <v> BH 022 Wire &amp; Rod Infill Cross bar holder Dia 12 mm SS 304 Local nos 12mm ss304 sus304 stainless steel </v>
      </c>
    </row>
    <row r="330" customFormat="false" ht="15" hidden="false" customHeight="false" outlineLevel="0" collapsed="false">
      <c r="A330" s="56" t="str">
        <f aca="false">IF('07 Balustrade HW'!$C$27="","","Balustrade &amp; Handrail Components")</f>
        <v>Balustrade &amp; Handrail Components</v>
      </c>
      <c r="B330" s="57" t="str">
        <f aca="false">IF('07 Balustrade HW'!$C$27="","",'07 Balustrade HW'!A27)</f>
        <v>BH-023</v>
      </c>
      <c r="C330" s="56" t="str">
        <f aca="false">IF('07 Balustrade HW'!$C$27="","",'07 Balustrade HW'!B27)</f>
        <v>Wire &amp; Rod Infill</v>
      </c>
      <c r="D330" s="56" t="str">
        <f aca="false">IF('07 Balustrade HW'!$C$27="","",'07 Balustrade HW'!C27)</f>
        <v>SS perforated / mesh infill panel</v>
      </c>
      <c r="E330" s="56" t="str">
        <f aca="false">IF('07 Balustrade HW'!$C$27="","",'07 Balustrade HW'!D27)</f>
        <v>1.5 mm</v>
      </c>
      <c r="F330" s="56" t="str">
        <f aca="false">IF('07 Balustrade HW'!$C$27="","",'07 Balustrade HW'!E27)</f>
        <v>SS 304</v>
      </c>
      <c r="G330" s="56" t="str">
        <f aca="false">IF('07 Balustrade HW'!$C$27="","",'07 Balustrade HW'!F27)</f>
        <v>Local</v>
      </c>
      <c r="H330" s="57" t="str">
        <f aca="false">IF('07 Balustrade HW'!$C$27="","",'07 Balustrade HW'!G27)</f>
        <v>m2</v>
      </c>
      <c r="I330" s="58" t="n">
        <f aca="false">IF('07 Balustrade HW'!$C$27="","",'07 Balustrade HW'!J27)</f>
        <v>380</v>
      </c>
      <c r="J330" s="58" t="n">
        <f aca="false">IF('07 Balustrade HW'!$C$27="","",'07 Balustrade HW'!K27)</f>
        <v>456</v>
      </c>
      <c r="K330" s="58" t="n">
        <f aca="false">IF('07 Balustrade HW'!$C$27="","",'07 Balustrade HW'!L27)</f>
        <v>478.8</v>
      </c>
      <c r="L330" s="57" t="str">
        <f aca="false">IF('07 Balustrade HW'!$C$27="","",'07 Balustrade HW'!M27)</f>
        <v>Indicative</v>
      </c>
      <c r="M330" s="59" t="str">
        <f aca="false">IF(D330="","",IF(AND(OR(Search!$C$6="All Categories",A330=Search!$C$6),OR(Search!$P$5="",ISNUMBER(SEARCH(" "&amp;Search!$P$5,N330))),OR(Search!$P$6="",ISNUMBER(SEARCH(" "&amp;Search!$P$6,N330))),OR(Search!$P$7="",ISNUMBER(SEARCH(" "&amp;Search!$P$7,N330))),OR(Search!$P$8="",ISNUMBER(SEARCH(" "&amp;Search!$P$8,N330))),OR(Search!$P$9="",ISNUMBER(SEARCH(" "&amp;Search!$P$9,N330))),OR(Search!$P$10="",ISNUMBER(SEARCH(" "&amp;Search!$P$10,N330)))),ROW(),""))</f>
        <v/>
      </c>
      <c r="N330" s="0" t="str">
        <f aca="false">IF(D330="",""," "&amp;SUBSTITUTE(SUBSTITUTE(SUBSTITUTE(SUBSTITUTE(SUBSTITUTE(SUBSTITUTE(SUBSTITUTE(B330&amp;" "&amp;C330&amp;" "&amp;D330&amp;" "&amp;E330&amp;" "&amp;F330&amp;" "&amp;G330&amp;" "&amp;H330&amp;" "&amp;'07 Balustrade HW'!R27,"("," "),")"," "),"/"," "),"-"," "),","," "),";"," "),":"," ")&amp;" ")</f>
        <v> BH 023 Wire &amp; Rod Infill SS perforated   mesh infill panel 1.5 mm SS 304 Local m2 1.5mm ss304 sus304 stainless steel </v>
      </c>
    </row>
    <row r="331" customFormat="false" ht="15" hidden="false" customHeight="false" outlineLevel="0" collapsed="false">
      <c r="A331" s="56" t="str">
        <f aca="false">IF('07 Balustrade HW'!$C$28="","","Balustrade &amp; Handrail Components")</f>
        <v/>
      </c>
      <c r="B331" s="57" t="str">
        <f aca="false">IF('07 Balustrade HW'!$C$28="","",'07 Balustrade HW'!A28)</f>
        <v/>
      </c>
      <c r="C331" s="56" t="str">
        <f aca="false">IF('07 Balustrade HW'!$C$28="","",'07 Balustrade HW'!B28)</f>
        <v/>
      </c>
      <c r="D331" s="56" t="str">
        <f aca="false">IF('07 Balustrade HW'!$C$28="","",'07 Balustrade HW'!C28)</f>
        <v/>
      </c>
      <c r="E331" s="56" t="str">
        <f aca="false">IF('07 Balustrade HW'!$C$28="","",'07 Balustrade HW'!D28)</f>
        <v/>
      </c>
      <c r="F331" s="56" t="str">
        <f aca="false">IF('07 Balustrade HW'!$C$28="","",'07 Balustrade HW'!E28)</f>
        <v/>
      </c>
      <c r="G331" s="56" t="str">
        <f aca="false">IF('07 Balustrade HW'!$C$28="","",'07 Balustrade HW'!F28)</f>
        <v/>
      </c>
      <c r="H331" s="57" t="str">
        <f aca="false">IF('07 Balustrade HW'!$C$28="","",'07 Balustrade HW'!G28)</f>
        <v/>
      </c>
      <c r="I331" s="58" t="str">
        <f aca="false">IF('07 Balustrade HW'!$C$28="","",'07 Balustrade HW'!J28)</f>
        <v/>
      </c>
      <c r="J331" s="58" t="str">
        <f aca="false">IF('07 Balustrade HW'!$C$28="","",'07 Balustrade HW'!K28)</f>
        <v/>
      </c>
      <c r="K331" s="58" t="str">
        <f aca="false">IF('07 Balustrade HW'!$C$28="","",'07 Balustrade HW'!L28)</f>
        <v/>
      </c>
      <c r="L331" s="57" t="str">
        <f aca="false">IF('07 Balustrade HW'!$C$28="","",'07 Balustrade HW'!M28)</f>
        <v/>
      </c>
      <c r="M331" s="59" t="str">
        <f aca="false">IF(D331="","",IF(AND(OR(Search!$C$6="All Categories",A331=Search!$C$6),OR(Search!$P$5="",ISNUMBER(SEARCH(" "&amp;Search!$P$5,N331))),OR(Search!$P$6="",ISNUMBER(SEARCH(" "&amp;Search!$P$6,N331))),OR(Search!$P$7="",ISNUMBER(SEARCH(" "&amp;Search!$P$7,N331))),OR(Search!$P$8="",ISNUMBER(SEARCH(" "&amp;Search!$P$8,N331))),OR(Search!$P$9="",ISNUMBER(SEARCH(" "&amp;Search!$P$9,N331))),OR(Search!$P$10="",ISNUMBER(SEARCH(" "&amp;Search!$P$10,N331)))),ROW(),""))</f>
        <v/>
      </c>
      <c r="N331" s="0" t="str">
        <f aca="false">IF(D331="",""," "&amp;SUBSTITUTE(SUBSTITUTE(SUBSTITUTE(SUBSTITUTE(SUBSTITUTE(SUBSTITUTE(SUBSTITUTE(B331&amp;" "&amp;C331&amp;" "&amp;D331&amp;" "&amp;E331&amp;" "&amp;F331&amp;" "&amp;G331&amp;" "&amp;H331&amp;" "&amp;'07 Balustrade HW'!R28,"("," "),")"," "),"/"," "),"-"," "),","," "),";"," "),":"," ")&amp;" ")</f>
        <v/>
      </c>
    </row>
    <row r="332" customFormat="false" ht="15" hidden="false" customHeight="false" outlineLevel="0" collapsed="false">
      <c r="A332" s="56" t="str">
        <f aca="false">IF('07 Balustrade HW'!$C$29="","","Balustrade &amp; Handrail Components")</f>
        <v/>
      </c>
      <c r="B332" s="57" t="str">
        <f aca="false">IF('07 Balustrade HW'!$C$29="","",'07 Balustrade HW'!A29)</f>
        <v/>
      </c>
      <c r="C332" s="56" t="str">
        <f aca="false">IF('07 Balustrade HW'!$C$29="","",'07 Balustrade HW'!B29)</f>
        <v/>
      </c>
      <c r="D332" s="56" t="str">
        <f aca="false">IF('07 Balustrade HW'!$C$29="","",'07 Balustrade HW'!C29)</f>
        <v/>
      </c>
      <c r="E332" s="56" t="str">
        <f aca="false">IF('07 Balustrade HW'!$C$29="","",'07 Balustrade HW'!D29)</f>
        <v/>
      </c>
      <c r="F332" s="56" t="str">
        <f aca="false">IF('07 Balustrade HW'!$C$29="","",'07 Balustrade HW'!E29)</f>
        <v/>
      </c>
      <c r="G332" s="56" t="str">
        <f aca="false">IF('07 Balustrade HW'!$C$29="","",'07 Balustrade HW'!F29)</f>
        <v/>
      </c>
      <c r="H332" s="57" t="str">
        <f aca="false">IF('07 Balustrade HW'!$C$29="","",'07 Balustrade HW'!G29)</f>
        <v/>
      </c>
      <c r="I332" s="58" t="str">
        <f aca="false">IF('07 Balustrade HW'!$C$29="","",'07 Balustrade HW'!J29)</f>
        <v/>
      </c>
      <c r="J332" s="58" t="str">
        <f aca="false">IF('07 Balustrade HW'!$C$29="","",'07 Balustrade HW'!K29)</f>
        <v/>
      </c>
      <c r="K332" s="58" t="str">
        <f aca="false">IF('07 Balustrade HW'!$C$29="","",'07 Balustrade HW'!L29)</f>
        <v/>
      </c>
      <c r="L332" s="57" t="str">
        <f aca="false">IF('07 Balustrade HW'!$C$29="","",'07 Balustrade HW'!M29)</f>
        <v/>
      </c>
      <c r="M332" s="59" t="str">
        <f aca="false">IF(D332="","",IF(AND(OR(Search!$C$6="All Categories",A332=Search!$C$6),OR(Search!$P$5="",ISNUMBER(SEARCH(" "&amp;Search!$P$5,N332))),OR(Search!$P$6="",ISNUMBER(SEARCH(" "&amp;Search!$P$6,N332))),OR(Search!$P$7="",ISNUMBER(SEARCH(" "&amp;Search!$P$7,N332))),OR(Search!$P$8="",ISNUMBER(SEARCH(" "&amp;Search!$P$8,N332))),OR(Search!$P$9="",ISNUMBER(SEARCH(" "&amp;Search!$P$9,N332))),OR(Search!$P$10="",ISNUMBER(SEARCH(" "&amp;Search!$P$10,N332)))),ROW(),""))</f>
        <v/>
      </c>
      <c r="N332" s="0" t="str">
        <f aca="false">IF(D332="",""," "&amp;SUBSTITUTE(SUBSTITUTE(SUBSTITUTE(SUBSTITUTE(SUBSTITUTE(SUBSTITUTE(SUBSTITUTE(B332&amp;" "&amp;C332&amp;" "&amp;D332&amp;" "&amp;E332&amp;" "&amp;F332&amp;" "&amp;G332&amp;" "&amp;H332&amp;" "&amp;'07 Balustrade HW'!R29,"("," "),")"," "),"/"," "),"-"," "),","," "),";"," "),":"," ")&amp;" ")</f>
        <v/>
      </c>
    </row>
    <row r="333" customFormat="false" ht="15" hidden="false" customHeight="false" outlineLevel="0" collapsed="false">
      <c r="A333" s="56" t="str">
        <f aca="false">IF('07 Balustrade HW'!$C$30="","","Balustrade &amp; Handrail Components")</f>
        <v/>
      </c>
      <c r="B333" s="57" t="str">
        <f aca="false">IF('07 Balustrade HW'!$C$30="","",'07 Balustrade HW'!A30)</f>
        <v/>
      </c>
      <c r="C333" s="56" t="str">
        <f aca="false">IF('07 Balustrade HW'!$C$30="","",'07 Balustrade HW'!B30)</f>
        <v/>
      </c>
      <c r="D333" s="56" t="str">
        <f aca="false">IF('07 Balustrade HW'!$C$30="","",'07 Balustrade HW'!C30)</f>
        <v/>
      </c>
      <c r="E333" s="56" t="str">
        <f aca="false">IF('07 Balustrade HW'!$C$30="","",'07 Balustrade HW'!D30)</f>
        <v/>
      </c>
      <c r="F333" s="56" t="str">
        <f aca="false">IF('07 Balustrade HW'!$C$30="","",'07 Balustrade HW'!E30)</f>
        <v/>
      </c>
      <c r="G333" s="56" t="str">
        <f aca="false">IF('07 Balustrade HW'!$C$30="","",'07 Balustrade HW'!F30)</f>
        <v/>
      </c>
      <c r="H333" s="57" t="str">
        <f aca="false">IF('07 Balustrade HW'!$C$30="","",'07 Balustrade HW'!G30)</f>
        <v/>
      </c>
      <c r="I333" s="58" t="str">
        <f aca="false">IF('07 Balustrade HW'!$C$30="","",'07 Balustrade HW'!J30)</f>
        <v/>
      </c>
      <c r="J333" s="58" t="str">
        <f aca="false">IF('07 Balustrade HW'!$C$30="","",'07 Balustrade HW'!K30)</f>
        <v/>
      </c>
      <c r="K333" s="58" t="str">
        <f aca="false">IF('07 Balustrade HW'!$C$30="","",'07 Balustrade HW'!L30)</f>
        <v/>
      </c>
      <c r="L333" s="57" t="str">
        <f aca="false">IF('07 Balustrade HW'!$C$30="","",'07 Balustrade HW'!M30)</f>
        <v/>
      </c>
      <c r="M333" s="59" t="str">
        <f aca="false">IF(D333="","",IF(AND(OR(Search!$C$6="All Categories",A333=Search!$C$6),OR(Search!$P$5="",ISNUMBER(SEARCH(" "&amp;Search!$P$5,N333))),OR(Search!$P$6="",ISNUMBER(SEARCH(" "&amp;Search!$P$6,N333))),OR(Search!$P$7="",ISNUMBER(SEARCH(" "&amp;Search!$P$7,N333))),OR(Search!$P$8="",ISNUMBER(SEARCH(" "&amp;Search!$P$8,N333))),OR(Search!$P$9="",ISNUMBER(SEARCH(" "&amp;Search!$P$9,N333))),OR(Search!$P$10="",ISNUMBER(SEARCH(" "&amp;Search!$P$10,N333)))),ROW(),""))</f>
        <v/>
      </c>
      <c r="N333" s="0" t="str">
        <f aca="false">IF(D333="",""," "&amp;SUBSTITUTE(SUBSTITUTE(SUBSTITUTE(SUBSTITUTE(SUBSTITUTE(SUBSTITUTE(SUBSTITUTE(B333&amp;" "&amp;C333&amp;" "&amp;D333&amp;" "&amp;E333&amp;" "&amp;F333&amp;" "&amp;G333&amp;" "&amp;H333&amp;" "&amp;'07 Balustrade HW'!R30,"("," "),")"," "),"/"," "),"-"," "),","," "),";"," "),":"," ")&amp;" ")</f>
        <v/>
      </c>
    </row>
    <row r="334" customFormat="false" ht="15" hidden="false" customHeight="false" outlineLevel="0" collapsed="false">
      <c r="A334" s="56" t="str">
        <f aca="false">IF('07 Balustrade HW'!$C$31="","","Balustrade &amp; Handrail Components")</f>
        <v/>
      </c>
      <c r="B334" s="57" t="str">
        <f aca="false">IF('07 Balustrade HW'!$C$31="","",'07 Balustrade HW'!A31)</f>
        <v/>
      </c>
      <c r="C334" s="56" t="str">
        <f aca="false">IF('07 Balustrade HW'!$C$31="","",'07 Balustrade HW'!B31)</f>
        <v/>
      </c>
      <c r="D334" s="56" t="str">
        <f aca="false">IF('07 Balustrade HW'!$C$31="","",'07 Balustrade HW'!C31)</f>
        <v/>
      </c>
      <c r="E334" s="56" t="str">
        <f aca="false">IF('07 Balustrade HW'!$C$31="","",'07 Balustrade HW'!D31)</f>
        <v/>
      </c>
      <c r="F334" s="56" t="str">
        <f aca="false">IF('07 Balustrade HW'!$C$31="","",'07 Balustrade HW'!E31)</f>
        <v/>
      </c>
      <c r="G334" s="56" t="str">
        <f aca="false">IF('07 Balustrade HW'!$C$31="","",'07 Balustrade HW'!F31)</f>
        <v/>
      </c>
      <c r="H334" s="57" t="str">
        <f aca="false">IF('07 Balustrade HW'!$C$31="","",'07 Balustrade HW'!G31)</f>
        <v/>
      </c>
      <c r="I334" s="58" t="str">
        <f aca="false">IF('07 Balustrade HW'!$C$31="","",'07 Balustrade HW'!J31)</f>
        <v/>
      </c>
      <c r="J334" s="58" t="str">
        <f aca="false">IF('07 Balustrade HW'!$C$31="","",'07 Balustrade HW'!K31)</f>
        <v/>
      </c>
      <c r="K334" s="58" t="str">
        <f aca="false">IF('07 Balustrade HW'!$C$31="","",'07 Balustrade HW'!L31)</f>
        <v/>
      </c>
      <c r="L334" s="57" t="str">
        <f aca="false">IF('07 Balustrade HW'!$C$31="","",'07 Balustrade HW'!M31)</f>
        <v/>
      </c>
      <c r="M334" s="59" t="str">
        <f aca="false">IF(D334="","",IF(AND(OR(Search!$C$6="All Categories",A334=Search!$C$6),OR(Search!$P$5="",ISNUMBER(SEARCH(" "&amp;Search!$P$5,N334))),OR(Search!$P$6="",ISNUMBER(SEARCH(" "&amp;Search!$P$6,N334))),OR(Search!$P$7="",ISNUMBER(SEARCH(" "&amp;Search!$P$7,N334))),OR(Search!$P$8="",ISNUMBER(SEARCH(" "&amp;Search!$P$8,N334))),OR(Search!$P$9="",ISNUMBER(SEARCH(" "&amp;Search!$P$9,N334))),OR(Search!$P$10="",ISNUMBER(SEARCH(" "&amp;Search!$P$10,N334)))),ROW(),""))</f>
        <v/>
      </c>
      <c r="N334" s="0" t="str">
        <f aca="false">IF(D334="",""," "&amp;SUBSTITUTE(SUBSTITUTE(SUBSTITUTE(SUBSTITUTE(SUBSTITUTE(SUBSTITUTE(SUBSTITUTE(B334&amp;" "&amp;C334&amp;" "&amp;D334&amp;" "&amp;E334&amp;" "&amp;F334&amp;" "&amp;G334&amp;" "&amp;H334&amp;" "&amp;'07 Balustrade HW'!R31,"("," "),")"," "),"/"," "),"-"," "),","," "),";"," "),":"," ")&amp;" ")</f>
        <v/>
      </c>
    </row>
    <row r="335" customFormat="false" ht="15" hidden="false" customHeight="false" outlineLevel="0" collapsed="false">
      <c r="A335" s="56" t="str">
        <f aca="false">IF('07 Balustrade HW'!$C$32="","","Balustrade &amp; Handrail Components")</f>
        <v/>
      </c>
      <c r="B335" s="57" t="str">
        <f aca="false">IF('07 Balustrade HW'!$C$32="","",'07 Balustrade HW'!A32)</f>
        <v/>
      </c>
      <c r="C335" s="56" t="str">
        <f aca="false">IF('07 Balustrade HW'!$C$32="","",'07 Balustrade HW'!B32)</f>
        <v/>
      </c>
      <c r="D335" s="56" t="str">
        <f aca="false">IF('07 Balustrade HW'!$C$32="","",'07 Balustrade HW'!C32)</f>
        <v/>
      </c>
      <c r="E335" s="56" t="str">
        <f aca="false">IF('07 Balustrade HW'!$C$32="","",'07 Balustrade HW'!D32)</f>
        <v/>
      </c>
      <c r="F335" s="56" t="str">
        <f aca="false">IF('07 Balustrade HW'!$C$32="","",'07 Balustrade HW'!E32)</f>
        <v/>
      </c>
      <c r="G335" s="56" t="str">
        <f aca="false">IF('07 Balustrade HW'!$C$32="","",'07 Balustrade HW'!F32)</f>
        <v/>
      </c>
      <c r="H335" s="57" t="str">
        <f aca="false">IF('07 Balustrade HW'!$C$32="","",'07 Balustrade HW'!G32)</f>
        <v/>
      </c>
      <c r="I335" s="58" t="str">
        <f aca="false">IF('07 Balustrade HW'!$C$32="","",'07 Balustrade HW'!J32)</f>
        <v/>
      </c>
      <c r="J335" s="58" t="str">
        <f aca="false">IF('07 Balustrade HW'!$C$32="","",'07 Balustrade HW'!K32)</f>
        <v/>
      </c>
      <c r="K335" s="58" t="str">
        <f aca="false">IF('07 Balustrade HW'!$C$32="","",'07 Balustrade HW'!L32)</f>
        <v/>
      </c>
      <c r="L335" s="57" t="str">
        <f aca="false">IF('07 Balustrade HW'!$C$32="","",'07 Balustrade HW'!M32)</f>
        <v/>
      </c>
      <c r="M335" s="59" t="str">
        <f aca="false">IF(D335="","",IF(AND(OR(Search!$C$6="All Categories",A335=Search!$C$6),OR(Search!$P$5="",ISNUMBER(SEARCH(" "&amp;Search!$P$5,N335))),OR(Search!$P$6="",ISNUMBER(SEARCH(" "&amp;Search!$P$6,N335))),OR(Search!$P$7="",ISNUMBER(SEARCH(" "&amp;Search!$P$7,N335))),OR(Search!$P$8="",ISNUMBER(SEARCH(" "&amp;Search!$P$8,N335))),OR(Search!$P$9="",ISNUMBER(SEARCH(" "&amp;Search!$P$9,N335))),OR(Search!$P$10="",ISNUMBER(SEARCH(" "&amp;Search!$P$10,N335)))),ROW(),""))</f>
        <v/>
      </c>
      <c r="N335" s="0" t="str">
        <f aca="false">IF(D335="",""," "&amp;SUBSTITUTE(SUBSTITUTE(SUBSTITUTE(SUBSTITUTE(SUBSTITUTE(SUBSTITUTE(SUBSTITUTE(B335&amp;" "&amp;C335&amp;" "&amp;D335&amp;" "&amp;E335&amp;" "&amp;F335&amp;" "&amp;G335&amp;" "&amp;H335&amp;" "&amp;'07 Balustrade HW'!R32,"("," "),")"," "),"/"," "),"-"," "),","," "),";"," "),":"," ")&amp;" ")</f>
        <v/>
      </c>
    </row>
    <row r="336" customFormat="false" ht="15" hidden="false" customHeight="false" outlineLevel="0" collapsed="false">
      <c r="A336" s="56" t="str">
        <f aca="false">IF('07 Balustrade HW'!$C$33="","","Balustrade &amp; Handrail Components")</f>
        <v/>
      </c>
      <c r="B336" s="57" t="str">
        <f aca="false">IF('07 Balustrade HW'!$C$33="","",'07 Balustrade HW'!A33)</f>
        <v/>
      </c>
      <c r="C336" s="56" t="str">
        <f aca="false">IF('07 Balustrade HW'!$C$33="","",'07 Balustrade HW'!B33)</f>
        <v/>
      </c>
      <c r="D336" s="56" t="str">
        <f aca="false">IF('07 Balustrade HW'!$C$33="","",'07 Balustrade HW'!C33)</f>
        <v/>
      </c>
      <c r="E336" s="56" t="str">
        <f aca="false">IF('07 Balustrade HW'!$C$33="","",'07 Balustrade HW'!D33)</f>
        <v/>
      </c>
      <c r="F336" s="56" t="str">
        <f aca="false">IF('07 Balustrade HW'!$C$33="","",'07 Balustrade HW'!E33)</f>
        <v/>
      </c>
      <c r="G336" s="56" t="str">
        <f aca="false">IF('07 Balustrade HW'!$C$33="","",'07 Balustrade HW'!F33)</f>
        <v/>
      </c>
      <c r="H336" s="57" t="str">
        <f aca="false">IF('07 Balustrade HW'!$C$33="","",'07 Balustrade HW'!G33)</f>
        <v/>
      </c>
      <c r="I336" s="58" t="str">
        <f aca="false">IF('07 Balustrade HW'!$C$33="","",'07 Balustrade HW'!J33)</f>
        <v/>
      </c>
      <c r="J336" s="58" t="str">
        <f aca="false">IF('07 Balustrade HW'!$C$33="","",'07 Balustrade HW'!K33)</f>
        <v/>
      </c>
      <c r="K336" s="58" t="str">
        <f aca="false">IF('07 Balustrade HW'!$C$33="","",'07 Balustrade HW'!L33)</f>
        <v/>
      </c>
      <c r="L336" s="57" t="str">
        <f aca="false">IF('07 Balustrade HW'!$C$33="","",'07 Balustrade HW'!M33)</f>
        <v/>
      </c>
      <c r="M336" s="59" t="str">
        <f aca="false">IF(D336="","",IF(AND(OR(Search!$C$6="All Categories",A336=Search!$C$6),OR(Search!$P$5="",ISNUMBER(SEARCH(" "&amp;Search!$P$5,N336))),OR(Search!$P$6="",ISNUMBER(SEARCH(" "&amp;Search!$P$6,N336))),OR(Search!$P$7="",ISNUMBER(SEARCH(" "&amp;Search!$P$7,N336))),OR(Search!$P$8="",ISNUMBER(SEARCH(" "&amp;Search!$P$8,N336))),OR(Search!$P$9="",ISNUMBER(SEARCH(" "&amp;Search!$P$9,N336))),OR(Search!$P$10="",ISNUMBER(SEARCH(" "&amp;Search!$P$10,N336)))),ROW(),""))</f>
        <v/>
      </c>
      <c r="N336" s="0" t="str">
        <f aca="false">IF(D336="",""," "&amp;SUBSTITUTE(SUBSTITUTE(SUBSTITUTE(SUBSTITUTE(SUBSTITUTE(SUBSTITUTE(SUBSTITUTE(B336&amp;" "&amp;C336&amp;" "&amp;D336&amp;" "&amp;E336&amp;" "&amp;F336&amp;" "&amp;G336&amp;" "&amp;H336&amp;" "&amp;'07 Balustrade HW'!R33,"("," "),")"," "),"/"," "),"-"," "),","," "),";"," "),":"," ")&amp;" ")</f>
        <v/>
      </c>
    </row>
    <row r="337" customFormat="false" ht="15" hidden="false" customHeight="false" outlineLevel="0" collapsed="false">
      <c r="A337" s="56" t="str">
        <f aca="false">IF('07 Balustrade HW'!$C$34="","","Balustrade &amp; Handrail Components")</f>
        <v/>
      </c>
      <c r="B337" s="57" t="str">
        <f aca="false">IF('07 Balustrade HW'!$C$34="","",'07 Balustrade HW'!A34)</f>
        <v/>
      </c>
      <c r="C337" s="56" t="str">
        <f aca="false">IF('07 Balustrade HW'!$C$34="","",'07 Balustrade HW'!B34)</f>
        <v/>
      </c>
      <c r="D337" s="56" t="str">
        <f aca="false">IF('07 Balustrade HW'!$C$34="","",'07 Balustrade HW'!C34)</f>
        <v/>
      </c>
      <c r="E337" s="56" t="str">
        <f aca="false">IF('07 Balustrade HW'!$C$34="","",'07 Balustrade HW'!D34)</f>
        <v/>
      </c>
      <c r="F337" s="56" t="str">
        <f aca="false">IF('07 Balustrade HW'!$C$34="","",'07 Balustrade HW'!E34)</f>
        <v/>
      </c>
      <c r="G337" s="56" t="str">
        <f aca="false">IF('07 Balustrade HW'!$C$34="","",'07 Balustrade HW'!F34)</f>
        <v/>
      </c>
      <c r="H337" s="57" t="str">
        <f aca="false">IF('07 Balustrade HW'!$C$34="","",'07 Balustrade HW'!G34)</f>
        <v/>
      </c>
      <c r="I337" s="58" t="str">
        <f aca="false">IF('07 Balustrade HW'!$C$34="","",'07 Balustrade HW'!J34)</f>
        <v/>
      </c>
      <c r="J337" s="58" t="str">
        <f aca="false">IF('07 Balustrade HW'!$C$34="","",'07 Balustrade HW'!K34)</f>
        <v/>
      </c>
      <c r="K337" s="58" t="str">
        <f aca="false">IF('07 Balustrade HW'!$C$34="","",'07 Balustrade HW'!L34)</f>
        <v/>
      </c>
      <c r="L337" s="57" t="str">
        <f aca="false">IF('07 Balustrade HW'!$C$34="","",'07 Balustrade HW'!M34)</f>
        <v/>
      </c>
      <c r="M337" s="59" t="str">
        <f aca="false">IF(D337="","",IF(AND(OR(Search!$C$6="All Categories",A337=Search!$C$6),OR(Search!$P$5="",ISNUMBER(SEARCH(" "&amp;Search!$P$5,N337))),OR(Search!$P$6="",ISNUMBER(SEARCH(" "&amp;Search!$P$6,N337))),OR(Search!$P$7="",ISNUMBER(SEARCH(" "&amp;Search!$P$7,N337))),OR(Search!$P$8="",ISNUMBER(SEARCH(" "&amp;Search!$P$8,N337))),OR(Search!$P$9="",ISNUMBER(SEARCH(" "&amp;Search!$P$9,N337))),OR(Search!$P$10="",ISNUMBER(SEARCH(" "&amp;Search!$P$10,N337)))),ROW(),""))</f>
        <v/>
      </c>
      <c r="N337" s="0" t="str">
        <f aca="false">IF(D337="",""," "&amp;SUBSTITUTE(SUBSTITUTE(SUBSTITUTE(SUBSTITUTE(SUBSTITUTE(SUBSTITUTE(SUBSTITUTE(B337&amp;" "&amp;C337&amp;" "&amp;D337&amp;" "&amp;E337&amp;" "&amp;F337&amp;" "&amp;G337&amp;" "&amp;H337&amp;" "&amp;'07 Balustrade HW'!R34,"("," "),")"," "),"/"," "),"-"," "),","," "),";"," "),":"," ")&amp;" ")</f>
        <v/>
      </c>
    </row>
    <row r="338" customFormat="false" ht="15" hidden="false" customHeight="false" outlineLevel="0" collapsed="false">
      <c r="A338" s="56" t="str">
        <f aca="false">IF('07 Balustrade HW'!$C$35="","","Balustrade &amp; Handrail Components")</f>
        <v/>
      </c>
      <c r="B338" s="57" t="str">
        <f aca="false">IF('07 Balustrade HW'!$C$35="","",'07 Balustrade HW'!A35)</f>
        <v/>
      </c>
      <c r="C338" s="56" t="str">
        <f aca="false">IF('07 Balustrade HW'!$C$35="","",'07 Balustrade HW'!B35)</f>
        <v/>
      </c>
      <c r="D338" s="56" t="str">
        <f aca="false">IF('07 Balustrade HW'!$C$35="","",'07 Balustrade HW'!C35)</f>
        <v/>
      </c>
      <c r="E338" s="56" t="str">
        <f aca="false">IF('07 Balustrade HW'!$C$35="","",'07 Balustrade HW'!D35)</f>
        <v/>
      </c>
      <c r="F338" s="56" t="str">
        <f aca="false">IF('07 Balustrade HW'!$C$35="","",'07 Balustrade HW'!E35)</f>
        <v/>
      </c>
      <c r="G338" s="56" t="str">
        <f aca="false">IF('07 Balustrade HW'!$C$35="","",'07 Balustrade HW'!F35)</f>
        <v/>
      </c>
      <c r="H338" s="57" t="str">
        <f aca="false">IF('07 Balustrade HW'!$C$35="","",'07 Balustrade HW'!G35)</f>
        <v/>
      </c>
      <c r="I338" s="58" t="str">
        <f aca="false">IF('07 Balustrade HW'!$C$35="","",'07 Balustrade HW'!J35)</f>
        <v/>
      </c>
      <c r="J338" s="58" t="str">
        <f aca="false">IF('07 Balustrade HW'!$C$35="","",'07 Balustrade HW'!K35)</f>
        <v/>
      </c>
      <c r="K338" s="58" t="str">
        <f aca="false">IF('07 Balustrade HW'!$C$35="","",'07 Balustrade HW'!L35)</f>
        <v/>
      </c>
      <c r="L338" s="57" t="str">
        <f aca="false">IF('07 Balustrade HW'!$C$35="","",'07 Balustrade HW'!M35)</f>
        <v/>
      </c>
      <c r="M338" s="59" t="str">
        <f aca="false">IF(D338="","",IF(AND(OR(Search!$C$6="All Categories",A338=Search!$C$6),OR(Search!$P$5="",ISNUMBER(SEARCH(" "&amp;Search!$P$5,N338))),OR(Search!$P$6="",ISNUMBER(SEARCH(" "&amp;Search!$P$6,N338))),OR(Search!$P$7="",ISNUMBER(SEARCH(" "&amp;Search!$P$7,N338))),OR(Search!$P$8="",ISNUMBER(SEARCH(" "&amp;Search!$P$8,N338))),OR(Search!$P$9="",ISNUMBER(SEARCH(" "&amp;Search!$P$9,N338))),OR(Search!$P$10="",ISNUMBER(SEARCH(" "&amp;Search!$P$10,N338)))),ROW(),""))</f>
        <v/>
      </c>
      <c r="N338" s="0" t="str">
        <f aca="false">IF(D338="",""," "&amp;SUBSTITUTE(SUBSTITUTE(SUBSTITUTE(SUBSTITUTE(SUBSTITUTE(SUBSTITUTE(SUBSTITUTE(B338&amp;" "&amp;C338&amp;" "&amp;D338&amp;" "&amp;E338&amp;" "&amp;F338&amp;" "&amp;G338&amp;" "&amp;H338&amp;" "&amp;'07 Balustrade HW'!R35,"("," "),")"," "),"/"," "),"-"," "),","," "),";"," "),":"," ")&amp;" ")</f>
        <v/>
      </c>
    </row>
    <row r="339" customFormat="false" ht="15" hidden="false" customHeight="false" outlineLevel="0" collapsed="false">
      <c r="A339" s="56" t="str">
        <f aca="false">IF('07 Balustrade HW'!$C$36="","","Balustrade &amp; Handrail Components")</f>
        <v/>
      </c>
      <c r="B339" s="57" t="str">
        <f aca="false">IF('07 Balustrade HW'!$C$36="","",'07 Balustrade HW'!A36)</f>
        <v/>
      </c>
      <c r="C339" s="56" t="str">
        <f aca="false">IF('07 Balustrade HW'!$C$36="","",'07 Balustrade HW'!B36)</f>
        <v/>
      </c>
      <c r="D339" s="56" t="str">
        <f aca="false">IF('07 Balustrade HW'!$C$36="","",'07 Balustrade HW'!C36)</f>
        <v/>
      </c>
      <c r="E339" s="56" t="str">
        <f aca="false">IF('07 Balustrade HW'!$C$36="","",'07 Balustrade HW'!D36)</f>
        <v/>
      </c>
      <c r="F339" s="56" t="str">
        <f aca="false">IF('07 Balustrade HW'!$C$36="","",'07 Balustrade HW'!E36)</f>
        <v/>
      </c>
      <c r="G339" s="56" t="str">
        <f aca="false">IF('07 Balustrade HW'!$C$36="","",'07 Balustrade HW'!F36)</f>
        <v/>
      </c>
      <c r="H339" s="57" t="str">
        <f aca="false">IF('07 Balustrade HW'!$C$36="","",'07 Balustrade HW'!G36)</f>
        <v/>
      </c>
      <c r="I339" s="58" t="str">
        <f aca="false">IF('07 Balustrade HW'!$C$36="","",'07 Balustrade HW'!J36)</f>
        <v/>
      </c>
      <c r="J339" s="58" t="str">
        <f aca="false">IF('07 Balustrade HW'!$C$36="","",'07 Balustrade HW'!K36)</f>
        <v/>
      </c>
      <c r="K339" s="58" t="str">
        <f aca="false">IF('07 Balustrade HW'!$C$36="","",'07 Balustrade HW'!L36)</f>
        <v/>
      </c>
      <c r="L339" s="57" t="str">
        <f aca="false">IF('07 Balustrade HW'!$C$36="","",'07 Balustrade HW'!M36)</f>
        <v/>
      </c>
      <c r="M339" s="59" t="str">
        <f aca="false">IF(D339="","",IF(AND(OR(Search!$C$6="All Categories",A339=Search!$C$6),OR(Search!$P$5="",ISNUMBER(SEARCH(" "&amp;Search!$P$5,N339))),OR(Search!$P$6="",ISNUMBER(SEARCH(" "&amp;Search!$P$6,N339))),OR(Search!$P$7="",ISNUMBER(SEARCH(" "&amp;Search!$P$7,N339))),OR(Search!$P$8="",ISNUMBER(SEARCH(" "&amp;Search!$P$8,N339))),OR(Search!$P$9="",ISNUMBER(SEARCH(" "&amp;Search!$P$9,N339))),OR(Search!$P$10="",ISNUMBER(SEARCH(" "&amp;Search!$P$10,N339)))),ROW(),""))</f>
        <v/>
      </c>
      <c r="N339" s="0" t="str">
        <f aca="false">IF(D339="",""," "&amp;SUBSTITUTE(SUBSTITUTE(SUBSTITUTE(SUBSTITUTE(SUBSTITUTE(SUBSTITUTE(SUBSTITUTE(B339&amp;" "&amp;C339&amp;" "&amp;D339&amp;" "&amp;E339&amp;" "&amp;F339&amp;" "&amp;G339&amp;" "&amp;H339&amp;" "&amp;'07 Balustrade HW'!R36,"("," "),")"," "),"/"," "),"-"," "),","," "),";"," "),":"," ")&amp;" ")</f>
        <v/>
      </c>
    </row>
    <row r="340" customFormat="false" ht="15" hidden="false" customHeight="false" outlineLevel="0" collapsed="false">
      <c r="A340" s="56" t="str">
        <f aca="false">IF('07 Balustrade HW'!$C$37="","","Balustrade &amp; Handrail Components")</f>
        <v/>
      </c>
      <c r="B340" s="57" t="str">
        <f aca="false">IF('07 Balustrade HW'!$C$37="","",'07 Balustrade HW'!A37)</f>
        <v/>
      </c>
      <c r="C340" s="56" t="str">
        <f aca="false">IF('07 Balustrade HW'!$C$37="","",'07 Balustrade HW'!B37)</f>
        <v/>
      </c>
      <c r="D340" s="56" t="str">
        <f aca="false">IF('07 Balustrade HW'!$C$37="","",'07 Balustrade HW'!C37)</f>
        <v/>
      </c>
      <c r="E340" s="56" t="str">
        <f aca="false">IF('07 Balustrade HW'!$C$37="","",'07 Balustrade HW'!D37)</f>
        <v/>
      </c>
      <c r="F340" s="56" t="str">
        <f aca="false">IF('07 Balustrade HW'!$C$37="","",'07 Balustrade HW'!E37)</f>
        <v/>
      </c>
      <c r="G340" s="56" t="str">
        <f aca="false">IF('07 Balustrade HW'!$C$37="","",'07 Balustrade HW'!F37)</f>
        <v/>
      </c>
      <c r="H340" s="57" t="str">
        <f aca="false">IF('07 Balustrade HW'!$C$37="","",'07 Balustrade HW'!G37)</f>
        <v/>
      </c>
      <c r="I340" s="58" t="str">
        <f aca="false">IF('07 Balustrade HW'!$C$37="","",'07 Balustrade HW'!J37)</f>
        <v/>
      </c>
      <c r="J340" s="58" t="str">
        <f aca="false">IF('07 Balustrade HW'!$C$37="","",'07 Balustrade HW'!K37)</f>
        <v/>
      </c>
      <c r="K340" s="58" t="str">
        <f aca="false">IF('07 Balustrade HW'!$C$37="","",'07 Balustrade HW'!L37)</f>
        <v/>
      </c>
      <c r="L340" s="57" t="str">
        <f aca="false">IF('07 Balustrade HW'!$C$37="","",'07 Balustrade HW'!M37)</f>
        <v/>
      </c>
      <c r="M340" s="59" t="str">
        <f aca="false">IF(D340="","",IF(AND(OR(Search!$C$6="All Categories",A340=Search!$C$6),OR(Search!$P$5="",ISNUMBER(SEARCH(" "&amp;Search!$P$5,N340))),OR(Search!$P$6="",ISNUMBER(SEARCH(" "&amp;Search!$P$6,N340))),OR(Search!$P$7="",ISNUMBER(SEARCH(" "&amp;Search!$P$7,N340))),OR(Search!$P$8="",ISNUMBER(SEARCH(" "&amp;Search!$P$8,N340))),OR(Search!$P$9="",ISNUMBER(SEARCH(" "&amp;Search!$P$9,N340))),OR(Search!$P$10="",ISNUMBER(SEARCH(" "&amp;Search!$P$10,N340)))),ROW(),""))</f>
        <v/>
      </c>
      <c r="N340" s="0" t="str">
        <f aca="false">IF(D340="",""," "&amp;SUBSTITUTE(SUBSTITUTE(SUBSTITUTE(SUBSTITUTE(SUBSTITUTE(SUBSTITUTE(SUBSTITUTE(B340&amp;" "&amp;C340&amp;" "&amp;D340&amp;" "&amp;E340&amp;" "&amp;F340&amp;" "&amp;G340&amp;" "&amp;H340&amp;" "&amp;'07 Balustrade HW'!R37,"("," "),")"," "),"/"," "),"-"," "),","," "),";"," "),":"," ")&amp;" ")</f>
        <v/>
      </c>
    </row>
    <row r="341" customFormat="false" ht="15" hidden="false" customHeight="false" outlineLevel="0" collapsed="false">
      <c r="A341" s="56" t="str">
        <f aca="false">IF('07 Balustrade HW'!$C$38="","","Balustrade &amp; Handrail Components")</f>
        <v/>
      </c>
      <c r="B341" s="57" t="str">
        <f aca="false">IF('07 Balustrade HW'!$C$38="","",'07 Balustrade HW'!A38)</f>
        <v/>
      </c>
      <c r="C341" s="56" t="str">
        <f aca="false">IF('07 Balustrade HW'!$C$38="","",'07 Balustrade HW'!B38)</f>
        <v/>
      </c>
      <c r="D341" s="56" t="str">
        <f aca="false">IF('07 Balustrade HW'!$C$38="","",'07 Balustrade HW'!C38)</f>
        <v/>
      </c>
      <c r="E341" s="56" t="str">
        <f aca="false">IF('07 Balustrade HW'!$C$38="","",'07 Balustrade HW'!D38)</f>
        <v/>
      </c>
      <c r="F341" s="56" t="str">
        <f aca="false">IF('07 Balustrade HW'!$C$38="","",'07 Balustrade HW'!E38)</f>
        <v/>
      </c>
      <c r="G341" s="56" t="str">
        <f aca="false">IF('07 Balustrade HW'!$C$38="","",'07 Balustrade HW'!F38)</f>
        <v/>
      </c>
      <c r="H341" s="57" t="str">
        <f aca="false">IF('07 Balustrade HW'!$C$38="","",'07 Balustrade HW'!G38)</f>
        <v/>
      </c>
      <c r="I341" s="58" t="str">
        <f aca="false">IF('07 Balustrade HW'!$C$38="","",'07 Balustrade HW'!J38)</f>
        <v/>
      </c>
      <c r="J341" s="58" t="str">
        <f aca="false">IF('07 Balustrade HW'!$C$38="","",'07 Balustrade HW'!K38)</f>
        <v/>
      </c>
      <c r="K341" s="58" t="str">
        <f aca="false">IF('07 Balustrade HW'!$C$38="","",'07 Balustrade HW'!L38)</f>
        <v/>
      </c>
      <c r="L341" s="57" t="str">
        <f aca="false">IF('07 Balustrade HW'!$C$38="","",'07 Balustrade HW'!M38)</f>
        <v/>
      </c>
      <c r="M341" s="59" t="str">
        <f aca="false">IF(D341="","",IF(AND(OR(Search!$C$6="All Categories",A341=Search!$C$6),OR(Search!$P$5="",ISNUMBER(SEARCH(" "&amp;Search!$P$5,N341))),OR(Search!$P$6="",ISNUMBER(SEARCH(" "&amp;Search!$P$6,N341))),OR(Search!$P$7="",ISNUMBER(SEARCH(" "&amp;Search!$P$7,N341))),OR(Search!$P$8="",ISNUMBER(SEARCH(" "&amp;Search!$P$8,N341))),OR(Search!$P$9="",ISNUMBER(SEARCH(" "&amp;Search!$P$9,N341))),OR(Search!$P$10="",ISNUMBER(SEARCH(" "&amp;Search!$P$10,N341)))),ROW(),""))</f>
        <v/>
      </c>
      <c r="N341" s="0" t="str">
        <f aca="false">IF(D341="",""," "&amp;SUBSTITUTE(SUBSTITUTE(SUBSTITUTE(SUBSTITUTE(SUBSTITUTE(SUBSTITUTE(SUBSTITUTE(B341&amp;" "&amp;C341&amp;" "&amp;D341&amp;" "&amp;E341&amp;" "&amp;F341&amp;" "&amp;G341&amp;" "&amp;H341&amp;" "&amp;'07 Balustrade HW'!R38,"("," "),")"," "),"/"," "),"-"," "),","," "),";"," "),":"," ")&amp;" ")</f>
        <v/>
      </c>
    </row>
    <row r="342" customFormat="false" ht="15" hidden="false" customHeight="false" outlineLevel="0" collapsed="false">
      <c r="A342" s="56" t="str">
        <f aca="false">IF('07 Balustrade HW'!$C$39="","","Balustrade &amp; Handrail Components")</f>
        <v/>
      </c>
      <c r="B342" s="57" t="str">
        <f aca="false">IF('07 Balustrade HW'!$C$39="","",'07 Balustrade HW'!A39)</f>
        <v/>
      </c>
      <c r="C342" s="56" t="str">
        <f aca="false">IF('07 Balustrade HW'!$C$39="","",'07 Balustrade HW'!B39)</f>
        <v/>
      </c>
      <c r="D342" s="56" t="str">
        <f aca="false">IF('07 Balustrade HW'!$C$39="","",'07 Balustrade HW'!C39)</f>
        <v/>
      </c>
      <c r="E342" s="56" t="str">
        <f aca="false">IF('07 Balustrade HW'!$C$39="","",'07 Balustrade HW'!D39)</f>
        <v/>
      </c>
      <c r="F342" s="56" t="str">
        <f aca="false">IF('07 Balustrade HW'!$C$39="","",'07 Balustrade HW'!E39)</f>
        <v/>
      </c>
      <c r="G342" s="56" t="str">
        <f aca="false">IF('07 Balustrade HW'!$C$39="","",'07 Balustrade HW'!F39)</f>
        <v/>
      </c>
      <c r="H342" s="57" t="str">
        <f aca="false">IF('07 Balustrade HW'!$C$39="","",'07 Balustrade HW'!G39)</f>
        <v/>
      </c>
      <c r="I342" s="58" t="str">
        <f aca="false">IF('07 Balustrade HW'!$C$39="","",'07 Balustrade HW'!J39)</f>
        <v/>
      </c>
      <c r="J342" s="58" t="str">
        <f aca="false">IF('07 Balustrade HW'!$C$39="","",'07 Balustrade HW'!K39)</f>
        <v/>
      </c>
      <c r="K342" s="58" t="str">
        <f aca="false">IF('07 Balustrade HW'!$C$39="","",'07 Balustrade HW'!L39)</f>
        <v/>
      </c>
      <c r="L342" s="57" t="str">
        <f aca="false">IF('07 Balustrade HW'!$C$39="","",'07 Balustrade HW'!M39)</f>
        <v/>
      </c>
      <c r="M342" s="59" t="str">
        <f aca="false">IF(D342="","",IF(AND(OR(Search!$C$6="All Categories",A342=Search!$C$6),OR(Search!$P$5="",ISNUMBER(SEARCH(" "&amp;Search!$P$5,N342))),OR(Search!$P$6="",ISNUMBER(SEARCH(" "&amp;Search!$P$6,N342))),OR(Search!$P$7="",ISNUMBER(SEARCH(" "&amp;Search!$P$7,N342))),OR(Search!$P$8="",ISNUMBER(SEARCH(" "&amp;Search!$P$8,N342))),OR(Search!$P$9="",ISNUMBER(SEARCH(" "&amp;Search!$P$9,N342))),OR(Search!$P$10="",ISNUMBER(SEARCH(" "&amp;Search!$P$10,N342)))),ROW(),""))</f>
        <v/>
      </c>
      <c r="N342" s="0" t="str">
        <f aca="false">IF(D342="",""," "&amp;SUBSTITUTE(SUBSTITUTE(SUBSTITUTE(SUBSTITUTE(SUBSTITUTE(SUBSTITUTE(SUBSTITUTE(B342&amp;" "&amp;C342&amp;" "&amp;D342&amp;" "&amp;E342&amp;" "&amp;F342&amp;" "&amp;G342&amp;" "&amp;H342&amp;" "&amp;'07 Balustrade HW'!R39,"("," "),")"," "),"/"," "),"-"," "),","," "),";"," "),":"," ")&amp;" ")</f>
        <v/>
      </c>
    </row>
    <row r="343" customFormat="false" ht="15" hidden="false" customHeight="false" outlineLevel="0" collapsed="false">
      <c r="A343" s="56" t="str">
        <f aca="false">IF('07 Balustrade HW'!$C$40="","","Balustrade &amp; Handrail Components")</f>
        <v/>
      </c>
      <c r="B343" s="57" t="str">
        <f aca="false">IF('07 Balustrade HW'!$C$40="","",'07 Balustrade HW'!A40)</f>
        <v/>
      </c>
      <c r="C343" s="56" t="str">
        <f aca="false">IF('07 Balustrade HW'!$C$40="","",'07 Balustrade HW'!B40)</f>
        <v/>
      </c>
      <c r="D343" s="56" t="str">
        <f aca="false">IF('07 Balustrade HW'!$C$40="","",'07 Balustrade HW'!C40)</f>
        <v/>
      </c>
      <c r="E343" s="56" t="str">
        <f aca="false">IF('07 Balustrade HW'!$C$40="","",'07 Balustrade HW'!D40)</f>
        <v/>
      </c>
      <c r="F343" s="56" t="str">
        <f aca="false">IF('07 Balustrade HW'!$C$40="","",'07 Balustrade HW'!E40)</f>
        <v/>
      </c>
      <c r="G343" s="56" t="str">
        <f aca="false">IF('07 Balustrade HW'!$C$40="","",'07 Balustrade HW'!F40)</f>
        <v/>
      </c>
      <c r="H343" s="57" t="str">
        <f aca="false">IF('07 Balustrade HW'!$C$40="","",'07 Balustrade HW'!G40)</f>
        <v/>
      </c>
      <c r="I343" s="58" t="str">
        <f aca="false">IF('07 Balustrade HW'!$C$40="","",'07 Balustrade HW'!J40)</f>
        <v/>
      </c>
      <c r="J343" s="58" t="str">
        <f aca="false">IF('07 Balustrade HW'!$C$40="","",'07 Balustrade HW'!K40)</f>
        <v/>
      </c>
      <c r="K343" s="58" t="str">
        <f aca="false">IF('07 Balustrade HW'!$C$40="","",'07 Balustrade HW'!L40)</f>
        <v/>
      </c>
      <c r="L343" s="57" t="str">
        <f aca="false">IF('07 Balustrade HW'!$C$40="","",'07 Balustrade HW'!M40)</f>
        <v/>
      </c>
      <c r="M343" s="59" t="str">
        <f aca="false">IF(D343="","",IF(AND(OR(Search!$C$6="All Categories",A343=Search!$C$6),OR(Search!$P$5="",ISNUMBER(SEARCH(" "&amp;Search!$P$5,N343))),OR(Search!$P$6="",ISNUMBER(SEARCH(" "&amp;Search!$P$6,N343))),OR(Search!$P$7="",ISNUMBER(SEARCH(" "&amp;Search!$P$7,N343))),OR(Search!$P$8="",ISNUMBER(SEARCH(" "&amp;Search!$P$8,N343))),OR(Search!$P$9="",ISNUMBER(SEARCH(" "&amp;Search!$P$9,N343))),OR(Search!$P$10="",ISNUMBER(SEARCH(" "&amp;Search!$P$10,N343)))),ROW(),""))</f>
        <v/>
      </c>
      <c r="N343" s="0" t="str">
        <f aca="false">IF(D343="",""," "&amp;SUBSTITUTE(SUBSTITUTE(SUBSTITUTE(SUBSTITUTE(SUBSTITUTE(SUBSTITUTE(SUBSTITUTE(B343&amp;" "&amp;C343&amp;" "&amp;D343&amp;" "&amp;E343&amp;" "&amp;F343&amp;" "&amp;G343&amp;" "&amp;H343&amp;" "&amp;'07 Balustrade HW'!R40,"("," "),")"," "),"/"," "),"-"," "),","," "),";"," "),":"," ")&amp;" ")</f>
        <v/>
      </c>
    </row>
    <row r="344" customFormat="false" ht="15" hidden="false" customHeight="false" outlineLevel="0" collapsed="false">
      <c r="A344" s="56" t="str">
        <f aca="false">IF('07 Balustrade HW'!$C$41="","","Balustrade &amp; Handrail Components")</f>
        <v/>
      </c>
      <c r="B344" s="57" t="str">
        <f aca="false">IF('07 Balustrade HW'!$C$41="","",'07 Balustrade HW'!A41)</f>
        <v/>
      </c>
      <c r="C344" s="56" t="str">
        <f aca="false">IF('07 Balustrade HW'!$C$41="","",'07 Balustrade HW'!B41)</f>
        <v/>
      </c>
      <c r="D344" s="56" t="str">
        <f aca="false">IF('07 Balustrade HW'!$C$41="","",'07 Balustrade HW'!C41)</f>
        <v/>
      </c>
      <c r="E344" s="56" t="str">
        <f aca="false">IF('07 Balustrade HW'!$C$41="","",'07 Balustrade HW'!D41)</f>
        <v/>
      </c>
      <c r="F344" s="56" t="str">
        <f aca="false">IF('07 Balustrade HW'!$C$41="","",'07 Balustrade HW'!E41)</f>
        <v/>
      </c>
      <c r="G344" s="56" t="str">
        <f aca="false">IF('07 Balustrade HW'!$C$41="","",'07 Balustrade HW'!F41)</f>
        <v/>
      </c>
      <c r="H344" s="57" t="str">
        <f aca="false">IF('07 Balustrade HW'!$C$41="","",'07 Balustrade HW'!G41)</f>
        <v/>
      </c>
      <c r="I344" s="58" t="str">
        <f aca="false">IF('07 Balustrade HW'!$C$41="","",'07 Balustrade HW'!J41)</f>
        <v/>
      </c>
      <c r="J344" s="58" t="str">
        <f aca="false">IF('07 Balustrade HW'!$C$41="","",'07 Balustrade HW'!K41)</f>
        <v/>
      </c>
      <c r="K344" s="58" t="str">
        <f aca="false">IF('07 Balustrade HW'!$C$41="","",'07 Balustrade HW'!L41)</f>
        <v/>
      </c>
      <c r="L344" s="57" t="str">
        <f aca="false">IF('07 Balustrade HW'!$C$41="","",'07 Balustrade HW'!M41)</f>
        <v/>
      </c>
      <c r="M344" s="59" t="str">
        <f aca="false">IF(D344="","",IF(AND(OR(Search!$C$6="All Categories",A344=Search!$C$6),OR(Search!$P$5="",ISNUMBER(SEARCH(" "&amp;Search!$P$5,N344))),OR(Search!$P$6="",ISNUMBER(SEARCH(" "&amp;Search!$P$6,N344))),OR(Search!$P$7="",ISNUMBER(SEARCH(" "&amp;Search!$P$7,N344))),OR(Search!$P$8="",ISNUMBER(SEARCH(" "&amp;Search!$P$8,N344))),OR(Search!$P$9="",ISNUMBER(SEARCH(" "&amp;Search!$P$9,N344))),OR(Search!$P$10="",ISNUMBER(SEARCH(" "&amp;Search!$P$10,N344)))),ROW(),""))</f>
        <v/>
      </c>
      <c r="N344" s="0" t="str">
        <f aca="false">IF(D344="",""," "&amp;SUBSTITUTE(SUBSTITUTE(SUBSTITUTE(SUBSTITUTE(SUBSTITUTE(SUBSTITUTE(SUBSTITUTE(B344&amp;" "&amp;C344&amp;" "&amp;D344&amp;" "&amp;E344&amp;" "&amp;F344&amp;" "&amp;G344&amp;" "&amp;H344&amp;" "&amp;'07 Balustrade HW'!R41,"("," "),")"," "),"/"," "),"-"," "),","," "),";"," "),":"," ")&amp;" ")</f>
        <v/>
      </c>
    </row>
    <row r="345" customFormat="false" ht="15" hidden="false" customHeight="false" outlineLevel="0" collapsed="false">
      <c r="A345" s="56" t="str">
        <f aca="false">IF('07 Balustrade HW'!$C$42="","","Balustrade &amp; Handrail Components")</f>
        <v/>
      </c>
      <c r="B345" s="57" t="str">
        <f aca="false">IF('07 Balustrade HW'!$C$42="","",'07 Balustrade HW'!A42)</f>
        <v/>
      </c>
      <c r="C345" s="56" t="str">
        <f aca="false">IF('07 Balustrade HW'!$C$42="","",'07 Balustrade HW'!B42)</f>
        <v/>
      </c>
      <c r="D345" s="56" t="str">
        <f aca="false">IF('07 Balustrade HW'!$C$42="","",'07 Balustrade HW'!C42)</f>
        <v/>
      </c>
      <c r="E345" s="56" t="str">
        <f aca="false">IF('07 Balustrade HW'!$C$42="","",'07 Balustrade HW'!D42)</f>
        <v/>
      </c>
      <c r="F345" s="56" t="str">
        <f aca="false">IF('07 Balustrade HW'!$C$42="","",'07 Balustrade HW'!E42)</f>
        <v/>
      </c>
      <c r="G345" s="56" t="str">
        <f aca="false">IF('07 Balustrade HW'!$C$42="","",'07 Balustrade HW'!F42)</f>
        <v/>
      </c>
      <c r="H345" s="57" t="str">
        <f aca="false">IF('07 Balustrade HW'!$C$42="","",'07 Balustrade HW'!G42)</f>
        <v/>
      </c>
      <c r="I345" s="58" t="str">
        <f aca="false">IF('07 Balustrade HW'!$C$42="","",'07 Balustrade HW'!J42)</f>
        <v/>
      </c>
      <c r="J345" s="58" t="str">
        <f aca="false">IF('07 Balustrade HW'!$C$42="","",'07 Balustrade HW'!K42)</f>
        <v/>
      </c>
      <c r="K345" s="58" t="str">
        <f aca="false">IF('07 Balustrade HW'!$C$42="","",'07 Balustrade HW'!L42)</f>
        <v/>
      </c>
      <c r="L345" s="57" t="str">
        <f aca="false">IF('07 Balustrade HW'!$C$42="","",'07 Balustrade HW'!M42)</f>
        <v/>
      </c>
      <c r="M345" s="59" t="str">
        <f aca="false">IF(D345="","",IF(AND(OR(Search!$C$6="All Categories",A345=Search!$C$6),OR(Search!$P$5="",ISNUMBER(SEARCH(" "&amp;Search!$P$5,N345))),OR(Search!$P$6="",ISNUMBER(SEARCH(" "&amp;Search!$P$6,N345))),OR(Search!$P$7="",ISNUMBER(SEARCH(" "&amp;Search!$P$7,N345))),OR(Search!$P$8="",ISNUMBER(SEARCH(" "&amp;Search!$P$8,N345))),OR(Search!$P$9="",ISNUMBER(SEARCH(" "&amp;Search!$P$9,N345))),OR(Search!$P$10="",ISNUMBER(SEARCH(" "&amp;Search!$P$10,N345)))),ROW(),""))</f>
        <v/>
      </c>
      <c r="N345" s="0" t="str">
        <f aca="false">IF(D345="",""," "&amp;SUBSTITUTE(SUBSTITUTE(SUBSTITUTE(SUBSTITUTE(SUBSTITUTE(SUBSTITUTE(SUBSTITUTE(B345&amp;" "&amp;C345&amp;" "&amp;D345&amp;" "&amp;E345&amp;" "&amp;F345&amp;" "&amp;G345&amp;" "&amp;H345&amp;" "&amp;'07 Balustrade HW'!R42,"("," "),")"," "),"/"," "),"-"," "),","," "),";"," "),":"," ")&amp;" ")</f>
        <v/>
      </c>
    </row>
    <row r="346" customFormat="false" ht="22.35" hidden="false" customHeight="false" outlineLevel="0" collapsed="false">
      <c r="A346" s="56" t="str">
        <f aca="false">IF('08 Sealants &amp; Fixings'!$C$5="","","Sealants, Gaskets, Fixings &amp; Consumables")</f>
        <v>Sealants, Gaskets, Fixings &amp; Consumables</v>
      </c>
      <c r="B346" s="57" t="str">
        <f aca="false">IF('08 Sealants &amp; Fixings'!$C$5="","",'08 Sealants &amp; Fixings'!A5)</f>
        <v>SF-001</v>
      </c>
      <c r="C346" s="56" t="str">
        <f aca="false">IF('08 Sealants &amp; Fixings'!$C$5="","",'08 Sealants &amp; Fixings'!B5)</f>
        <v>Silicone Sealants</v>
      </c>
      <c r="D346" s="56" t="str">
        <f aca="false">IF('08 Sealants &amp; Fixings'!$C$5="","",'08 Sealants &amp; Fixings'!C5)</f>
        <v>Structural silicone sealant (2-part)</v>
      </c>
      <c r="E346" s="56" t="str">
        <f aca="false">IF('08 Sealants &amp; Fixings'!$C$5="","",'08 Sealants &amp; Fixings'!D5)</f>
        <v>Per kg (base + curing agent)</v>
      </c>
      <c r="F346" s="56" t="str">
        <f aca="false">IF('08 Sealants &amp; Fixings'!$C$5="","",'08 Sealants &amp; Fixings'!E5)</f>
        <v>Black</v>
      </c>
      <c r="G346" s="56" t="str">
        <f aca="false">IF('08 Sealants &amp; Fixings'!$C$5="","",'08 Sealants &amp; Fixings'!F5)</f>
        <v>Dow DOWSIL 993 / Equiv.</v>
      </c>
      <c r="H346" s="57" t="str">
        <f aca="false">IF('08 Sealants &amp; Fixings'!$C$5="","",'08 Sealants &amp; Fixings'!G5)</f>
        <v>kg</v>
      </c>
      <c r="I346" s="58" t="n">
        <f aca="false">IF('08 Sealants &amp; Fixings'!$C$5="","",'08 Sealants &amp; Fixings'!J5)</f>
        <v>49.5</v>
      </c>
      <c r="J346" s="58" t="n">
        <f aca="false">IF('08 Sealants &amp; Fixings'!$C$5="","",'08 Sealants &amp; Fixings'!K5)</f>
        <v>59.4</v>
      </c>
      <c r="K346" s="58" t="n">
        <f aca="false">IF('08 Sealants &amp; Fixings'!$C$5="","",'08 Sealants &amp; Fixings'!L5)</f>
        <v>62.37</v>
      </c>
      <c r="L346" s="57" t="str">
        <f aca="false">IF('08 Sealants &amp; Fixings'!$C$5="","",'08 Sealants &amp; Fixings'!M5)</f>
        <v>Indicative</v>
      </c>
      <c r="M346" s="59" t="str">
        <f aca="false">IF(D346="","",IF(AND(OR(Search!$C$6="All Categories",A346=Search!$C$6),OR(Search!$P$5="",ISNUMBER(SEARCH(" "&amp;Search!$P$5,N346))),OR(Search!$P$6="",ISNUMBER(SEARCH(" "&amp;Search!$P$6,N346))),OR(Search!$P$7="",ISNUMBER(SEARCH(" "&amp;Search!$P$7,N346))),OR(Search!$P$8="",ISNUMBER(SEARCH(" "&amp;Search!$P$8,N346))),OR(Search!$P$9="",ISNUMBER(SEARCH(" "&amp;Search!$P$9,N346))),OR(Search!$P$10="",ISNUMBER(SEARCH(" "&amp;Search!$P$10,N346)))),ROW(),""))</f>
        <v/>
      </c>
      <c r="N346" s="0" t="str">
        <f aca="false">IF(D346="",""," "&amp;SUBSTITUTE(SUBSTITUTE(SUBSTITUTE(SUBSTITUTE(SUBSTITUTE(SUBSTITUTE(SUBSTITUTE(B346&amp;" "&amp;C346&amp;" "&amp;D346&amp;" "&amp;E346&amp;" "&amp;F346&amp;" "&amp;G346&amp;" "&amp;H346&amp;" "&amp;'08 Sealants &amp; Fixings'!R5,"("," "),")"," "),"/"," "),"-"," "),","," "),";"," "),":"," ")&amp;" ")</f>
        <v> SF 001 Silicone Sealants Structural silicone sealant  2 part  Per kg  base + curing agent  Black Dow DOWSIL 993   Equiv. kg sealant silicone </v>
      </c>
    </row>
    <row r="347" customFormat="false" ht="22.35" hidden="false" customHeight="false" outlineLevel="0" collapsed="false">
      <c r="A347" s="56" t="str">
        <f aca="false">IF('08 Sealants &amp; Fixings'!$C$6="","","Sealants, Gaskets, Fixings &amp; Consumables")</f>
        <v>Sealants, Gaskets, Fixings &amp; Consumables</v>
      </c>
      <c r="B347" s="57" t="str">
        <f aca="false">IF('08 Sealants &amp; Fixings'!$C$6="","",'08 Sealants &amp; Fixings'!A6)</f>
        <v>SF-002</v>
      </c>
      <c r="C347" s="56" t="str">
        <f aca="false">IF('08 Sealants &amp; Fixings'!$C$6="","",'08 Sealants &amp; Fixings'!B6)</f>
        <v>Silicone Sealants</v>
      </c>
      <c r="D347" s="56" t="str">
        <f aca="false">IF('08 Sealants &amp; Fixings'!$C$6="","",'08 Sealants &amp; Fixings'!C6)</f>
        <v>Structural silicone sealant (1-part)</v>
      </c>
      <c r="E347" s="56" t="str">
        <f aca="false">IF('08 Sealants &amp; Fixings'!$C$6="","",'08 Sealants &amp; Fixings'!D6)</f>
        <v>600 ml sausage</v>
      </c>
      <c r="F347" s="56" t="str">
        <f aca="false">IF('08 Sealants &amp; Fixings'!$C$6="","",'08 Sealants &amp; Fixings'!E6)</f>
        <v>Black</v>
      </c>
      <c r="G347" s="56" t="str">
        <f aca="false">IF('08 Sealants &amp; Fixings'!$C$6="","",'08 Sealants &amp; Fixings'!F6)</f>
        <v>Dow DOWSIL 795 / 895</v>
      </c>
      <c r="H347" s="57" t="str">
        <f aca="false">IF('08 Sealants &amp; Fixings'!$C$6="","",'08 Sealants &amp; Fixings'!G6)</f>
        <v>nos</v>
      </c>
      <c r="I347" s="58" t="n">
        <f aca="false">IF('08 Sealants &amp; Fixings'!$C$6="","",'08 Sealants &amp; Fixings'!J6)</f>
        <v>37.4</v>
      </c>
      <c r="J347" s="58" t="n">
        <f aca="false">IF('08 Sealants &amp; Fixings'!$C$6="","",'08 Sealants &amp; Fixings'!K6)</f>
        <v>44.88</v>
      </c>
      <c r="K347" s="58" t="n">
        <f aca="false">IF('08 Sealants &amp; Fixings'!$C$6="","",'08 Sealants &amp; Fixings'!L6)</f>
        <v>47.12</v>
      </c>
      <c r="L347" s="57" t="str">
        <f aca="false">IF('08 Sealants &amp; Fixings'!$C$6="","",'08 Sealants &amp; Fixings'!M6)</f>
        <v>Indicative</v>
      </c>
      <c r="M347" s="59" t="str">
        <f aca="false">IF(D347="","",IF(AND(OR(Search!$C$6="All Categories",A347=Search!$C$6),OR(Search!$P$5="",ISNUMBER(SEARCH(" "&amp;Search!$P$5,N347))),OR(Search!$P$6="",ISNUMBER(SEARCH(" "&amp;Search!$P$6,N347))),OR(Search!$P$7="",ISNUMBER(SEARCH(" "&amp;Search!$P$7,N347))),OR(Search!$P$8="",ISNUMBER(SEARCH(" "&amp;Search!$P$8,N347))),OR(Search!$P$9="",ISNUMBER(SEARCH(" "&amp;Search!$P$9,N347))),OR(Search!$P$10="",ISNUMBER(SEARCH(" "&amp;Search!$P$10,N347)))),ROW(),""))</f>
        <v/>
      </c>
      <c r="N347" s="0" t="str">
        <f aca="false">IF(D347="",""," "&amp;SUBSTITUTE(SUBSTITUTE(SUBSTITUTE(SUBSTITUTE(SUBSTITUTE(SUBSTITUTE(SUBSTITUTE(B347&amp;" "&amp;C347&amp;" "&amp;D347&amp;" "&amp;E347&amp;" "&amp;F347&amp;" "&amp;G347&amp;" "&amp;H347&amp;" "&amp;'08 Sealants &amp; Fixings'!R6,"("," "),")"," "),"/"," "),"-"," "),","," "),";"," "),":"," ")&amp;" ")</f>
        <v> SF 002 Silicone Sealants Structural silicone sealant  1 part  600 ml sausage Black Dow DOWSIL 795   895 nos sealant silicone </v>
      </c>
    </row>
    <row r="348" customFormat="false" ht="22.35" hidden="false" customHeight="false" outlineLevel="0" collapsed="false">
      <c r="A348" s="56" t="str">
        <f aca="false">IF('08 Sealants &amp; Fixings'!$C$7="","","Sealants, Gaskets, Fixings &amp; Consumables")</f>
        <v>Sealants, Gaskets, Fixings &amp; Consumables</v>
      </c>
      <c r="B348" s="57" t="str">
        <f aca="false">IF('08 Sealants &amp; Fixings'!$C$7="","",'08 Sealants &amp; Fixings'!A7)</f>
        <v>SF-003</v>
      </c>
      <c r="C348" s="56" t="str">
        <f aca="false">IF('08 Sealants &amp; Fixings'!$C$7="","",'08 Sealants &amp; Fixings'!B7)</f>
        <v>Silicone Sealants</v>
      </c>
      <c r="D348" s="56" t="str">
        <f aca="false">IF('08 Sealants &amp; Fixings'!$C$7="","",'08 Sealants &amp; Fixings'!C7)</f>
        <v>Weatherproofing silicone sealant</v>
      </c>
      <c r="E348" s="56" t="str">
        <f aca="false">IF('08 Sealants &amp; Fixings'!$C$7="","",'08 Sealants &amp; Fixings'!D7)</f>
        <v>600 ml sausage</v>
      </c>
      <c r="F348" s="56" t="str">
        <f aca="false">IF('08 Sealants &amp; Fixings'!$C$7="","",'08 Sealants &amp; Fixings'!E7)</f>
        <v>Colour as req.</v>
      </c>
      <c r="G348" s="56" t="str">
        <f aca="false">IF('08 Sealants &amp; Fixings'!$C$7="","",'08 Sealants &amp; Fixings'!F7)</f>
        <v>Dow DOWSIL 791 / 991</v>
      </c>
      <c r="H348" s="57" t="str">
        <f aca="false">IF('08 Sealants &amp; Fixings'!$C$7="","",'08 Sealants &amp; Fixings'!G7)</f>
        <v>nos</v>
      </c>
      <c r="I348" s="58" t="n">
        <f aca="false">IF('08 Sealants &amp; Fixings'!$C$7="","",'08 Sealants &amp; Fixings'!J7)</f>
        <v>30.8</v>
      </c>
      <c r="J348" s="58" t="n">
        <f aca="false">IF('08 Sealants &amp; Fixings'!$C$7="","",'08 Sealants &amp; Fixings'!K7)</f>
        <v>36.96</v>
      </c>
      <c r="K348" s="58" t="n">
        <f aca="false">IF('08 Sealants &amp; Fixings'!$C$7="","",'08 Sealants &amp; Fixings'!L7)</f>
        <v>38.81</v>
      </c>
      <c r="L348" s="57" t="str">
        <f aca="false">IF('08 Sealants &amp; Fixings'!$C$7="","",'08 Sealants &amp; Fixings'!M7)</f>
        <v>Indicative</v>
      </c>
      <c r="M348" s="59" t="str">
        <f aca="false">IF(D348="","",IF(AND(OR(Search!$C$6="All Categories",A348=Search!$C$6),OR(Search!$P$5="",ISNUMBER(SEARCH(" "&amp;Search!$P$5,N348))),OR(Search!$P$6="",ISNUMBER(SEARCH(" "&amp;Search!$P$6,N348))),OR(Search!$P$7="",ISNUMBER(SEARCH(" "&amp;Search!$P$7,N348))),OR(Search!$P$8="",ISNUMBER(SEARCH(" "&amp;Search!$P$8,N348))),OR(Search!$P$9="",ISNUMBER(SEARCH(" "&amp;Search!$P$9,N348))),OR(Search!$P$10="",ISNUMBER(SEARCH(" "&amp;Search!$P$10,N348)))),ROW(),""))</f>
        <v/>
      </c>
      <c r="N348" s="0" t="str">
        <f aca="false">IF(D348="",""," "&amp;SUBSTITUTE(SUBSTITUTE(SUBSTITUTE(SUBSTITUTE(SUBSTITUTE(SUBSTITUTE(SUBSTITUTE(B348&amp;" "&amp;C348&amp;" "&amp;D348&amp;" "&amp;E348&amp;" "&amp;F348&amp;" "&amp;G348&amp;" "&amp;H348&amp;" "&amp;'08 Sealants &amp; Fixings'!R7,"("," "),")"," "),"/"," "),"-"," "),","," "),";"," "),":"," ")&amp;" ")</f>
        <v> SF 003 Silicone Sealants Weatherproofing silicone sealant 600 ml sausage Colour as req. Dow DOWSIL 791   991 nos sealant silicone </v>
      </c>
    </row>
    <row r="349" customFormat="false" ht="22.35" hidden="false" customHeight="false" outlineLevel="0" collapsed="false">
      <c r="A349" s="56" t="str">
        <f aca="false">IF('08 Sealants &amp; Fixings'!$C$8="","","Sealants, Gaskets, Fixings &amp; Consumables")</f>
        <v>Sealants, Gaskets, Fixings &amp; Consumables</v>
      </c>
      <c r="B349" s="57" t="str">
        <f aca="false">IF('08 Sealants &amp; Fixings'!$C$8="","",'08 Sealants &amp; Fixings'!A8)</f>
        <v>SF-004</v>
      </c>
      <c r="C349" s="56" t="str">
        <f aca="false">IF('08 Sealants &amp; Fixings'!$C$8="","",'08 Sealants &amp; Fixings'!B8)</f>
        <v>Silicone Sealants</v>
      </c>
      <c r="D349" s="56" t="str">
        <f aca="false">IF('08 Sealants &amp; Fixings'!$C$8="","",'08 Sealants &amp; Fixings'!C8)</f>
        <v>Weatherproofing silicone sealant</v>
      </c>
      <c r="E349" s="56" t="str">
        <f aca="false">IF('08 Sealants &amp; Fixings'!$C$8="","",'08 Sealants &amp; Fixings'!D8)</f>
        <v>300 ml cartridge</v>
      </c>
      <c r="F349" s="56" t="str">
        <f aca="false">IF('08 Sealants &amp; Fixings'!$C$8="","",'08 Sealants &amp; Fixings'!E8)</f>
        <v>Colour as req.</v>
      </c>
      <c r="G349" s="56" t="str">
        <f aca="false">IF('08 Sealants &amp; Fixings'!$C$8="","",'08 Sealants &amp; Fixings'!F8)</f>
        <v>Dow / Sika / GE</v>
      </c>
      <c r="H349" s="57" t="str">
        <f aca="false">IF('08 Sealants &amp; Fixings'!$C$8="","",'08 Sealants &amp; Fixings'!G8)</f>
        <v>nos</v>
      </c>
      <c r="I349" s="58" t="n">
        <f aca="false">IF('08 Sealants &amp; Fixings'!$C$8="","",'08 Sealants &amp; Fixings'!J8)</f>
        <v>17.6</v>
      </c>
      <c r="J349" s="58" t="n">
        <f aca="false">IF('08 Sealants &amp; Fixings'!$C$8="","",'08 Sealants &amp; Fixings'!K8)</f>
        <v>21.12</v>
      </c>
      <c r="K349" s="58" t="n">
        <f aca="false">IF('08 Sealants &amp; Fixings'!$C$8="","",'08 Sealants &amp; Fixings'!L8)</f>
        <v>22.18</v>
      </c>
      <c r="L349" s="57" t="str">
        <f aca="false">IF('08 Sealants &amp; Fixings'!$C$8="","",'08 Sealants &amp; Fixings'!M8)</f>
        <v>Indicative</v>
      </c>
      <c r="M349" s="59" t="str">
        <f aca="false">IF(D349="","",IF(AND(OR(Search!$C$6="All Categories",A349=Search!$C$6),OR(Search!$P$5="",ISNUMBER(SEARCH(" "&amp;Search!$P$5,N349))),OR(Search!$P$6="",ISNUMBER(SEARCH(" "&amp;Search!$P$6,N349))),OR(Search!$P$7="",ISNUMBER(SEARCH(" "&amp;Search!$P$7,N349))),OR(Search!$P$8="",ISNUMBER(SEARCH(" "&amp;Search!$P$8,N349))),OR(Search!$P$9="",ISNUMBER(SEARCH(" "&amp;Search!$P$9,N349))),OR(Search!$P$10="",ISNUMBER(SEARCH(" "&amp;Search!$P$10,N349)))),ROW(),""))</f>
        <v/>
      </c>
      <c r="N349" s="0" t="str">
        <f aca="false">IF(D349="",""," "&amp;SUBSTITUTE(SUBSTITUTE(SUBSTITUTE(SUBSTITUTE(SUBSTITUTE(SUBSTITUTE(SUBSTITUTE(B349&amp;" "&amp;C349&amp;" "&amp;D349&amp;" "&amp;E349&amp;" "&amp;F349&amp;" "&amp;G349&amp;" "&amp;H349&amp;" "&amp;'08 Sealants &amp; Fixings'!R8,"("," "),")"," "),"/"," "),"-"," "),","," "),";"," "),":"," ")&amp;" ")</f>
        <v> SF 004 Silicone Sealants Weatherproofing silicone sealant 300 ml cartridge Colour as req. Dow   Sika   GE nos sealant silicone </v>
      </c>
    </row>
    <row r="350" customFormat="false" ht="22.35" hidden="false" customHeight="false" outlineLevel="0" collapsed="false">
      <c r="A350" s="56" t="str">
        <f aca="false">IF('08 Sealants &amp; Fixings'!$C$9="","","Sealants, Gaskets, Fixings &amp; Consumables")</f>
        <v>Sealants, Gaskets, Fixings &amp; Consumables</v>
      </c>
      <c r="B350" s="57" t="str">
        <f aca="false">IF('08 Sealants &amp; Fixings'!$C$9="","",'08 Sealants &amp; Fixings'!A9)</f>
        <v>SF-005</v>
      </c>
      <c r="C350" s="56" t="str">
        <f aca="false">IF('08 Sealants &amp; Fixings'!$C$9="","",'08 Sealants &amp; Fixings'!B9)</f>
        <v>Silicone Sealants</v>
      </c>
      <c r="D350" s="56" t="str">
        <f aca="false">IF('08 Sealants &amp; Fixings'!$C$9="","",'08 Sealants &amp; Fixings'!C9)</f>
        <v>Neutral cure general silicone</v>
      </c>
      <c r="E350" s="56" t="str">
        <f aca="false">IF('08 Sealants &amp; Fixings'!$C$9="","",'08 Sealants &amp; Fixings'!D9)</f>
        <v>300 ml cartridge</v>
      </c>
      <c r="F350" s="56" t="str">
        <f aca="false">IF('08 Sealants &amp; Fixings'!$C$9="","",'08 Sealants &amp; Fixings'!E9)</f>
        <v>Clear / White / Black</v>
      </c>
      <c r="G350" s="56" t="str">
        <f aca="false">IF('08 Sealants &amp; Fixings'!$C$9="","",'08 Sealants &amp; Fixings'!F9)</f>
        <v>GE / Local</v>
      </c>
      <c r="H350" s="57" t="str">
        <f aca="false">IF('08 Sealants &amp; Fixings'!$C$9="","",'08 Sealants &amp; Fixings'!G9)</f>
        <v>nos</v>
      </c>
      <c r="I350" s="58" t="n">
        <f aca="false">IF('08 Sealants &amp; Fixings'!$C$9="","",'08 Sealants &amp; Fixings'!J9)</f>
        <v>11</v>
      </c>
      <c r="J350" s="58" t="n">
        <f aca="false">IF('08 Sealants &amp; Fixings'!$C$9="","",'08 Sealants &amp; Fixings'!K9)</f>
        <v>13.2</v>
      </c>
      <c r="K350" s="58" t="n">
        <f aca="false">IF('08 Sealants &amp; Fixings'!$C$9="","",'08 Sealants &amp; Fixings'!L9)</f>
        <v>13.86</v>
      </c>
      <c r="L350" s="57" t="str">
        <f aca="false">IF('08 Sealants &amp; Fixings'!$C$9="","",'08 Sealants &amp; Fixings'!M9)</f>
        <v>Indicative</v>
      </c>
      <c r="M350" s="59" t="str">
        <f aca="false">IF(D350="","",IF(AND(OR(Search!$C$6="All Categories",A350=Search!$C$6),OR(Search!$P$5="",ISNUMBER(SEARCH(" "&amp;Search!$P$5,N350))),OR(Search!$P$6="",ISNUMBER(SEARCH(" "&amp;Search!$P$6,N350))),OR(Search!$P$7="",ISNUMBER(SEARCH(" "&amp;Search!$P$7,N350))),OR(Search!$P$8="",ISNUMBER(SEARCH(" "&amp;Search!$P$8,N350))),OR(Search!$P$9="",ISNUMBER(SEARCH(" "&amp;Search!$P$9,N350))),OR(Search!$P$10="",ISNUMBER(SEARCH(" "&amp;Search!$P$10,N350)))),ROW(),""))</f>
        <v/>
      </c>
      <c r="N350" s="0" t="str">
        <f aca="false">IF(D350="",""," "&amp;SUBSTITUTE(SUBSTITUTE(SUBSTITUTE(SUBSTITUTE(SUBSTITUTE(SUBSTITUTE(SUBSTITUTE(B350&amp;" "&amp;C350&amp;" "&amp;D350&amp;" "&amp;E350&amp;" "&amp;F350&amp;" "&amp;G350&amp;" "&amp;H350&amp;" "&amp;'08 Sealants &amp; Fixings'!R9,"("," "),")"," "),"/"," "),"-"," "),","," "),";"," "),":"," ")&amp;" ")</f>
        <v> SF 005 Silicone Sealants Neutral cure general silicone 300 ml cartridge Clear   White   Black GE   Local nos sealant silicone </v>
      </c>
    </row>
    <row r="351" customFormat="false" ht="22.35" hidden="false" customHeight="false" outlineLevel="0" collapsed="false">
      <c r="A351" s="56" t="str">
        <f aca="false">IF('08 Sealants &amp; Fixings'!$C$10="","","Sealants, Gaskets, Fixings &amp; Consumables")</f>
        <v>Sealants, Gaskets, Fixings &amp; Consumables</v>
      </c>
      <c r="B351" s="57" t="str">
        <f aca="false">IF('08 Sealants &amp; Fixings'!$C$10="","",'08 Sealants &amp; Fixings'!A10)</f>
        <v>SF-006</v>
      </c>
      <c r="C351" s="56" t="str">
        <f aca="false">IF('08 Sealants &amp; Fixings'!$C$10="","",'08 Sealants &amp; Fixings'!B10)</f>
        <v>Silicone Sealants</v>
      </c>
      <c r="D351" s="56" t="str">
        <f aca="false">IF('08 Sealants &amp; Fixings'!$C$10="","",'08 Sealants &amp; Fixings'!C10)</f>
        <v>Anti-fungal sanitary silicone (shower)</v>
      </c>
      <c r="E351" s="56" t="str">
        <f aca="false">IF('08 Sealants &amp; Fixings'!$C$10="","",'08 Sealants &amp; Fixings'!D10)</f>
        <v>300 ml cartridge</v>
      </c>
      <c r="F351" s="56" t="str">
        <f aca="false">IF('08 Sealants &amp; Fixings'!$C$10="","",'08 Sealants &amp; Fixings'!E10)</f>
        <v>Clear / White</v>
      </c>
      <c r="G351" s="56" t="str">
        <f aca="false">IF('08 Sealants &amp; Fixings'!$C$10="","",'08 Sealants &amp; Fixings'!F10)</f>
        <v>Dow / Sika / Equiv.</v>
      </c>
      <c r="H351" s="57" t="str">
        <f aca="false">IF('08 Sealants &amp; Fixings'!$C$10="","",'08 Sealants &amp; Fixings'!G10)</f>
        <v>nos</v>
      </c>
      <c r="I351" s="58" t="n">
        <f aca="false">IF('08 Sealants &amp; Fixings'!$C$10="","",'08 Sealants &amp; Fixings'!J10)</f>
        <v>19.8</v>
      </c>
      <c r="J351" s="58" t="n">
        <f aca="false">IF('08 Sealants &amp; Fixings'!$C$10="","",'08 Sealants &amp; Fixings'!K10)</f>
        <v>23.76</v>
      </c>
      <c r="K351" s="58" t="n">
        <f aca="false">IF('08 Sealants &amp; Fixings'!$C$10="","",'08 Sealants &amp; Fixings'!L10)</f>
        <v>24.95</v>
      </c>
      <c r="L351" s="57" t="str">
        <f aca="false">IF('08 Sealants &amp; Fixings'!$C$10="","",'08 Sealants &amp; Fixings'!M10)</f>
        <v>Indicative</v>
      </c>
      <c r="M351" s="59" t="str">
        <f aca="false">IF(D351="","",IF(AND(OR(Search!$C$6="All Categories",A351=Search!$C$6),OR(Search!$P$5="",ISNUMBER(SEARCH(" "&amp;Search!$P$5,N351))),OR(Search!$P$6="",ISNUMBER(SEARCH(" "&amp;Search!$P$6,N351))),OR(Search!$P$7="",ISNUMBER(SEARCH(" "&amp;Search!$P$7,N351))),OR(Search!$P$8="",ISNUMBER(SEARCH(" "&amp;Search!$P$8,N351))),OR(Search!$P$9="",ISNUMBER(SEARCH(" "&amp;Search!$P$9,N351))),OR(Search!$P$10="",ISNUMBER(SEARCH(" "&amp;Search!$P$10,N351)))),ROW(),""))</f>
        <v/>
      </c>
      <c r="N351" s="0" t="str">
        <f aca="false">IF(D351="",""," "&amp;SUBSTITUTE(SUBSTITUTE(SUBSTITUTE(SUBSTITUTE(SUBSTITUTE(SUBSTITUTE(SUBSTITUTE(B351&amp;" "&amp;C351&amp;" "&amp;D351&amp;" "&amp;E351&amp;" "&amp;F351&amp;" "&amp;G351&amp;" "&amp;H351&amp;" "&amp;'08 Sealants &amp; Fixings'!R10,"("," "),")"," "),"/"," "),"-"," "),","," "),";"," "),":"," ")&amp;" ")</f>
        <v> SF 006 Silicone Sealants Anti fungal sanitary silicone  shower  300 ml cartridge Clear   White Dow   Sika   Equiv. nos sealant silicone bathroom </v>
      </c>
    </row>
    <row r="352" customFormat="false" ht="22.35" hidden="false" customHeight="false" outlineLevel="0" collapsed="false">
      <c r="A352" s="56" t="str">
        <f aca="false">IF('08 Sealants &amp; Fixings'!$C$11="","","Sealants, Gaskets, Fixings &amp; Consumables")</f>
        <v>Sealants, Gaskets, Fixings &amp; Consumables</v>
      </c>
      <c r="B352" s="57" t="str">
        <f aca="false">IF('08 Sealants &amp; Fixings'!$C$11="","",'08 Sealants &amp; Fixings'!A11)</f>
        <v>SF-007</v>
      </c>
      <c r="C352" s="56" t="str">
        <f aca="false">IF('08 Sealants &amp; Fixings'!$C$11="","",'08 Sealants &amp; Fixings'!B11)</f>
        <v>Silicone Sealants</v>
      </c>
      <c r="D352" s="56" t="str">
        <f aca="false">IF('08 Sealants &amp; Fixings'!$C$11="","",'08 Sealants &amp; Fixings'!C11)</f>
        <v>Insulating glass (IG) secondary sealant</v>
      </c>
      <c r="E352" s="56" t="str">
        <f aca="false">IF('08 Sealants &amp; Fixings'!$C$11="","",'08 Sealants &amp; Fixings'!D11)</f>
        <v>Per kg</v>
      </c>
      <c r="F352" s="56" t="str">
        <f aca="false">IF('08 Sealants &amp; Fixings'!$C$11="","",'08 Sealants &amp; Fixings'!E11)</f>
        <v>Black</v>
      </c>
      <c r="G352" s="56" t="str">
        <f aca="false">IF('08 Sealants &amp; Fixings'!$C$11="","",'08 Sealants &amp; Fixings'!F11)</f>
        <v>Dow DOWSIL 3362 / Equiv.</v>
      </c>
      <c r="H352" s="57" t="str">
        <f aca="false">IF('08 Sealants &amp; Fixings'!$C$11="","",'08 Sealants &amp; Fixings'!G11)</f>
        <v>kg</v>
      </c>
      <c r="I352" s="58" t="n">
        <f aca="false">IF('08 Sealants &amp; Fixings'!$C$11="","",'08 Sealants &amp; Fixings'!J11)</f>
        <v>41.8</v>
      </c>
      <c r="J352" s="58" t="n">
        <f aca="false">IF('08 Sealants &amp; Fixings'!$C$11="","",'08 Sealants &amp; Fixings'!K11)</f>
        <v>50.16</v>
      </c>
      <c r="K352" s="58" t="n">
        <f aca="false">IF('08 Sealants &amp; Fixings'!$C$11="","",'08 Sealants &amp; Fixings'!L11)</f>
        <v>52.67</v>
      </c>
      <c r="L352" s="57" t="str">
        <f aca="false">IF('08 Sealants &amp; Fixings'!$C$11="","",'08 Sealants &amp; Fixings'!M11)</f>
        <v>Indicative</v>
      </c>
      <c r="M352" s="59" t="str">
        <f aca="false">IF(D352="","",IF(AND(OR(Search!$C$6="All Categories",A352=Search!$C$6),OR(Search!$P$5="",ISNUMBER(SEARCH(" "&amp;Search!$P$5,N352))),OR(Search!$P$6="",ISNUMBER(SEARCH(" "&amp;Search!$P$6,N352))),OR(Search!$P$7="",ISNUMBER(SEARCH(" "&amp;Search!$P$7,N352))),OR(Search!$P$8="",ISNUMBER(SEARCH(" "&amp;Search!$P$8,N352))),OR(Search!$P$9="",ISNUMBER(SEARCH(" "&amp;Search!$P$9,N352))),OR(Search!$P$10="",ISNUMBER(SEARCH(" "&amp;Search!$P$10,N352)))),ROW(),""))</f>
        <v/>
      </c>
      <c r="N352" s="0" t="str">
        <f aca="false">IF(D352="",""," "&amp;SUBSTITUTE(SUBSTITUTE(SUBSTITUTE(SUBSTITUTE(SUBSTITUTE(SUBSTITUTE(SUBSTITUTE(B352&amp;" "&amp;C352&amp;" "&amp;D352&amp;" "&amp;E352&amp;" "&amp;F352&amp;" "&amp;G352&amp;" "&amp;H352&amp;" "&amp;'08 Sealants &amp; Fixings'!R11,"("," "),")"," "),"/"," "),"-"," "),","," "),";"," "),":"," ")&amp;" ")</f>
        <v> SF 007 Silicone Sealants Insulating glass  IG  secondary sealant Per kg Black Dow DOWSIL 3362   Equiv. kg sealant silicone stainless steel </v>
      </c>
    </row>
    <row r="353" customFormat="false" ht="22.35" hidden="false" customHeight="false" outlineLevel="0" collapsed="false">
      <c r="A353" s="56" t="str">
        <f aca="false">IF('08 Sealants &amp; Fixings'!$C$12="","","Sealants, Gaskets, Fixings &amp; Consumables")</f>
        <v>Sealants, Gaskets, Fixings &amp; Consumables</v>
      </c>
      <c r="B353" s="57" t="str">
        <f aca="false">IF('08 Sealants &amp; Fixings'!$C$12="","",'08 Sealants &amp; Fixings'!A12)</f>
        <v>SF-008</v>
      </c>
      <c r="C353" s="56" t="str">
        <f aca="false">IF('08 Sealants &amp; Fixings'!$C$12="","",'08 Sealants &amp; Fixings'!B12)</f>
        <v>Other Sealants &amp; Adhesives</v>
      </c>
      <c r="D353" s="56" t="str">
        <f aca="false">IF('08 Sealants &amp; Fixings'!$C$12="","",'08 Sealants &amp; Fixings'!C12)</f>
        <v>Polyurethane (PU) sealant</v>
      </c>
      <c r="E353" s="56" t="str">
        <f aca="false">IF('08 Sealants &amp; Fixings'!$C$12="","",'08 Sealants &amp; Fixings'!D12)</f>
        <v>600 ml sausage</v>
      </c>
      <c r="F353" s="56" t="str">
        <f aca="false">IF('08 Sealants &amp; Fixings'!$C$12="","",'08 Sealants &amp; Fixings'!E12)</f>
        <v>Grey</v>
      </c>
      <c r="G353" s="56" t="str">
        <f aca="false">IF('08 Sealants &amp; Fixings'!$C$12="","",'08 Sealants &amp; Fixings'!F12)</f>
        <v>Sika Sikaflex / Equiv.</v>
      </c>
      <c r="H353" s="57" t="str">
        <f aca="false">IF('08 Sealants &amp; Fixings'!$C$12="","",'08 Sealants &amp; Fixings'!G12)</f>
        <v>nos</v>
      </c>
      <c r="I353" s="58" t="n">
        <f aca="false">IF('08 Sealants &amp; Fixings'!$C$12="","",'08 Sealants &amp; Fixings'!J12)</f>
        <v>33</v>
      </c>
      <c r="J353" s="58" t="n">
        <f aca="false">IF('08 Sealants &amp; Fixings'!$C$12="","",'08 Sealants &amp; Fixings'!K12)</f>
        <v>39.6</v>
      </c>
      <c r="K353" s="58" t="n">
        <f aca="false">IF('08 Sealants &amp; Fixings'!$C$12="","",'08 Sealants &amp; Fixings'!L12)</f>
        <v>41.58</v>
      </c>
      <c r="L353" s="57" t="str">
        <f aca="false">IF('08 Sealants &amp; Fixings'!$C$12="","",'08 Sealants &amp; Fixings'!M12)</f>
        <v>Indicative</v>
      </c>
      <c r="M353" s="59" t="str">
        <f aca="false">IF(D353="","",IF(AND(OR(Search!$C$6="All Categories",A353=Search!$C$6),OR(Search!$P$5="",ISNUMBER(SEARCH(" "&amp;Search!$P$5,N353))),OR(Search!$P$6="",ISNUMBER(SEARCH(" "&amp;Search!$P$6,N353))),OR(Search!$P$7="",ISNUMBER(SEARCH(" "&amp;Search!$P$7,N353))),OR(Search!$P$8="",ISNUMBER(SEARCH(" "&amp;Search!$P$8,N353))),OR(Search!$P$9="",ISNUMBER(SEARCH(" "&amp;Search!$P$9,N353))),OR(Search!$P$10="",ISNUMBER(SEARCH(" "&amp;Search!$P$10,N353)))),ROW(),""))</f>
        <v/>
      </c>
      <c r="N353" s="0" t="str">
        <f aca="false">IF(D353="",""," "&amp;SUBSTITUTE(SUBSTITUTE(SUBSTITUTE(SUBSTITUTE(SUBSTITUTE(SUBSTITUTE(SUBSTITUTE(B353&amp;" "&amp;C353&amp;" "&amp;D353&amp;" "&amp;E353&amp;" "&amp;F353&amp;" "&amp;G353&amp;" "&amp;H353&amp;" "&amp;'08 Sealants &amp; Fixings'!R12,"("," "),")"," "),"/"," "),"-"," "),","," "),";"," "),":"," ")&amp;" ")</f>
        <v> SF 008 Other Sealants &amp; Adhesives Polyurethane  PU  sealant 600 ml sausage Grey Sika Sikaflex   Equiv. nos silicone </v>
      </c>
    </row>
    <row r="354" customFormat="false" ht="22.35" hidden="false" customHeight="false" outlineLevel="0" collapsed="false">
      <c r="A354" s="56" t="str">
        <f aca="false">IF('08 Sealants &amp; Fixings'!$C$13="","","Sealants, Gaskets, Fixings &amp; Consumables")</f>
        <v>Sealants, Gaskets, Fixings &amp; Consumables</v>
      </c>
      <c r="B354" s="57" t="str">
        <f aca="false">IF('08 Sealants &amp; Fixings'!$C$13="","",'08 Sealants &amp; Fixings'!A13)</f>
        <v>SF-009</v>
      </c>
      <c r="C354" s="56" t="str">
        <f aca="false">IF('08 Sealants &amp; Fixings'!$C$13="","",'08 Sealants &amp; Fixings'!B13)</f>
        <v>Other Sealants &amp; Adhesives</v>
      </c>
      <c r="D354" s="56" t="str">
        <f aca="false">IF('08 Sealants &amp; Fixings'!$C$13="","",'08 Sealants &amp; Fixings'!C13)</f>
        <v>PU expanding foam</v>
      </c>
      <c r="E354" s="56" t="str">
        <f aca="false">IF('08 Sealants &amp; Fixings'!$C$13="","",'08 Sealants &amp; Fixings'!D13)</f>
        <v>750 ml</v>
      </c>
      <c r="F354" s="56" t="str">
        <f aca="false">IF('08 Sealants &amp; Fixings'!$C$13="","",'08 Sealants &amp; Fixings'!E13)</f>
        <v>-</v>
      </c>
      <c r="G354" s="56" t="str">
        <f aca="false">IF('08 Sealants &amp; Fixings'!$C$13="","",'08 Sealants &amp; Fixings'!F13)</f>
        <v>Local / Imported</v>
      </c>
      <c r="H354" s="57" t="str">
        <f aca="false">IF('08 Sealants &amp; Fixings'!$C$13="","",'08 Sealants &amp; Fixings'!G13)</f>
        <v>nos</v>
      </c>
      <c r="I354" s="58" t="n">
        <f aca="false">IF('08 Sealants &amp; Fixings'!$C$13="","",'08 Sealants &amp; Fixings'!J13)</f>
        <v>19.8</v>
      </c>
      <c r="J354" s="58" t="n">
        <f aca="false">IF('08 Sealants &amp; Fixings'!$C$13="","",'08 Sealants &amp; Fixings'!K13)</f>
        <v>23.76</v>
      </c>
      <c r="K354" s="58" t="n">
        <f aca="false">IF('08 Sealants &amp; Fixings'!$C$13="","",'08 Sealants &amp; Fixings'!L13)</f>
        <v>24.95</v>
      </c>
      <c r="L354" s="57" t="str">
        <f aca="false">IF('08 Sealants &amp; Fixings'!$C$13="","",'08 Sealants &amp; Fixings'!M13)</f>
        <v>Indicative</v>
      </c>
      <c r="M354" s="59" t="str">
        <f aca="false">IF(D354="","",IF(AND(OR(Search!$C$6="All Categories",A354=Search!$C$6),OR(Search!$P$5="",ISNUMBER(SEARCH(" "&amp;Search!$P$5,N354))),OR(Search!$P$6="",ISNUMBER(SEARCH(" "&amp;Search!$P$6,N354))),OR(Search!$P$7="",ISNUMBER(SEARCH(" "&amp;Search!$P$7,N354))),OR(Search!$P$8="",ISNUMBER(SEARCH(" "&amp;Search!$P$8,N354))),OR(Search!$P$9="",ISNUMBER(SEARCH(" "&amp;Search!$P$9,N354))),OR(Search!$P$10="",ISNUMBER(SEARCH(" "&amp;Search!$P$10,N354)))),ROW(),""))</f>
        <v/>
      </c>
      <c r="N354" s="0" t="str">
        <f aca="false">IF(D354="",""," "&amp;SUBSTITUTE(SUBSTITUTE(SUBSTITUTE(SUBSTITUTE(SUBSTITUTE(SUBSTITUTE(SUBSTITUTE(B354&amp;" "&amp;C354&amp;" "&amp;D354&amp;" "&amp;E354&amp;" "&amp;F354&amp;" "&amp;G354&amp;" "&amp;H354&amp;" "&amp;'08 Sealants &amp; Fixings'!R13,"("," "),")"," "),"/"," "),"-"," "),","," "),";"," "),":"," ")&amp;" ")</f>
        <v> SF 009 Other Sealants &amp; Adhesives PU expanding foam 750 ml   Local   Imported nos silicone </v>
      </c>
    </row>
    <row r="355" customFormat="false" ht="22.35" hidden="false" customHeight="false" outlineLevel="0" collapsed="false">
      <c r="A355" s="56" t="str">
        <f aca="false">IF('08 Sealants &amp; Fixings'!$C$14="","","Sealants, Gaskets, Fixings &amp; Consumables")</f>
        <v>Sealants, Gaskets, Fixings &amp; Consumables</v>
      </c>
      <c r="B355" s="57" t="str">
        <f aca="false">IF('08 Sealants &amp; Fixings'!$C$14="","",'08 Sealants &amp; Fixings'!A14)</f>
        <v>SF-010</v>
      </c>
      <c r="C355" s="56" t="str">
        <f aca="false">IF('08 Sealants &amp; Fixings'!$C$14="","",'08 Sealants &amp; Fixings'!B14)</f>
        <v>Other Sealants &amp; Adhesives</v>
      </c>
      <c r="D355" s="56" t="str">
        <f aca="false">IF('08 Sealants &amp; Fixings'!$C$14="","",'08 Sealants &amp; Fixings'!C14)</f>
        <v>Fire-rated sealant (intumescent / acrylic)</v>
      </c>
      <c r="E355" s="56" t="str">
        <f aca="false">IF('08 Sealants &amp; Fixings'!$C$14="","",'08 Sealants &amp; Fixings'!D14)</f>
        <v>310 ml</v>
      </c>
      <c r="F355" s="56" t="str">
        <f aca="false">IF('08 Sealants &amp; Fixings'!$C$14="","",'08 Sealants &amp; Fixings'!E14)</f>
        <v>White / Grey</v>
      </c>
      <c r="G355" s="56" t="str">
        <f aca="false">IF('08 Sealants &amp; Fixings'!$C$14="","",'08 Sealants &amp; Fixings'!F14)</f>
        <v>Hilti / Sika / Equiv.</v>
      </c>
      <c r="H355" s="57" t="str">
        <f aca="false">IF('08 Sealants &amp; Fixings'!$C$14="","",'08 Sealants &amp; Fixings'!G14)</f>
        <v>nos</v>
      </c>
      <c r="I355" s="58" t="n">
        <f aca="false">IF('08 Sealants &amp; Fixings'!$C$14="","",'08 Sealants &amp; Fixings'!J14)</f>
        <v>49.5</v>
      </c>
      <c r="J355" s="58" t="n">
        <f aca="false">IF('08 Sealants &amp; Fixings'!$C$14="","",'08 Sealants &amp; Fixings'!K14)</f>
        <v>59.4</v>
      </c>
      <c r="K355" s="58" t="n">
        <f aca="false">IF('08 Sealants &amp; Fixings'!$C$14="","",'08 Sealants &amp; Fixings'!L14)</f>
        <v>62.37</v>
      </c>
      <c r="L355" s="57" t="str">
        <f aca="false">IF('08 Sealants &amp; Fixings'!$C$14="","",'08 Sealants &amp; Fixings'!M14)</f>
        <v>Indicative</v>
      </c>
      <c r="M355" s="59" t="str">
        <f aca="false">IF(D355="","",IF(AND(OR(Search!$C$6="All Categories",A355=Search!$C$6),OR(Search!$P$5="",ISNUMBER(SEARCH(" "&amp;Search!$P$5,N355))),OR(Search!$P$6="",ISNUMBER(SEARCH(" "&amp;Search!$P$6,N355))),OR(Search!$P$7="",ISNUMBER(SEARCH(" "&amp;Search!$P$7,N355))),OR(Search!$P$8="",ISNUMBER(SEARCH(" "&amp;Search!$P$8,N355))),OR(Search!$P$9="",ISNUMBER(SEARCH(" "&amp;Search!$P$9,N355))),OR(Search!$P$10="",ISNUMBER(SEARCH(" "&amp;Search!$P$10,N355)))),ROW(),""))</f>
        <v/>
      </c>
      <c r="N355" s="0" t="str">
        <f aca="false">IF(D355="",""," "&amp;SUBSTITUTE(SUBSTITUTE(SUBSTITUTE(SUBSTITUTE(SUBSTITUTE(SUBSTITUTE(SUBSTITUTE(B355&amp;" "&amp;C355&amp;" "&amp;D355&amp;" "&amp;E355&amp;" "&amp;F355&amp;" "&amp;G355&amp;" "&amp;H355&amp;" "&amp;'08 Sealants &amp; Fixings'!R14,"("," "),")"," "),"/"," "),"-"," "),","," "),";"," "),":"," ")&amp;" ")</f>
        <v> SF 010 Other Sealants &amp; Adhesives Fire rated sealant  intumescent   acrylic  310 ml White   Grey Hilti   Sika   Equiv. nos silicone fire rated resistant </v>
      </c>
    </row>
    <row r="356" customFormat="false" ht="22.35" hidden="false" customHeight="false" outlineLevel="0" collapsed="false">
      <c r="A356" s="56" t="str">
        <f aca="false">IF('08 Sealants &amp; Fixings'!$C$15="","","Sealants, Gaskets, Fixings &amp; Consumables")</f>
        <v>Sealants, Gaskets, Fixings &amp; Consumables</v>
      </c>
      <c r="B356" s="57" t="str">
        <f aca="false">IF('08 Sealants &amp; Fixings'!$C$15="","",'08 Sealants &amp; Fixings'!A15)</f>
        <v>SF-011</v>
      </c>
      <c r="C356" s="56" t="str">
        <f aca="false">IF('08 Sealants &amp; Fixings'!$C$15="","",'08 Sealants &amp; Fixings'!B15)</f>
        <v>Other Sealants &amp; Adhesives</v>
      </c>
      <c r="D356" s="56" t="str">
        <f aca="false">IF('08 Sealants &amp; Fixings'!$C$15="","",'08 Sealants &amp; Fixings'!C15)</f>
        <v>Fire-rated PU foam</v>
      </c>
      <c r="E356" s="56" t="str">
        <f aca="false">IF('08 Sealants &amp; Fixings'!$C$15="","",'08 Sealants &amp; Fixings'!D15)</f>
        <v>750 ml</v>
      </c>
      <c r="F356" s="56" t="str">
        <f aca="false">IF('08 Sealants &amp; Fixings'!$C$15="","",'08 Sealants &amp; Fixings'!E15)</f>
        <v>-</v>
      </c>
      <c r="G356" s="56" t="str">
        <f aca="false">IF('08 Sealants &amp; Fixings'!$C$15="","",'08 Sealants &amp; Fixings'!F15)</f>
        <v>Hilti / Equiv.</v>
      </c>
      <c r="H356" s="57" t="str">
        <f aca="false">IF('08 Sealants &amp; Fixings'!$C$15="","",'08 Sealants &amp; Fixings'!G15)</f>
        <v>nos</v>
      </c>
      <c r="I356" s="58" t="n">
        <f aca="false">IF('08 Sealants &amp; Fixings'!$C$15="","",'08 Sealants &amp; Fixings'!J15)</f>
        <v>60.5</v>
      </c>
      <c r="J356" s="58" t="n">
        <f aca="false">IF('08 Sealants &amp; Fixings'!$C$15="","",'08 Sealants &amp; Fixings'!K15)</f>
        <v>72.6</v>
      </c>
      <c r="K356" s="58" t="n">
        <f aca="false">IF('08 Sealants &amp; Fixings'!$C$15="","",'08 Sealants &amp; Fixings'!L15)</f>
        <v>76.23</v>
      </c>
      <c r="L356" s="57" t="str">
        <f aca="false">IF('08 Sealants &amp; Fixings'!$C$15="","",'08 Sealants &amp; Fixings'!M15)</f>
        <v>Indicative</v>
      </c>
      <c r="M356" s="59" t="str">
        <f aca="false">IF(D356="","",IF(AND(OR(Search!$C$6="All Categories",A356=Search!$C$6),OR(Search!$P$5="",ISNUMBER(SEARCH(" "&amp;Search!$P$5,N356))),OR(Search!$P$6="",ISNUMBER(SEARCH(" "&amp;Search!$P$6,N356))),OR(Search!$P$7="",ISNUMBER(SEARCH(" "&amp;Search!$P$7,N356))),OR(Search!$P$8="",ISNUMBER(SEARCH(" "&amp;Search!$P$8,N356))),OR(Search!$P$9="",ISNUMBER(SEARCH(" "&amp;Search!$P$9,N356))),OR(Search!$P$10="",ISNUMBER(SEARCH(" "&amp;Search!$P$10,N356)))),ROW(),""))</f>
        <v/>
      </c>
      <c r="N356" s="0" t="str">
        <f aca="false">IF(D356="",""," "&amp;SUBSTITUTE(SUBSTITUTE(SUBSTITUTE(SUBSTITUTE(SUBSTITUTE(SUBSTITUTE(SUBSTITUTE(B356&amp;" "&amp;C356&amp;" "&amp;D356&amp;" "&amp;E356&amp;" "&amp;F356&amp;" "&amp;G356&amp;" "&amp;H356&amp;" "&amp;'08 Sealants &amp; Fixings'!R15,"("," "),")"," "),"/"," "),"-"," "),","," "),";"," "),":"," ")&amp;" ")</f>
        <v> SF 011 Other Sealants &amp; Adhesives Fire rated PU foam 750 ml   Hilti   Equiv. nos silicone fire rated resistant </v>
      </c>
    </row>
    <row r="357" customFormat="false" ht="22.35" hidden="false" customHeight="false" outlineLevel="0" collapsed="false">
      <c r="A357" s="56" t="str">
        <f aca="false">IF('08 Sealants &amp; Fixings'!$C$16="","","Sealants, Gaskets, Fixings &amp; Consumables")</f>
        <v>Sealants, Gaskets, Fixings &amp; Consumables</v>
      </c>
      <c r="B357" s="57" t="str">
        <f aca="false">IF('08 Sealants &amp; Fixings'!$C$16="","",'08 Sealants &amp; Fixings'!A16)</f>
        <v>SF-012</v>
      </c>
      <c r="C357" s="56" t="str">
        <f aca="false">IF('08 Sealants &amp; Fixings'!$C$16="","",'08 Sealants &amp; Fixings'!B16)</f>
        <v>Other Sealants &amp; Adhesives</v>
      </c>
      <c r="D357" s="56" t="str">
        <f aca="false">IF('08 Sealants &amp; Fixings'!$C$16="","",'08 Sealants &amp; Fixings'!C16)</f>
        <v>Chemical anchor resin</v>
      </c>
      <c r="E357" s="56" t="str">
        <f aca="false">IF('08 Sealants &amp; Fixings'!$C$16="","",'08 Sealants &amp; Fixings'!D16)</f>
        <v>330-410 ml</v>
      </c>
      <c r="F357" s="56" t="str">
        <f aca="false">IF('08 Sealants &amp; Fixings'!$C$16="","",'08 Sealants &amp; Fixings'!E16)</f>
        <v>-</v>
      </c>
      <c r="G357" s="56" t="str">
        <f aca="false">IF('08 Sealants &amp; Fixings'!$C$16="","",'08 Sealants &amp; Fixings'!F16)</f>
        <v>Hilti HIT-RE / Fischer / Equiv.</v>
      </c>
      <c r="H357" s="57" t="str">
        <f aca="false">IF('08 Sealants &amp; Fixings'!$C$16="","",'08 Sealants &amp; Fixings'!G16)</f>
        <v>nos</v>
      </c>
      <c r="I357" s="58" t="n">
        <f aca="false">IF('08 Sealants &amp; Fixings'!$C$16="","",'08 Sealants &amp; Fixings'!J16)</f>
        <v>82.5</v>
      </c>
      <c r="J357" s="58" t="n">
        <f aca="false">IF('08 Sealants &amp; Fixings'!$C$16="","",'08 Sealants &amp; Fixings'!K16)</f>
        <v>99</v>
      </c>
      <c r="K357" s="58" t="n">
        <f aca="false">IF('08 Sealants &amp; Fixings'!$C$16="","",'08 Sealants &amp; Fixings'!L16)</f>
        <v>103.95</v>
      </c>
      <c r="L357" s="57" t="str">
        <f aca="false">IF('08 Sealants &amp; Fixings'!$C$16="","",'08 Sealants &amp; Fixings'!M16)</f>
        <v>Indicative</v>
      </c>
      <c r="M357" s="59" t="str">
        <f aca="false">IF(D357="","",IF(AND(OR(Search!$C$6="All Categories",A357=Search!$C$6),OR(Search!$P$5="",ISNUMBER(SEARCH(" "&amp;Search!$P$5,N357))),OR(Search!$P$6="",ISNUMBER(SEARCH(" "&amp;Search!$P$6,N357))),OR(Search!$P$7="",ISNUMBER(SEARCH(" "&amp;Search!$P$7,N357))),OR(Search!$P$8="",ISNUMBER(SEARCH(" "&amp;Search!$P$8,N357))),OR(Search!$P$9="",ISNUMBER(SEARCH(" "&amp;Search!$P$9,N357))),OR(Search!$P$10="",ISNUMBER(SEARCH(" "&amp;Search!$P$10,N357)))),ROW(),""))</f>
        <v/>
      </c>
      <c r="N357" s="0" t="str">
        <f aca="false">IF(D357="",""," "&amp;SUBSTITUTE(SUBSTITUTE(SUBSTITUTE(SUBSTITUTE(SUBSTITUTE(SUBSTITUTE(SUBSTITUTE(B357&amp;" "&amp;C357&amp;" "&amp;D357&amp;" "&amp;E357&amp;" "&amp;F357&amp;" "&amp;G357&amp;" "&amp;H357&amp;" "&amp;'08 Sealants &amp; Fixings'!R16,"("," "),")"," "),"/"," "),"-"," "),","," "),";"," "),":"," ")&amp;" ")</f>
        <v> SF 012 Other Sealants &amp; Adhesives Chemical anchor resin 330 410 ml   Hilti HIT RE   Fischer   Equiv. nos silicone fixing fastener bolt </v>
      </c>
    </row>
    <row r="358" customFormat="false" ht="22.35" hidden="false" customHeight="false" outlineLevel="0" collapsed="false">
      <c r="A358" s="56" t="str">
        <f aca="false">IF('08 Sealants &amp; Fixings'!$C$17="","","Sealants, Gaskets, Fixings &amp; Consumables")</f>
        <v>Sealants, Gaskets, Fixings &amp; Consumables</v>
      </c>
      <c r="B358" s="57" t="str">
        <f aca="false">IF('08 Sealants &amp; Fixings'!$C$17="","",'08 Sealants &amp; Fixings'!A17)</f>
        <v>SF-013</v>
      </c>
      <c r="C358" s="56" t="str">
        <f aca="false">IF('08 Sealants &amp; Fixings'!$C$17="","",'08 Sealants &amp; Fixings'!B17)</f>
        <v>Other Sealants &amp; Adhesives</v>
      </c>
      <c r="D358" s="56" t="str">
        <f aca="false">IF('08 Sealants &amp; Fixings'!$C$17="","",'08 Sealants &amp; Fixings'!C17)</f>
        <v>Primer / cleaner (silicone)</v>
      </c>
      <c r="E358" s="56" t="str">
        <f aca="false">IF('08 Sealants &amp; Fixings'!$C$17="","",'08 Sealants &amp; Fixings'!D17)</f>
        <v>1 litre</v>
      </c>
      <c r="F358" s="56" t="str">
        <f aca="false">IF('08 Sealants &amp; Fixings'!$C$17="","",'08 Sealants &amp; Fixings'!E17)</f>
        <v>-</v>
      </c>
      <c r="G358" s="56" t="str">
        <f aca="false">IF('08 Sealants &amp; Fixings'!$C$17="","",'08 Sealants &amp; Fixings'!F17)</f>
        <v>Dow / Sika</v>
      </c>
      <c r="H358" s="57" t="str">
        <f aca="false">IF('08 Sealants &amp; Fixings'!$C$17="","",'08 Sealants &amp; Fixings'!G17)</f>
        <v>ltr</v>
      </c>
      <c r="I358" s="58" t="n">
        <f aca="false">IF('08 Sealants &amp; Fixings'!$C$17="","",'08 Sealants &amp; Fixings'!J17)</f>
        <v>71.5</v>
      </c>
      <c r="J358" s="58" t="n">
        <f aca="false">IF('08 Sealants &amp; Fixings'!$C$17="","",'08 Sealants &amp; Fixings'!K17)</f>
        <v>85.8</v>
      </c>
      <c r="K358" s="58" t="n">
        <f aca="false">IF('08 Sealants &amp; Fixings'!$C$17="","",'08 Sealants &amp; Fixings'!L17)</f>
        <v>90.09</v>
      </c>
      <c r="L358" s="57" t="str">
        <f aca="false">IF('08 Sealants &amp; Fixings'!$C$17="","",'08 Sealants &amp; Fixings'!M17)</f>
        <v>Indicative</v>
      </c>
      <c r="M358" s="59" t="str">
        <f aca="false">IF(D358="","",IF(AND(OR(Search!$C$6="All Categories",A358=Search!$C$6),OR(Search!$P$5="",ISNUMBER(SEARCH(" "&amp;Search!$P$5,N358))),OR(Search!$P$6="",ISNUMBER(SEARCH(" "&amp;Search!$P$6,N358))),OR(Search!$P$7="",ISNUMBER(SEARCH(" "&amp;Search!$P$7,N358))),OR(Search!$P$8="",ISNUMBER(SEARCH(" "&amp;Search!$P$8,N358))),OR(Search!$P$9="",ISNUMBER(SEARCH(" "&amp;Search!$P$9,N358))),OR(Search!$P$10="",ISNUMBER(SEARCH(" "&amp;Search!$P$10,N358)))),ROW(),""))</f>
        <v/>
      </c>
      <c r="N358" s="0" t="str">
        <f aca="false">IF(D358="",""," "&amp;SUBSTITUTE(SUBSTITUTE(SUBSTITUTE(SUBSTITUTE(SUBSTITUTE(SUBSTITUTE(SUBSTITUTE(B358&amp;" "&amp;C358&amp;" "&amp;D358&amp;" "&amp;E358&amp;" "&amp;F358&amp;" "&amp;G358&amp;" "&amp;H358&amp;" "&amp;'08 Sealants &amp; Fixings'!R17,"("," "),")"," "),"/"," "),"-"," "),","," "),";"," "),":"," ")&amp;" ")</f>
        <v> SF 013 Other Sealants &amp; Adhesives Primer   cleaner  silicone  1 litre   Dow   Sika ltr sealant silicone </v>
      </c>
    </row>
    <row r="359" customFormat="false" ht="22.35" hidden="false" customHeight="false" outlineLevel="0" collapsed="false">
      <c r="A359" s="56" t="str">
        <f aca="false">IF('08 Sealants &amp; Fixings'!$C$18="","","Sealants, Gaskets, Fixings &amp; Consumables")</f>
        <v>Sealants, Gaskets, Fixings &amp; Consumables</v>
      </c>
      <c r="B359" s="57" t="str">
        <f aca="false">IF('08 Sealants &amp; Fixings'!$C$18="","",'08 Sealants &amp; Fixings'!A18)</f>
        <v>SF-014</v>
      </c>
      <c r="C359" s="56" t="str">
        <f aca="false">IF('08 Sealants &amp; Fixings'!$C$18="","",'08 Sealants &amp; Fixings'!B18)</f>
        <v>Other Sealants &amp; Adhesives</v>
      </c>
      <c r="D359" s="56" t="str">
        <f aca="false">IF('08 Sealants &amp; Fixings'!$C$18="","",'08 Sealants &amp; Fixings'!C18)</f>
        <v>Masking tape</v>
      </c>
      <c r="E359" s="56" t="str">
        <f aca="false">IF('08 Sealants &amp; Fixings'!$C$18="","",'08 Sealants &amp; Fixings'!D18)</f>
        <v>48 mm x 50 m</v>
      </c>
      <c r="F359" s="56" t="str">
        <f aca="false">IF('08 Sealants &amp; Fixings'!$C$18="","",'08 Sealants &amp; Fixings'!E18)</f>
        <v>-</v>
      </c>
      <c r="G359" s="56" t="str">
        <f aca="false">IF('08 Sealants &amp; Fixings'!$C$18="","",'08 Sealants &amp; Fixings'!F18)</f>
        <v>Local</v>
      </c>
      <c r="H359" s="57" t="str">
        <f aca="false">IF('08 Sealants &amp; Fixings'!$C$18="","",'08 Sealants &amp; Fixings'!G18)</f>
        <v>roll</v>
      </c>
      <c r="I359" s="58" t="n">
        <f aca="false">IF('08 Sealants &amp; Fixings'!$C$18="","",'08 Sealants &amp; Fixings'!J18)</f>
        <v>6.6</v>
      </c>
      <c r="J359" s="58" t="n">
        <f aca="false">IF('08 Sealants &amp; Fixings'!$C$18="","",'08 Sealants &amp; Fixings'!K18)</f>
        <v>7.92</v>
      </c>
      <c r="K359" s="58" t="n">
        <f aca="false">IF('08 Sealants &amp; Fixings'!$C$18="","",'08 Sealants &amp; Fixings'!L18)</f>
        <v>8.32</v>
      </c>
      <c r="L359" s="57" t="str">
        <f aca="false">IF('08 Sealants &amp; Fixings'!$C$18="","",'08 Sealants &amp; Fixings'!M18)</f>
        <v>Indicative</v>
      </c>
      <c r="M359" s="59" t="str">
        <f aca="false">IF(D359="","",IF(AND(OR(Search!$C$6="All Categories",A359=Search!$C$6),OR(Search!$P$5="",ISNUMBER(SEARCH(" "&amp;Search!$P$5,N359))),OR(Search!$P$6="",ISNUMBER(SEARCH(" "&amp;Search!$P$6,N359))),OR(Search!$P$7="",ISNUMBER(SEARCH(" "&amp;Search!$P$7,N359))),OR(Search!$P$8="",ISNUMBER(SEARCH(" "&amp;Search!$P$8,N359))),OR(Search!$P$9="",ISNUMBER(SEARCH(" "&amp;Search!$P$9,N359))),OR(Search!$P$10="",ISNUMBER(SEARCH(" "&amp;Search!$P$10,N359)))),ROW(),""))</f>
        <v/>
      </c>
      <c r="N359" s="0" t="str">
        <f aca="false">IF(D359="",""," "&amp;SUBSTITUTE(SUBSTITUTE(SUBSTITUTE(SUBSTITUTE(SUBSTITUTE(SUBSTITUTE(SUBSTITUTE(B359&amp;" "&amp;C359&amp;" "&amp;D359&amp;" "&amp;E359&amp;" "&amp;F359&amp;" "&amp;G359&amp;" "&amp;H359&amp;" "&amp;'08 Sealants &amp; Fixings'!R18,"("," "),")"," "),"/"," "),"-"," "),","," "),";"," "),":"," ")&amp;" ")</f>
        <v> SF 014 Other Sealants &amp; Adhesives Masking tape 48 mm x 50 m   Local roll 48mm silicone </v>
      </c>
    </row>
    <row r="360" customFormat="false" ht="22.35" hidden="false" customHeight="false" outlineLevel="0" collapsed="false">
      <c r="A360" s="56" t="str">
        <f aca="false">IF('08 Sealants &amp; Fixings'!$C$19="","","Sealants, Gaskets, Fixings &amp; Consumables")</f>
        <v>Sealants, Gaskets, Fixings &amp; Consumables</v>
      </c>
      <c r="B360" s="57" t="str">
        <f aca="false">IF('08 Sealants &amp; Fixings'!$C$19="","",'08 Sealants &amp; Fixings'!A19)</f>
        <v>SF-015</v>
      </c>
      <c r="C360" s="56" t="str">
        <f aca="false">IF('08 Sealants &amp; Fixings'!$C$19="","",'08 Sealants &amp; Fixings'!B19)</f>
        <v>Gaskets &amp; Tapes</v>
      </c>
      <c r="D360" s="56" t="str">
        <f aca="false">IF('08 Sealants &amp; Fixings'!$C$19="","",'08 Sealants &amp; Fixings'!C19)</f>
        <v>EPDM glazing gasket (wedge)</v>
      </c>
      <c r="E360" s="56" t="str">
        <f aca="false">IF('08 Sealants &amp; Fixings'!$C$19="","",'08 Sealants &amp; Fixings'!D19)</f>
        <v>Per lm</v>
      </c>
      <c r="F360" s="56" t="str">
        <f aca="false">IF('08 Sealants &amp; Fixings'!$C$19="","",'08 Sealants &amp; Fixings'!E19)</f>
        <v>Black</v>
      </c>
      <c r="G360" s="56" t="str">
        <f aca="false">IF('08 Sealants &amp; Fixings'!$C$19="","",'08 Sealants &amp; Fixings'!F19)</f>
        <v>Local / Imported</v>
      </c>
      <c r="H360" s="57" t="str">
        <f aca="false">IF('08 Sealants &amp; Fixings'!$C$19="","",'08 Sealants &amp; Fixings'!G19)</f>
        <v>lm</v>
      </c>
      <c r="I360" s="58" t="n">
        <f aca="false">IF('08 Sealants &amp; Fixings'!$C$19="","",'08 Sealants &amp; Fixings'!J19)</f>
        <v>2.75</v>
      </c>
      <c r="J360" s="58" t="n">
        <f aca="false">IF('08 Sealants &amp; Fixings'!$C$19="","",'08 Sealants &amp; Fixings'!K19)</f>
        <v>3.3</v>
      </c>
      <c r="K360" s="58" t="n">
        <f aca="false">IF('08 Sealants &amp; Fixings'!$C$19="","",'08 Sealants &amp; Fixings'!L19)</f>
        <v>3.47</v>
      </c>
      <c r="L360" s="57" t="str">
        <f aca="false">IF('08 Sealants &amp; Fixings'!$C$19="","",'08 Sealants &amp; Fixings'!M19)</f>
        <v>Indicative</v>
      </c>
      <c r="M360" s="59" t="str">
        <f aca="false">IF(D360="","",IF(AND(OR(Search!$C$6="All Categories",A360=Search!$C$6),OR(Search!$P$5="",ISNUMBER(SEARCH(" "&amp;Search!$P$5,N360))),OR(Search!$P$6="",ISNUMBER(SEARCH(" "&amp;Search!$P$6,N360))),OR(Search!$P$7="",ISNUMBER(SEARCH(" "&amp;Search!$P$7,N360))),OR(Search!$P$8="",ISNUMBER(SEARCH(" "&amp;Search!$P$8,N360))),OR(Search!$P$9="",ISNUMBER(SEARCH(" "&amp;Search!$P$9,N360))),OR(Search!$P$10="",ISNUMBER(SEARCH(" "&amp;Search!$P$10,N360)))),ROW(),""))</f>
        <v/>
      </c>
      <c r="N360" s="0" t="str">
        <f aca="false">IF(D360="",""," "&amp;SUBSTITUTE(SUBSTITUTE(SUBSTITUTE(SUBSTITUTE(SUBSTITUTE(SUBSTITUTE(SUBSTITUTE(B360&amp;" "&amp;C360&amp;" "&amp;D360&amp;" "&amp;E360&amp;" "&amp;F360&amp;" "&amp;G360&amp;" "&amp;H360&amp;" "&amp;'08 Sealants &amp; Fixings'!R19,"("," "),")"," "),"/"," "),"-"," "),","," "),";"," "),":"," ")&amp;" ")</f>
        <v> SF 015 Gaskets &amp; Tapes EPDM glazing gasket  wedge  Per lm Black Local   Imported lm rubber epdm </v>
      </c>
    </row>
    <row r="361" customFormat="false" ht="22.35" hidden="false" customHeight="false" outlineLevel="0" collapsed="false">
      <c r="A361" s="56" t="str">
        <f aca="false">IF('08 Sealants &amp; Fixings'!$C$20="","","Sealants, Gaskets, Fixings &amp; Consumables")</f>
        <v>Sealants, Gaskets, Fixings &amp; Consumables</v>
      </c>
      <c r="B361" s="57" t="str">
        <f aca="false">IF('08 Sealants &amp; Fixings'!$C$20="","",'08 Sealants &amp; Fixings'!A20)</f>
        <v>SF-016</v>
      </c>
      <c r="C361" s="56" t="str">
        <f aca="false">IF('08 Sealants &amp; Fixings'!$C$20="","",'08 Sealants &amp; Fixings'!B20)</f>
        <v>Gaskets &amp; Tapes</v>
      </c>
      <c r="D361" s="56" t="str">
        <f aca="false">IF('08 Sealants &amp; Fixings'!$C$20="","",'08 Sealants &amp; Fixings'!C20)</f>
        <v>EPDM curtain wall gasket</v>
      </c>
      <c r="E361" s="56" t="str">
        <f aca="false">IF('08 Sealants &amp; Fixings'!$C$20="","",'08 Sealants &amp; Fixings'!D20)</f>
        <v>Per lm</v>
      </c>
      <c r="F361" s="56" t="str">
        <f aca="false">IF('08 Sealants &amp; Fixings'!$C$20="","",'08 Sealants &amp; Fixings'!E20)</f>
        <v>Black</v>
      </c>
      <c r="G361" s="56" t="str">
        <f aca="false">IF('08 Sealants &amp; Fixings'!$C$20="","",'08 Sealants &amp; Fixings'!F20)</f>
        <v>Local / Imported</v>
      </c>
      <c r="H361" s="57" t="str">
        <f aca="false">IF('08 Sealants &amp; Fixings'!$C$20="","",'08 Sealants &amp; Fixings'!G20)</f>
        <v>lm</v>
      </c>
      <c r="I361" s="58" t="n">
        <f aca="false">IF('08 Sealants &amp; Fixings'!$C$20="","",'08 Sealants &amp; Fixings'!J20)</f>
        <v>4.4</v>
      </c>
      <c r="J361" s="58" t="n">
        <f aca="false">IF('08 Sealants &amp; Fixings'!$C$20="","",'08 Sealants &amp; Fixings'!K20)</f>
        <v>5.28</v>
      </c>
      <c r="K361" s="58" t="n">
        <f aca="false">IF('08 Sealants &amp; Fixings'!$C$20="","",'08 Sealants &amp; Fixings'!L20)</f>
        <v>5.54</v>
      </c>
      <c r="L361" s="57" t="str">
        <f aca="false">IF('08 Sealants &amp; Fixings'!$C$20="","",'08 Sealants &amp; Fixings'!M20)</f>
        <v>Indicative</v>
      </c>
      <c r="M361" s="59" t="str">
        <f aca="false">IF(D361="","",IF(AND(OR(Search!$C$6="All Categories",A361=Search!$C$6),OR(Search!$P$5="",ISNUMBER(SEARCH(" "&amp;Search!$P$5,N361))),OR(Search!$P$6="",ISNUMBER(SEARCH(" "&amp;Search!$P$6,N361))),OR(Search!$P$7="",ISNUMBER(SEARCH(" "&amp;Search!$P$7,N361))),OR(Search!$P$8="",ISNUMBER(SEARCH(" "&amp;Search!$P$8,N361))),OR(Search!$P$9="",ISNUMBER(SEARCH(" "&amp;Search!$P$9,N361))),OR(Search!$P$10="",ISNUMBER(SEARCH(" "&amp;Search!$P$10,N361)))),ROW(),""))</f>
        <v/>
      </c>
      <c r="N361" s="0" t="str">
        <f aca="false">IF(D361="",""," "&amp;SUBSTITUTE(SUBSTITUTE(SUBSTITUTE(SUBSTITUTE(SUBSTITUTE(SUBSTITUTE(SUBSTITUTE(B361&amp;" "&amp;C361&amp;" "&amp;D361&amp;" "&amp;E361&amp;" "&amp;F361&amp;" "&amp;G361&amp;" "&amp;H361&amp;" "&amp;'08 Sealants &amp; Fixings'!R20,"("," "),")"," "),"/"," "),"-"," "),","," "),";"," "),":"," ")&amp;" ")</f>
        <v> SF 016 Gaskets &amp; Tapes EPDM curtain wall gasket Per lm Black Local   Imported lm rubber epdm </v>
      </c>
    </row>
    <row r="362" customFormat="false" ht="22.35" hidden="false" customHeight="false" outlineLevel="0" collapsed="false">
      <c r="A362" s="56" t="str">
        <f aca="false">IF('08 Sealants &amp; Fixings'!$C$21="","","Sealants, Gaskets, Fixings &amp; Consumables")</f>
        <v>Sealants, Gaskets, Fixings &amp; Consumables</v>
      </c>
      <c r="B362" s="57" t="str">
        <f aca="false">IF('08 Sealants &amp; Fixings'!$C$21="","",'08 Sealants &amp; Fixings'!A21)</f>
        <v>SF-017</v>
      </c>
      <c r="C362" s="56" t="str">
        <f aca="false">IF('08 Sealants &amp; Fixings'!$C$21="","",'08 Sealants &amp; Fixings'!B21)</f>
        <v>Gaskets &amp; Tapes</v>
      </c>
      <c r="D362" s="56" t="str">
        <f aca="false">IF('08 Sealants &amp; Fixings'!$C$21="","",'08 Sealants &amp; Fixings'!C21)</f>
        <v>Silicone gasket (high performance)</v>
      </c>
      <c r="E362" s="56" t="str">
        <f aca="false">IF('08 Sealants &amp; Fixings'!$C$21="","",'08 Sealants &amp; Fixings'!D21)</f>
        <v>Per lm</v>
      </c>
      <c r="F362" s="56" t="str">
        <f aca="false">IF('08 Sealants &amp; Fixings'!$C$21="","",'08 Sealants &amp; Fixings'!E21)</f>
        <v>Black</v>
      </c>
      <c r="G362" s="56" t="str">
        <f aca="false">IF('08 Sealants &amp; Fixings'!$C$21="","",'08 Sealants &amp; Fixings'!F21)</f>
        <v>Imported</v>
      </c>
      <c r="H362" s="57" t="str">
        <f aca="false">IF('08 Sealants &amp; Fixings'!$C$21="","",'08 Sealants &amp; Fixings'!G21)</f>
        <v>lm</v>
      </c>
      <c r="I362" s="58" t="n">
        <f aca="false">IF('08 Sealants &amp; Fixings'!$C$21="","",'08 Sealants &amp; Fixings'!J21)</f>
        <v>7.7</v>
      </c>
      <c r="J362" s="58" t="n">
        <f aca="false">IF('08 Sealants &amp; Fixings'!$C$21="","",'08 Sealants &amp; Fixings'!K21)</f>
        <v>9.24</v>
      </c>
      <c r="K362" s="58" t="n">
        <f aca="false">IF('08 Sealants &amp; Fixings'!$C$21="","",'08 Sealants &amp; Fixings'!L21)</f>
        <v>9.7</v>
      </c>
      <c r="L362" s="57" t="str">
        <f aca="false">IF('08 Sealants &amp; Fixings'!$C$21="","",'08 Sealants &amp; Fixings'!M21)</f>
        <v>Indicative</v>
      </c>
      <c r="M362" s="59" t="str">
        <f aca="false">IF(D362="","",IF(AND(OR(Search!$C$6="All Categories",A362=Search!$C$6),OR(Search!$P$5="",ISNUMBER(SEARCH(" "&amp;Search!$P$5,N362))),OR(Search!$P$6="",ISNUMBER(SEARCH(" "&amp;Search!$P$6,N362))),OR(Search!$P$7="",ISNUMBER(SEARCH(" "&amp;Search!$P$7,N362))),OR(Search!$P$8="",ISNUMBER(SEARCH(" "&amp;Search!$P$8,N362))),OR(Search!$P$9="",ISNUMBER(SEARCH(" "&amp;Search!$P$9,N362))),OR(Search!$P$10="",ISNUMBER(SEARCH(" "&amp;Search!$P$10,N362)))),ROW(),""))</f>
        <v/>
      </c>
      <c r="N362" s="0" t="str">
        <f aca="false">IF(D362="",""," "&amp;SUBSTITUTE(SUBSTITUTE(SUBSTITUTE(SUBSTITUTE(SUBSTITUTE(SUBSTITUTE(SUBSTITUTE(B362&amp;" "&amp;C362&amp;" "&amp;D362&amp;" "&amp;E362&amp;" "&amp;F362&amp;" "&amp;G362&amp;" "&amp;H362&amp;" "&amp;'08 Sealants &amp; Fixings'!R21,"("," "),")"," "),"/"," "),"-"," "),","," "),";"," "),":"," ")&amp;" ")</f>
        <v> SF 017 Gaskets &amp; Tapes Silicone gasket  high performance  Per lm Black Imported lm sealant rubber epdm </v>
      </c>
    </row>
    <row r="363" customFormat="false" ht="22.35" hidden="false" customHeight="false" outlineLevel="0" collapsed="false">
      <c r="A363" s="56" t="str">
        <f aca="false">IF('08 Sealants &amp; Fixings'!$C$22="","","Sealants, Gaskets, Fixings &amp; Consumables")</f>
        <v>Sealants, Gaskets, Fixings &amp; Consumables</v>
      </c>
      <c r="B363" s="57" t="str">
        <f aca="false">IF('08 Sealants &amp; Fixings'!$C$22="","",'08 Sealants &amp; Fixings'!A22)</f>
        <v>SF-018</v>
      </c>
      <c r="C363" s="56" t="str">
        <f aca="false">IF('08 Sealants &amp; Fixings'!$C$22="","",'08 Sealants &amp; Fixings'!B22)</f>
        <v>Gaskets &amp; Tapes</v>
      </c>
      <c r="D363" s="56" t="str">
        <f aca="false">IF('08 Sealants &amp; Fixings'!$C$22="","",'08 Sealants &amp; Fixings'!C22)</f>
        <v>Backer rod (closed-cell PE)</v>
      </c>
      <c r="E363" s="56" t="str">
        <f aca="false">IF('08 Sealants &amp; Fixings'!$C$22="","",'08 Sealants &amp; Fixings'!D22)</f>
        <v>Dia 10-25 mm</v>
      </c>
      <c r="F363" s="56" t="str">
        <f aca="false">IF('08 Sealants &amp; Fixings'!$C$22="","",'08 Sealants &amp; Fixings'!E22)</f>
        <v>-</v>
      </c>
      <c r="G363" s="56" t="str">
        <f aca="false">IF('08 Sealants &amp; Fixings'!$C$22="","",'08 Sealants &amp; Fixings'!F22)</f>
        <v>Local</v>
      </c>
      <c r="H363" s="57" t="str">
        <f aca="false">IF('08 Sealants &amp; Fixings'!$C$22="","",'08 Sealants &amp; Fixings'!G22)</f>
        <v>lm</v>
      </c>
      <c r="I363" s="58" t="n">
        <f aca="false">IF('08 Sealants &amp; Fixings'!$C$22="","",'08 Sealants &amp; Fixings'!J22)</f>
        <v>0.55</v>
      </c>
      <c r="J363" s="58" t="n">
        <f aca="false">IF('08 Sealants &amp; Fixings'!$C$22="","",'08 Sealants &amp; Fixings'!K22)</f>
        <v>0.66</v>
      </c>
      <c r="K363" s="58" t="n">
        <f aca="false">IF('08 Sealants &amp; Fixings'!$C$22="","",'08 Sealants &amp; Fixings'!L22)</f>
        <v>0.69</v>
      </c>
      <c r="L363" s="57" t="str">
        <f aca="false">IF('08 Sealants &amp; Fixings'!$C$22="","",'08 Sealants &amp; Fixings'!M22)</f>
        <v>Indicative</v>
      </c>
      <c r="M363" s="59" t="str">
        <f aca="false">IF(D363="","",IF(AND(OR(Search!$C$6="All Categories",A363=Search!$C$6),OR(Search!$P$5="",ISNUMBER(SEARCH(" "&amp;Search!$P$5,N363))),OR(Search!$P$6="",ISNUMBER(SEARCH(" "&amp;Search!$P$6,N363))),OR(Search!$P$7="",ISNUMBER(SEARCH(" "&amp;Search!$P$7,N363))),OR(Search!$P$8="",ISNUMBER(SEARCH(" "&amp;Search!$P$8,N363))),OR(Search!$P$9="",ISNUMBER(SEARCH(" "&amp;Search!$P$9,N363))),OR(Search!$P$10="",ISNUMBER(SEARCH(" "&amp;Search!$P$10,N363)))),ROW(),""))</f>
        <v/>
      </c>
      <c r="N363" s="0" t="str">
        <f aca="false">IF(D363="",""," "&amp;SUBSTITUTE(SUBSTITUTE(SUBSTITUTE(SUBSTITUTE(SUBSTITUTE(SUBSTITUTE(SUBSTITUTE(B363&amp;" "&amp;C363&amp;" "&amp;D363&amp;" "&amp;E363&amp;" "&amp;F363&amp;" "&amp;G363&amp;" "&amp;H363&amp;" "&amp;'08 Sealants &amp; Fixings'!R22,"("," "),")"," "),"/"," "),"-"," "),","," "),";"," "),":"," ")&amp;" ")</f>
        <v> SF 018 Gaskets &amp; Tapes Backer rod  closed cell PE  Dia 10 25 mm   Local lm 25mm rubber epdm </v>
      </c>
    </row>
    <row r="364" customFormat="false" ht="22.35" hidden="false" customHeight="false" outlineLevel="0" collapsed="false">
      <c r="A364" s="56" t="str">
        <f aca="false">IF('08 Sealants &amp; Fixings'!$C$23="","","Sealants, Gaskets, Fixings &amp; Consumables")</f>
        <v>Sealants, Gaskets, Fixings &amp; Consumables</v>
      </c>
      <c r="B364" s="57" t="str">
        <f aca="false">IF('08 Sealants &amp; Fixings'!$C$23="","",'08 Sealants &amp; Fixings'!A23)</f>
        <v>SF-019</v>
      </c>
      <c r="C364" s="56" t="str">
        <f aca="false">IF('08 Sealants &amp; Fixings'!$C$23="","",'08 Sealants &amp; Fixings'!B23)</f>
        <v>Gaskets &amp; Tapes</v>
      </c>
      <c r="D364" s="56" t="str">
        <f aca="false">IF('08 Sealants &amp; Fixings'!$C$23="","",'08 Sealants &amp; Fixings'!C23)</f>
        <v>Double-sided structural glazing tape</v>
      </c>
      <c r="E364" s="56" t="str">
        <f aca="false">IF('08 Sealants &amp; Fixings'!$C$23="","",'08 Sealants &amp; Fixings'!D23)</f>
        <v>Per lm</v>
      </c>
      <c r="F364" s="56" t="str">
        <f aca="false">IF('08 Sealants &amp; Fixings'!$C$23="","",'08 Sealants &amp; Fixings'!E23)</f>
        <v>-</v>
      </c>
      <c r="G364" s="56" t="str">
        <f aca="false">IF('08 Sealants &amp; Fixings'!$C$23="","",'08 Sealants &amp; Fixings'!F23)</f>
        <v>3M VHB / Norton / Equiv.</v>
      </c>
      <c r="H364" s="57" t="str">
        <f aca="false">IF('08 Sealants &amp; Fixings'!$C$23="","",'08 Sealants &amp; Fixings'!G23)</f>
        <v>lm</v>
      </c>
      <c r="I364" s="58" t="n">
        <f aca="false">IF('08 Sealants &amp; Fixings'!$C$23="","",'08 Sealants &amp; Fixings'!J23)</f>
        <v>6.6</v>
      </c>
      <c r="J364" s="58" t="n">
        <f aca="false">IF('08 Sealants &amp; Fixings'!$C$23="","",'08 Sealants &amp; Fixings'!K23)</f>
        <v>7.92</v>
      </c>
      <c r="K364" s="58" t="n">
        <f aca="false">IF('08 Sealants &amp; Fixings'!$C$23="","",'08 Sealants &amp; Fixings'!L23)</f>
        <v>8.32</v>
      </c>
      <c r="L364" s="57" t="str">
        <f aca="false">IF('08 Sealants &amp; Fixings'!$C$23="","",'08 Sealants &amp; Fixings'!M23)</f>
        <v>Indicative</v>
      </c>
      <c r="M364" s="59" t="str">
        <f aca="false">IF(D364="","",IF(AND(OR(Search!$C$6="All Categories",A364=Search!$C$6),OR(Search!$P$5="",ISNUMBER(SEARCH(" "&amp;Search!$P$5,N364))),OR(Search!$P$6="",ISNUMBER(SEARCH(" "&amp;Search!$P$6,N364))),OR(Search!$P$7="",ISNUMBER(SEARCH(" "&amp;Search!$P$7,N364))),OR(Search!$P$8="",ISNUMBER(SEARCH(" "&amp;Search!$P$8,N364))),OR(Search!$P$9="",ISNUMBER(SEARCH(" "&amp;Search!$P$9,N364))),OR(Search!$P$10="",ISNUMBER(SEARCH(" "&amp;Search!$P$10,N364)))),ROW(),""))</f>
        <v/>
      </c>
      <c r="N364" s="0" t="str">
        <f aca="false">IF(D364="",""," "&amp;SUBSTITUTE(SUBSTITUTE(SUBSTITUTE(SUBSTITUTE(SUBSTITUTE(SUBSTITUTE(SUBSTITUTE(B364&amp;" "&amp;C364&amp;" "&amp;D364&amp;" "&amp;E364&amp;" "&amp;F364&amp;" "&amp;G364&amp;" "&amp;H364&amp;" "&amp;'08 Sealants &amp; Fixings'!R23,"("," "),")"," "),"/"," "),"-"," "),","," "),";"," "),":"," ")&amp;" ")</f>
        <v> SF 019 Gaskets &amp; Tapes Double sided structural glazing tape Per lm   3M VHB   Norton   Equiv. lm rubber epdm </v>
      </c>
    </row>
    <row r="365" customFormat="false" ht="22.35" hidden="false" customHeight="false" outlineLevel="0" collapsed="false">
      <c r="A365" s="56" t="str">
        <f aca="false">IF('08 Sealants &amp; Fixings'!$C$24="","","Sealants, Gaskets, Fixings &amp; Consumables")</f>
        <v>Sealants, Gaskets, Fixings &amp; Consumables</v>
      </c>
      <c r="B365" s="57" t="str">
        <f aca="false">IF('08 Sealants &amp; Fixings'!$C$24="","",'08 Sealants &amp; Fixings'!A24)</f>
        <v>SF-020</v>
      </c>
      <c r="C365" s="56" t="str">
        <f aca="false">IF('08 Sealants &amp; Fixings'!$C$24="","",'08 Sealants &amp; Fixings'!B24)</f>
        <v>Gaskets &amp; Tapes</v>
      </c>
      <c r="D365" s="56" t="str">
        <f aca="false">IF('08 Sealants &amp; Fixings'!$C$24="","",'08 Sealants &amp; Fixings'!C24)</f>
        <v>Foam spacer tape (SSG)</v>
      </c>
      <c r="E365" s="56" t="str">
        <f aca="false">IF('08 Sealants &amp; Fixings'!$C$24="","",'08 Sealants &amp; Fixings'!D24)</f>
        <v>Per lm</v>
      </c>
      <c r="F365" s="56" t="str">
        <f aca="false">IF('08 Sealants &amp; Fixings'!$C$24="","",'08 Sealants &amp; Fixings'!E24)</f>
        <v>-</v>
      </c>
      <c r="G365" s="56" t="str">
        <f aca="false">IF('08 Sealants &amp; Fixings'!$C$24="","",'08 Sealants &amp; Fixings'!F24)</f>
        <v>Norton / Equiv.</v>
      </c>
      <c r="H365" s="57" t="str">
        <f aca="false">IF('08 Sealants &amp; Fixings'!$C$24="","",'08 Sealants &amp; Fixings'!G24)</f>
        <v>lm</v>
      </c>
      <c r="I365" s="58" t="n">
        <f aca="false">IF('08 Sealants &amp; Fixings'!$C$24="","",'08 Sealants &amp; Fixings'!J24)</f>
        <v>2.2</v>
      </c>
      <c r="J365" s="58" t="n">
        <f aca="false">IF('08 Sealants &amp; Fixings'!$C$24="","",'08 Sealants &amp; Fixings'!K24)</f>
        <v>2.64</v>
      </c>
      <c r="K365" s="58" t="n">
        <f aca="false">IF('08 Sealants &amp; Fixings'!$C$24="","",'08 Sealants &amp; Fixings'!L24)</f>
        <v>2.77</v>
      </c>
      <c r="L365" s="57" t="str">
        <f aca="false">IF('08 Sealants &amp; Fixings'!$C$24="","",'08 Sealants &amp; Fixings'!M24)</f>
        <v>Indicative</v>
      </c>
      <c r="M365" s="59" t="str">
        <f aca="false">IF(D365="","",IF(AND(OR(Search!$C$6="All Categories",A365=Search!$C$6),OR(Search!$P$5="",ISNUMBER(SEARCH(" "&amp;Search!$P$5,N365))),OR(Search!$P$6="",ISNUMBER(SEARCH(" "&amp;Search!$P$6,N365))),OR(Search!$P$7="",ISNUMBER(SEARCH(" "&amp;Search!$P$7,N365))),OR(Search!$P$8="",ISNUMBER(SEARCH(" "&amp;Search!$P$8,N365))),OR(Search!$P$9="",ISNUMBER(SEARCH(" "&amp;Search!$P$9,N365))),OR(Search!$P$10="",ISNUMBER(SEARCH(" "&amp;Search!$P$10,N365)))),ROW(),""))</f>
        <v/>
      </c>
      <c r="N365" s="0" t="str">
        <f aca="false">IF(D365="",""," "&amp;SUBSTITUTE(SUBSTITUTE(SUBSTITUTE(SUBSTITUTE(SUBSTITUTE(SUBSTITUTE(SUBSTITUTE(B365&amp;" "&amp;C365&amp;" "&amp;D365&amp;" "&amp;E365&amp;" "&amp;F365&amp;" "&amp;G365&amp;" "&amp;H365&amp;" "&amp;'08 Sealants &amp; Fixings'!R24,"("," "),")"," "),"/"," "),"-"," "),","," "),";"," "),":"," ")&amp;" ")</f>
        <v> SF 020 Gaskets &amp; Tapes Foam spacer tape  SSG  Per lm   Norton   Equiv. lm rubber epdm </v>
      </c>
    </row>
    <row r="366" customFormat="false" ht="22.35" hidden="false" customHeight="false" outlineLevel="0" collapsed="false">
      <c r="A366" s="56" t="str">
        <f aca="false">IF('08 Sealants &amp; Fixings'!$C$25="","","Sealants, Gaskets, Fixings &amp; Consumables")</f>
        <v>Sealants, Gaskets, Fixings &amp; Consumables</v>
      </c>
      <c r="B366" s="57" t="str">
        <f aca="false">IF('08 Sealants &amp; Fixings'!$C$25="","",'08 Sealants &amp; Fixings'!A25)</f>
        <v>SF-021</v>
      </c>
      <c r="C366" s="56" t="str">
        <f aca="false">IF('08 Sealants &amp; Fixings'!$C$25="","",'08 Sealants &amp; Fixings'!B25)</f>
        <v>Gaskets &amp; Tapes</v>
      </c>
      <c r="D366" s="56" t="str">
        <f aca="false">IF('08 Sealants &amp; Fixings'!$C$25="","",'08 Sealants &amp; Fixings'!C25)</f>
        <v>Butyl / EPDM waterproofing membrane</v>
      </c>
      <c r="E366" s="56" t="str">
        <f aca="false">IF('08 Sealants &amp; Fixings'!$C$25="","",'08 Sealants &amp; Fixings'!D25)</f>
        <v>150-300 mm wide</v>
      </c>
      <c r="F366" s="56" t="str">
        <f aca="false">IF('08 Sealants &amp; Fixings'!$C$25="","",'08 Sealants &amp; Fixings'!E25)</f>
        <v>-</v>
      </c>
      <c r="G366" s="56" t="str">
        <f aca="false">IF('08 Sealants &amp; Fixings'!$C$25="","",'08 Sealants &amp; Fixings'!F25)</f>
        <v>Local / Imported</v>
      </c>
      <c r="H366" s="57" t="str">
        <f aca="false">IF('08 Sealants &amp; Fixings'!$C$25="","",'08 Sealants &amp; Fixings'!G25)</f>
        <v>lm</v>
      </c>
      <c r="I366" s="58" t="n">
        <f aca="false">IF('08 Sealants &amp; Fixings'!$C$25="","",'08 Sealants &amp; Fixings'!J25)</f>
        <v>13.2</v>
      </c>
      <c r="J366" s="58" t="n">
        <f aca="false">IF('08 Sealants &amp; Fixings'!$C$25="","",'08 Sealants &amp; Fixings'!K25)</f>
        <v>15.84</v>
      </c>
      <c r="K366" s="58" t="n">
        <f aca="false">IF('08 Sealants &amp; Fixings'!$C$25="","",'08 Sealants &amp; Fixings'!L25)</f>
        <v>16.63</v>
      </c>
      <c r="L366" s="57" t="str">
        <f aca="false">IF('08 Sealants &amp; Fixings'!$C$25="","",'08 Sealants &amp; Fixings'!M25)</f>
        <v>Indicative</v>
      </c>
      <c r="M366" s="59" t="str">
        <f aca="false">IF(D366="","",IF(AND(OR(Search!$C$6="All Categories",A366=Search!$C$6),OR(Search!$P$5="",ISNUMBER(SEARCH(" "&amp;Search!$P$5,N366))),OR(Search!$P$6="",ISNUMBER(SEARCH(" "&amp;Search!$P$6,N366))),OR(Search!$P$7="",ISNUMBER(SEARCH(" "&amp;Search!$P$7,N366))),OR(Search!$P$8="",ISNUMBER(SEARCH(" "&amp;Search!$P$8,N366))),OR(Search!$P$9="",ISNUMBER(SEARCH(" "&amp;Search!$P$9,N366))),OR(Search!$P$10="",ISNUMBER(SEARCH(" "&amp;Search!$P$10,N366)))),ROW(),""))</f>
        <v/>
      </c>
      <c r="N366" s="0" t="str">
        <f aca="false">IF(D366="",""," "&amp;SUBSTITUTE(SUBSTITUTE(SUBSTITUTE(SUBSTITUTE(SUBSTITUTE(SUBSTITUTE(SUBSTITUTE(B366&amp;" "&amp;C366&amp;" "&amp;D366&amp;" "&amp;E366&amp;" "&amp;F366&amp;" "&amp;G366&amp;" "&amp;H366&amp;" "&amp;'08 Sealants &amp; Fixings'!R25,"("," "),")"," "),"/"," "),"-"," "),","," "),";"," "),":"," ")&amp;" ")</f>
        <v> SF 021 Gaskets &amp; Tapes Butyl   EPDM waterproofing membrane 150 300 mm wide   Local   Imported lm 300mm rubber epdm </v>
      </c>
    </row>
    <row r="367" customFormat="false" ht="22.35" hidden="false" customHeight="false" outlineLevel="0" collapsed="false">
      <c r="A367" s="56" t="str">
        <f aca="false">IF('08 Sealants &amp; Fixings'!$C$26="","","Sealants, Gaskets, Fixings &amp; Consumables")</f>
        <v>Sealants, Gaskets, Fixings &amp; Consumables</v>
      </c>
      <c r="B367" s="57" t="str">
        <f aca="false">IF('08 Sealants &amp; Fixings'!$C$26="","",'08 Sealants &amp; Fixings'!A26)</f>
        <v>SF-022</v>
      </c>
      <c r="C367" s="56" t="str">
        <f aca="false">IF('08 Sealants &amp; Fixings'!$C$26="","",'08 Sealants &amp; Fixings'!B26)</f>
        <v>Gaskets &amp; Tapes</v>
      </c>
      <c r="D367" s="56" t="str">
        <f aca="false">IF('08 Sealants &amp; Fixings'!$C$26="","",'08 Sealants &amp; Fixings'!C26)</f>
        <v>Setting block (EPDM / silicone)</v>
      </c>
      <c r="E367" s="56" t="str">
        <f aca="false">IF('08 Sealants &amp; Fixings'!$C$26="","",'08 Sealants &amp; Fixings'!D26)</f>
        <v>100 x 25 mm</v>
      </c>
      <c r="F367" s="56" t="str">
        <f aca="false">IF('08 Sealants &amp; Fixings'!$C$26="","",'08 Sealants &amp; Fixings'!E26)</f>
        <v>-</v>
      </c>
      <c r="G367" s="56" t="str">
        <f aca="false">IF('08 Sealants &amp; Fixings'!$C$26="","",'08 Sealants &amp; Fixings'!F26)</f>
        <v>Local</v>
      </c>
      <c r="H367" s="57" t="str">
        <f aca="false">IF('08 Sealants &amp; Fixings'!$C$26="","",'08 Sealants &amp; Fixings'!G26)</f>
        <v>nos</v>
      </c>
      <c r="I367" s="58" t="n">
        <f aca="false">IF('08 Sealants &amp; Fixings'!$C$26="","",'08 Sealants &amp; Fixings'!J26)</f>
        <v>1.1</v>
      </c>
      <c r="J367" s="58" t="n">
        <f aca="false">IF('08 Sealants &amp; Fixings'!$C$26="","",'08 Sealants &amp; Fixings'!K26)</f>
        <v>1.32</v>
      </c>
      <c r="K367" s="58" t="n">
        <f aca="false">IF('08 Sealants &amp; Fixings'!$C$26="","",'08 Sealants &amp; Fixings'!L26)</f>
        <v>1.39</v>
      </c>
      <c r="L367" s="57" t="str">
        <f aca="false">IF('08 Sealants &amp; Fixings'!$C$26="","",'08 Sealants &amp; Fixings'!M26)</f>
        <v>Indicative</v>
      </c>
      <c r="M367" s="59" t="str">
        <f aca="false">IF(D367="","",IF(AND(OR(Search!$C$6="All Categories",A367=Search!$C$6),OR(Search!$P$5="",ISNUMBER(SEARCH(" "&amp;Search!$P$5,N367))),OR(Search!$P$6="",ISNUMBER(SEARCH(" "&amp;Search!$P$6,N367))),OR(Search!$P$7="",ISNUMBER(SEARCH(" "&amp;Search!$P$7,N367))),OR(Search!$P$8="",ISNUMBER(SEARCH(" "&amp;Search!$P$8,N367))),OR(Search!$P$9="",ISNUMBER(SEARCH(" "&amp;Search!$P$9,N367))),OR(Search!$P$10="",ISNUMBER(SEARCH(" "&amp;Search!$P$10,N367)))),ROW(),""))</f>
        <v/>
      </c>
      <c r="N367" s="0" t="str">
        <f aca="false">IF(D367="",""," "&amp;SUBSTITUTE(SUBSTITUTE(SUBSTITUTE(SUBSTITUTE(SUBSTITUTE(SUBSTITUTE(SUBSTITUTE(B367&amp;" "&amp;C367&amp;" "&amp;D367&amp;" "&amp;E367&amp;" "&amp;F367&amp;" "&amp;G367&amp;" "&amp;H367&amp;" "&amp;'08 Sealants &amp; Fixings'!R26,"("," "),")"," "),"/"," "),"-"," "),","," "),";"," "),":"," ")&amp;" ")</f>
        <v> SF 022 Gaskets &amp; Tapes Setting block  EPDM   silicone  100 x 25 mm   Local nos 100x25 25mm sealant rubber epdm </v>
      </c>
    </row>
    <row r="368" customFormat="false" ht="22.35" hidden="false" customHeight="false" outlineLevel="0" collapsed="false">
      <c r="A368" s="56" t="str">
        <f aca="false">IF('08 Sealants &amp; Fixings'!$C$27="","","Sealants, Gaskets, Fixings &amp; Consumables")</f>
        <v>Sealants, Gaskets, Fixings &amp; Consumables</v>
      </c>
      <c r="B368" s="57" t="str">
        <f aca="false">IF('08 Sealants &amp; Fixings'!$C$27="","",'08 Sealants &amp; Fixings'!A27)</f>
        <v>SF-023</v>
      </c>
      <c r="C368" s="56" t="str">
        <f aca="false">IF('08 Sealants &amp; Fixings'!$C$27="","",'08 Sealants &amp; Fixings'!B27)</f>
        <v>Gaskets &amp; Tapes</v>
      </c>
      <c r="D368" s="56" t="str">
        <f aca="false">IF('08 Sealants &amp; Fixings'!$C$27="","",'08 Sealants &amp; Fixings'!C27)</f>
        <v>Glazing shims / packers (assorted)</v>
      </c>
      <c r="E368" s="56" t="str">
        <f aca="false">IF('08 Sealants &amp; Fixings'!$C$27="","",'08 Sealants &amp; Fixings'!D27)</f>
        <v>Packet</v>
      </c>
      <c r="F368" s="56" t="str">
        <f aca="false">IF('08 Sealants &amp; Fixings'!$C$27="","",'08 Sealants &amp; Fixings'!E27)</f>
        <v>-</v>
      </c>
      <c r="G368" s="56" t="str">
        <f aca="false">IF('08 Sealants &amp; Fixings'!$C$27="","",'08 Sealants &amp; Fixings'!F27)</f>
        <v>Local</v>
      </c>
      <c r="H368" s="57" t="str">
        <f aca="false">IF('08 Sealants &amp; Fixings'!$C$27="","",'08 Sealants &amp; Fixings'!G27)</f>
        <v>pkt</v>
      </c>
      <c r="I368" s="58" t="n">
        <f aca="false">IF('08 Sealants &amp; Fixings'!$C$27="","",'08 Sealants &amp; Fixings'!J27)</f>
        <v>16.5</v>
      </c>
      <c r="J368" s="58" t="n">
        <f aca="false">IF('08 Sealants &amp; Fixings'!$C$27="","",'08 Sealants &amp; Fixings'!K27)</f>
        <v>19.8</v>
      </c>
      <c r="K368" s="58" t="n">
        <f aca="false">IF('08 Sealants &amp; Fixings'!$C$27="","",'08 Sealants &amp; Fixings'!L27)</f>
        <v>20.79</v>
      </c>
      <c r="L368" s="57" t="str">
        <f aca="false">IF('08 Sealants &amp; Fixings'!$C$27="","",'08 Sealants &amp; Fixings'!M27)</f>
        <v>Indicative</v>
      </c>
      <c r="M368" s="59" t="str">
        <f aca="false">IF(D368="","",IF(AND(OR(Search!$C$6="All Categories",A368=Search!$C$6),OR(Search!$P$5="",ISNUMBER(SEARCH(" "&amp;Search!$P$5,N368))),OR(Search!$P$6="",ISNUMBER(SEARCH(" "&amp;Search!$P$6,N368))),OR(Search!$P$7="",ISNUMBER(SEARCH(" "&amp;Search!$P$7,N368))),OR(Search!$P$8="",ISNUMBER(SEARCH(" "&amp;Search!$P$8,N368))),OR(Search!$P$9="",ISNUMBER(SEARCH(" "&amp;Search!$P$9,N368))),OR(Search!$P$10="",ISNUMBER(SEARCH(" "&amp;Search!$P$10,N368)))),ROW(),""))</f>
        <v/>
      </c>
      <c r="N368" s="0" t="str">
        <f aca="false">IF(D368="",""," "&amp;SUBSTITUTE(SUBSTITUTE(SUBSTITUTE(SUBSTITUTE(SUBSTITUTE(SUBSTITUTE(SUBSTITUTE(B368&amp;" "&amp;C368&amp;" "&amp;D368&amp;" "&amp;E368&amp;" "&amp;F368&amp;" "&amp;G368&amp;" "&amp;H368&amp;" "&amp;'08 Sealants &amp; Fixings'!R27,"("," "),")"," "),"/"," "),"-"," "),","," "),";"," "),":"," ")&amp;" ")</f>
        <v> SF 023 Gaskets &amp; Tapes Glazing shims   packers  assorted  Packet   Local pkt rubber epdm mild steel </v>
      </c>
    </row>
    <row r="369" customFormat="false" ht="22.35" hidden="false" customHeight="false" outlineLevel="0" collapsed="false">
      <c r="A369" s="56" t="str">
        <f aca="false">IF('08 Sealants &amp; Fixings'!$C$28="","","Sealants, Gaskets, Fixings &amp; Consumables")</f>
        <v>Sealants, Gaskets, Fixings &amp; Consumables</v>
      </c>
      <c r="B369" s="57" t="str">
        <f aca="false">IF('08 Sealants &amp; Fixings'!$C$28="","",'08 Sealants &amp; Fixings'!A28)</f>
        <v>SF-024</v>
      </c>
      <c r="C369" s="56" t="str">
        <f aca="false">IF('08 Sealants &amp; Fixings'!$C$28="","",'08 Sealants &amp; Fixings'!B28)</f>
        <v>Anchors &amp; Fasteners</v>
      </c>
      <c r="D369" s="56" t="str">
        <f aca="false">IF('08 Sealants &amp; Fixings'!$C$28="","",'08 Sealants &amp; Fixings'!C28)</f>
        <v>Mechanical anchor bolt (wedge)</v>
      </c>
      <c r="E369" s="56" t="str">
        <f aca="false">IF('08 Sealants &amp; Fixings'!$C$28="","",'08 Sealants &amp; Fixings'!D28)</f>
        <v>M10 x 100</v>
      </c>
      <c r="F369" s="56" t="str">
        <f aca="false">IF('08 Sealants &amp; Fixings'!$C$28="","",'08 Sealants &amp; Fixings'!E28)</f>
        <v>Zinc plated</v>
      </c>
      <c r="G369" s="56" t="str">
        <f aca="false">IF('08 Sealants &amp; Fixings'!$C$28="","",'08 Sealants &amp; Fixings'!F28)</f>
        <v>Hilti HST3 / Fischer / Equiv.</v>
      </c>
      <c r="H369" s="57" t="str">
        <f aca="false">IF('08 Sealants &amp; Fixings'!$C$28="","",'08 Sealants &amp; Fixings'!G28)</f>
        <v>nos</v>
      </c>
      <c r="I369" s="58" t="n">
        <f aca="false">IF('08 Sealants &amp; Fixings'!$C$28="","",'08 Sealants &amp; Fixings'!J28)</f>
        <v>8.8</v>
      </c>
      <c r="J369" s="58" t="n">
        <f aca="false">IF('08 Sealants &amp; Fixings'!$C$28="","",'08 Sealants &amp; Fixings'!K28)</f>
        <v>10.56</v>
      </c>
      <c r="K369" s="58" t="n">
        <f aca="false">IF('08 Sealants &amp; Fixings'!$C$28="","",'08 Sealants &amp; Fixings'!L28)</f>
        <v>11.09</v>
      </c>
      <c r="L369" s="57" t="str">
        <f aca="false">IF('08 Sealants &amp; Fixings'!$C$28="","",'08 Sealants &amp; Fixings'!M28)</f>
        <v>Indicative</v>
      </c>
      <c r="M369" s="59" t="str">
        <f aca="false">IF(D369="","",IF(AND(OR(Search!$C$6="All Categories",A369=Search!$C$6),OR(Search!$P$5="",ISNUMBER(SEARCH(" "&amp;Search!$P$5,N369))),OR(Search!$P$6="",ISNUMBER(SEARCH(" "&amp;Search!$P$6,N369))),OR(Search!$P$7="",ISNUMBER(SEARCH(" "&amp;Search!$P$7,N369))),OR(Search!$P$8="",ISNUMBER(SEARCH(" "&amp;Search!$P$8,N369))),OR(Search!$P$9="",ISNUMBER(SEARCH(" "&amp;Search!$P$9,N369))),OR(Search!$P$10="",ISNUMBER(SEARCH(" "&amp;Search!$P$10,N369)))),ROW(),""))</f>
        <v/>
      </c>
      <c r="N369" s="0" t="str">
        <f aca="false">IF(D369="",""," "&amp;SUBSTITUTE(SUBSTITUTE(SUBSTITUTE(SUBSTITUTE(SUBSTITUTE(SUBSTITUTE(SUBSTITUTE(B369&amp;" "&amp;C369&amp;" "&amp;D369&amp;" "&amp;E369&amp;" "&amp;F369&amp;" "&amp;G369&amp;" "&amp;H369&amp;" "&amp;'08 Sealants &amp; Fixings'!R28,"("," "),")"," "),"/"," "),"-"," "),","," "),";"," "),":"," ")&amp;" ")</f>
        <v> SF 024 Anchors &amp; Fasteners Mechanical anchor bolt  wedge  M10 x 100 Zinc plated Hilti HST3   Fischer   Equiv. nos 10x100 fixing fastener bolt </v>
      </c>
    </row>
    <row r="370" customFormat="false" ht="22.35" hidden="false" customHeight="false" outlineLevel="0" collapsed="false">
      <c r="A370" s="56" t="str">
        <f aca="false">IF('08 Sealants &amp; Fixings'!$C$29="","","Sealants, Gaskets, Fixings &amp; Consumables")</f>
        <v>Sealants, Gaskets, Fixings &amp; Consumables</v>
      </c>
      <c r="B370" s="57" t="str">
        <f aca="false">IF('08 Sealants &amp; Fixings'!$C$29="","",'08 Sealants &amp; Fixings'!A29)</f>
        <v>SF-025</v>
      </c>
      <c r="C370" s="56" t="str">
        <f aca="false">IF('08 Sealants &amp; Fixings'!$C$29="","",'08 Sealants &amp; Fixings'!B29)</f>
        <v>Anchors &amp; Fasteners</v>
      </c>
      <c r="D370" s="56" t="str">
        <f aca="false">IF('08 Sealants &amp; Fixings'!$C$29="","",'08 Sealants &amp; Fixings'!C29)</f>
        <v>Mechanical anchor bolt (wedge)</v>
      </c>
      <c r="E370" s="56" t="str">
        <f aca="false">IF('08 Sealants &amp; Fixings'!$C$29="","",'08 Sealants &amp; Fixings'!D29)</f>
        <v>M12 x 120</v>
      </c>
      <c r="F370" s="56" t="str">
        <f aca="false">IF('08 Sealants &amp; Fixings'!$C$29="","",'08 Sealants &amp; Fixings'!E29)</f>
        <v>Zinc plated</v>
      </c>
      <c r="G370" s="56" t="str">
        <f aca="false">IF('08 Sealants &amp; Fixings'!$C$29="","",'08 Sealants &amp; Fixings'!F29)</f>
        <v>Hilti HST3 / Fischer / Equiv.</v>
      </c>
      <c r="H370" s="57" t="str">
        <f aca="false">IF('08 Sealants &amp; Fixings'!$C$29="","",'08 Sealants &amp; Fixings'!G29)</f>
        <v>nos</v>
      </c>
      <c r="I370" s="58" t="n">
        <f aca="false">IF('08 Sealants &amp; Fixings'!$C$29="","",'08 Sealants &amp; Fixings'!J29)</f>
        <v>12.1</v>
      </c>
      <c r="J370" s="58" t="n">
        <f aca="false">IF('08 Sealants &amp; Fixings'!$C$29="","",'08 Sealants &amp; Fixings'!K29)</f>
        <v>14.52</v>
      </c>
      <c r="K370" s="58" t="n">
        <f aca="false">IF('08 Sealants &amp; Fixings'!$C$29="","",'08 Sealants &amp; Fixings'!L29)</f>
        <v>15.25</v>
      </c>
      <c r="L370" s="57" t="str">
        <f aca="false">IF('08 Sealants &amp; Fixings'!$C$29="","",'08 Sealants &amp; Fixings'!M29)</f>
        <v>Indicative</v>
      </c>
      <c r="M370" s="59" t="str">
        <f aca="false">IF(D370="","",IF(AND(OR(Search!$C$6="All Categories",A370=Search!$C$6),OR(Search!$P$5="",ISNUMBER(SEARCH(" "&amp;Search!$P$5,N370))),OR(Search!$P$6="",ISNUMBER(SEARCH(" "&amp;Search!$P$6,N370))),OR(Search!$P$7="",ISNUMBER(SEARCH(" "&amp;Search!$P$7,N370))),OR(Search!$P$8="",ISNUMBER(SEARCH(" "&amp;Search!$P$8,N370))),OR(Search!$P$9="",ISNUMBER(SEARCH(" "&amp;Search!$P$9,N370))),OR(Search!$P$10="",ISNUMBER(SEARCH(" "&amp;Search!$P$10,N370)))),ROW(),""))</f>
        <v/>
      </c>
      <c r="N370" s="0" t="str">
        <f aca="false">IF(D370="",""," "&amp;SUBSTITUTE(SUBSTITUTE(SUBSTITUTE(SUBSTITUTE(SUBSTITUTE(SUBSTITUTE(SUBSTITUTE(B370&amp;" "&amp;C370&amp;" "&amp;D370&amp;" "&amp;E370&amp;" "&amp;F370&amp;" "&amp;G370&amp;" "&amp;H370&amp;" "&amp;'08 Sealants &amp; Fixings'!R29,"("," "),")"," "),"/"," "),"-"," "),","," "),";"," "),":"," ")&amp;" ")</f>
        <v> SF 025 Anchors &amp; Fasteners Mechanical anchor bolt  wedge  M12 x 120 Zinc plated Hilti HST3   Fischer   Equiv. nos 12x120 fixing fastener bolt </v>
      </c>
    </row>
    <row r="371" customFormat="false" ht="22.35" hidden="false" customHeight="false" outlineLevel="0" collapsed="false">
      <c r="A371" s="56" t="str">
        <f aca="false">IF('08 Sealants &amp; Fixings'!$C$30="","","Sealants, Gaskets, Fixings &amp; Consumables")</f>
        <v>Sealants, Gaskets, Fixings &amp; Consumables</v>
      </c>
      <c r="B371" s="57" t="str">
        <f aca="false">IF('08 Sealants &amp; Fixings'!$C$30="","",'08 Sealants &amp; Fixings'!A30)</f>
        <v>SF-026</v>
      </c>
      <c r="C371" s="56" t="str">
        <f aca="false">IF('08 Sealants &amp; Fixings'!$C$30="","",'08 Sealants &amp; Fixings'!B30)</f>
        <v>Anchors &amp; Fasteners</v>
      </c>
      <c r="D371" s="56" t="str">
        <f aca="false">IF('08 Sealants &amp; Fixings'!$C$30="","",'08 Sealants &amp; Fixings'!C30)</f>
        <v>SS anchor bolt</v>
      </c>
      <c r="E371" s="56" t="str">
        <f aca="false">IF('08 Sealants &amp; Fixings'!$C$30="","",'08 Sealants &amp; Fixings'!D30)</f>
        <v>M10 x 100</v>
      </c>
      <c r="F371" s="56" t="str">
        <f aca="false">IF('08 Sealants &amp; Fixings'!$C$30="","",'08 Sealants &amp; Fixings'!E30)</f>
        <v>SS 316</v>
      </c>
      <c r="G371" s="56" t="str">
        <f aca="false">IF('08 Sealants &amp; Fixings'!$C$30="","",'08 Sealants &amp; Fixings'!F30)</f>
        <v>Hilti / Fischer / Equiv.</v>
      </c>
      <c r="H371" s="57" t="str">
        <f aca="false">IF('08 Sealants &amp; Fixings'!$C$30="","",'08 Sealants &amp; Fixings'!G30)</f>
        <v>nos</v>
      </c>
      <c r="I371" s="58" t="n">
        <f aca="false">IF('08 Sealants &amp; Fixings'!$C$30="","",'08 Sealants &amp; Fixings'!J30)</f>
        <v>19.8</v>
      </c>
      <c r="J371" s="58" t="n">
        <f aca="false">IF('08 Sealants &amp; Fixings'!$C$30="","",'08 Sealants &amp; Fixings'!K30)</f>
        <v>23.76</v>
      </c>
      <c r="K371" s="58" t="n">
        <f aca="false">IF('08 Sealants &amp; Fixings'!$C$30="","",'08 Sealants &amp; Fixings'!L30)</f>
        <v>24.95</v>
      </c>
      <c r="L371" s="57" t="str">
        <f aca="false">IF('08 Sealants &amp; Fixings'!$C$30="","",'08 Sealants &amp; Fixings'!M30)</f>
        <v>Indicative</v>
      </c>
      <c r="M371" s="59" t="str">
        <f aca="false">IF(D371="","",IF(AND(OR(Search!$C$6="All Categories",A371=Search!$C$6),OR(Search!$P$5="",ISNUMBER(SEARCH(" "&amp;Search!$P$5,N371))),OR(Search!$P$6="",ISNUMBER(SEARCH(" "&amp;Search!$P$6,N371))),OR(Search!$P$7="",ISNUMBER(SEARCH(" "&amp;Search!$P$7,N371))),OR(Search!$P$8="",ISNUMBER(SEARCH(" "&amp;Search!$P$8,N371))),OR(Search!$P$9="",ISNUMBER(SEARCH(" "&amp;Search!$P$9,N371))),OR(Search!$P$10="",ISNUMBER(SEARCH(" "&amp;Search!$P$10,N371)))),ROW(),""))</f>
        <v/>
      </c>
      <c r="N371" s="0" t="str">
        <f aca="false">IF(D371="",""," "&amp;SUBSTITUTE(SUBSTITUTE(SUBSTITUTE(SUBSTITUTE(SUBSTITUTE(SUBSTITUTE(SUBSTITUTE(B371&amp;" "&amp;C371&amp;" "&amp;D371&amp;" "&amp;E371&amp;" "&amp;F371&amp;" "&amp;G371&amp;" "&amp;H371&amp;" "&amp;'08 Sealants &amp; Fixings'!R30,"("," "),")"," "),"/"," "),"-"," "),","," "),";"," "),":"," ")&amp;" ")</f>
        <v> SF 026 Anchors &amp; Fasteners SS anchor bolt M10 x 100 SS 316 Hilti   Fischer   Equiv. nos 10x100 ss316 sus316 fixing fastener bolt stainless steel </v>
      </c>
    </row>
    <row r="372" customFormat="false" ht="22.35" hidden="false" customHeight="false" outlineLevel="0" collapsed="false">
      <c r="A372" s="56" t="str">
        <f aca="false">IF('08 Sealants &amp; Fixings'!$C$31="","","Sealants, Gaskets, Fixings &amp; Consumables")</f>
        <v>Sealants, Gaskets, Fixings &amp; Consumables</v>
      </c>
      <c r="B372" s="57" t="str">
        <f aca="false">IF('08 Sealants &amp; Fixings'!$C$31="","",'08 Sealants &amp; Fixings'!A31)</f>
        <v>SF-027</v>
      </c>
      <c r="C372" s="56" t="str">
        <f aca="false">IF('08 Sealants &amp; Fixings'!$C$31="","",'08 Sealants &amp; Fixings'!B31)</f>
        <v>Anchors &amp; Fasteners</v>
      </c>
      <c r="D372" s="56" t="str">
        <f aca="false">IF('08 Sealants &amp; Fixings'!$C$31="","",'08 Sealants &amp; Fixings'!C31)</f>
        <v>Chemical anchor stud with nut &amp; washer</v>
      </c>
      <c r="E372" s="56" t="str">
        <f aca="false">IF('08 Sealants &amp; Fixings'!$C$31="","",'08 Sealants &amp; Fixings'!D31)</f>
        <v>M12 x 160</v>
      </c>
      <c r="F372" s="56" t="str">
        <f aca="false">IF('08 Sealants &amp; Fixings'!$C$31="","",'08 Sealants &amp; Fixings'!E31)</f>
        <v>HDG / SS 316</v>
      </c>
      <c r="G372" s="56" t="str">
        <f aca="false">IF('08 Sealants &amp; Fixings'!$C$31="","",'08 Sealants &amp; Fixings'!F31)</f>
        <v>Local / Imported</v>
      </c>
      <c r="H372" s="57" t="str">
        <f aca="false">IF('08 Sealants &amp; Fixings'!$C$31="","",'08 Sealants &amp; Fixings'!G31)</f>
        <v>nos</v>
      </c>
      <c r="I372" s="58" t="n">
        <f aca="false">IF('08 Sealants &amp; Fixings'!$C$31="","",'08 Sealants &amp; Fixings'!J31)</f>
        <v>15.4</v>
      </c>
      <c r="J372" s="58" t="n">
        <f aca="false">IF('08 Sealants &amp; Fixings'!$C$31="","",'08 Sealants &amp; Fixings'!K31)</f>
        <v>18.48</v>
      </c>
      <c r="K372" s="58" t="n">
        <f aca="false">IF('08 Sealants &amp; Fixings'!$C$31="","",'08 Sealants &amp; Fixings'!L31)</f>
        <v>19.4</v>
      </c>
      <c r="L372" s="57" t="str">
        <f aca="false">IF('08 Sealants &amp; Fixings'!$C$31="","",'08 Sealants &amp; Fixings'!M31)</f>
        <v>Indicative</v>
      </c>
      <c r="M372" s="59" t="str">
        <f aca="false">IF(D372="","",IF(AND(OR(Search!$C$6="All Categories",A372=Search!$C$6),OR(Search!$P$5="",ISNUMBER(SEARCH(" "&amp;Search!$P$5,N372))),OR(Search!$P$6="",ISNUMBER(SEARCH(" "&amp;Search!$P$6,N372))),OR(Search!$P$7="",ISNUMBER(SEARCH(" "&amp;Search!$P$7,N372))),OR(Search!$P$8="",ISNUMBER(SEARCH(" "&amp;Search!$P$8,N372))),OR(Search!$P$9="",ISNUMBER(SEARCH(" "&amp;Search!$P$9,N372))),OR(Search!$P$10="",ISNUMBER(SEARCH(" "&amp;Search!$P$10,N372)))),ROW(),""))</f>
        <v/>
      </c>
      <c r="N372" s="0" t="str">
        <f aca="false">IF(D372="",""," "&amp;SUBSTITUTE(SUBSTITUTE(SUBSTITUTE(SUBSTITUTE(SUBSTITUTE(SUBSTITUTE(SUBSTITUTE(B372&amp;" "&amp;C372&amp;" "&amp;D372&amp;" "&amp;E372&amp;" "&amp;F372&amp;" "&amp;G372&amp;" "&amp;H372&amp;" "&amp;'08 Sealants &amp; Fixings'!R31,"("," "),")"," "),"/"," "),"-"," "),","," "),";"," "),":"," ")&amp;" ")</f>
        <v> SF 027 Anchors &amp; Fasteners Chemical anchor stud with nut &amp; washer M12 x 160 HDG   SS 316 Local   Imported nos 12x160 ss316 sus316 fixing fastener bolt stainless steel </v>
      </c>
    </row>
    <row r="373" customFormat="false" ht="22.35" hidden="false" customHeight="false" outlineLevel="0" collapsed="false">
      <c r="A373" s="56" t="str">
        <f aca="false">IF('08 Sealants &amp; Fixings'!$C$32="","","Sealants, Gaskets, Fixings &amp; Consumables")</f>
        <v>Sealants, Gaskets, Fixings &amp; Consumables</v>
      </c>
      <c r="B373" s="57" t="str">
        <f aca="false">IF('08 Sealants &amp; Fixings'!$C$32="","",'08 Sealants &amp; Fixings'!A32)</f>
        <v>SF-028</v>
      </c>
      <c r="C373" s="56" t="str">
        <f aca="false">IF('08 Sealants &amp; Fixings'!$C$32="","",'08 Sealants &amp; Fixings'!B32)</f>
        <v>Anchors &amp; Fasteners</v>
      </c>
      <c r="D373" s="56" t="str">
        <f aca="false">IF('08 Sealants &amp; Fixings'!$C$32="","",'08 Sealants &amp; Fixings'!C32)</f>
        <v>Frame fixing (nylon plug + screw)</v>
      </c>
      <c r="E373" s="56" t="str">
        <f aca="false">IF('08 Sealants &amp; Fixings'!$C$32="","",'08 Sealants &amp; Fixings'!D32)</f>
        <v>10 x 100 mm</v>
      </c>
      <c r="F373" s="56" t="str">
        <f aca="false">IF('08 Sealants &amp; Fixings'!$C$32="","",'08 Sealants &amp; Fixings'!E32)</f>
        <v>-</v>
      </c>
      <c r="G373" s="56" t="str">
        <f aca="false">IF('08 Sealants &amp; Fixings'!$C$32="","",'08 Sealants &amp; Fixings'!F32)</f>
        <v>Fischer / Local</v>
      </c>
      <c r="H373" s="57" t="str">
        <f aca="false">IF('08 Sealants &amp; Fixings'!$C$32="","",'08 Sealants &amp; Fixings'!G32)</f>
        <v>nos</v>
      </c>
      <c r="I373" s="58" t="n">
        <f aca="false">IF('08 Sealants &amp; Fixings'!$C$32="","",'08 Sealants &amp; Fixings'!J32)</f>
        <v>1.32</v>
      </c>
      <c r="J373" s="58" t="n">
        <f aca="false">IF('08 Sealants &amp; Fixings'!$C$32="","",'08 Sealants &amp; Fixings'!K32)</f>
        <v>1.58</v>
      </c>
      <c r="K373" s="58" t="n">
        <f aca="false">IF('08 Sealants &amp; Fixings'!$C$32="","",'08 Sealants &amp; Fixings'!L32)</f>
        <v>1.66</v>
      </c>
      <c r="L373" s="57" t="str">
        <f aca="false">IF('08 Sealants &amp; Fixings'!$C$32="","",'08 Sealants &amp; Fixings'!M32)</f>
        <v>Indicative</v>
      </c>
      <c r="M373" s="59" t="str">
        <f aca="false">IF(D373="","",IF(AND(OR(Search!$C$6="All Categories",A373=Search!$C$6),OR(Search!$P$5="",ISNUMBER(SEARCH(" "&amp;Search!$P$5,N373))),OR(Search!$P$6="",ISNUMBER(SEARCH(" "&amp;Search!$P$6,N373))),OR(Search!$P$7="",ISNUMBER(SEARCH(" "&amp;Search!$P$7,N373))),OR(Search!$P$8="",ISNUMBER(SEARCH(" "&amp;Search!$P$8,N373))),OR(Search!$P$9="",ISNUMBER(SEARCH(" "&amp;Search!$P$9,N373))),OR(Search!$P$10="",ISNUMBER(SEARCH(" "&amp;Search!$P$10,N373)))),ROW(),""))</f>
        <v/>
      </c>
      <c r="N373" s="0" t="str">
        <f aca="false">IF(D373="",""," "&amp;SUBSTITUTE(SUBSTITUTE(SUBSTITUTE(SUBSTITUTE(SUBSTITUTE(SUBSTITUTE(SUBSTITUTE(B373&amp;" "&amp;C373&amp;" "&amp;D373&amp;" "&amp;E373&amp;" "&amp;F373&amp;" "&amp;G373&amp;" "&amp;H373&amp;" "&amp;'08 Sealants &amp; Fixings'!R32,"("," "),")"," "),"/"," "),"-"," "),","," "),";"," "),":"," ")&amp;" ")</f>
        <v> SF 028 Anchors &amp; Fasteners Frame fixing  nylon plug + screw  10 x 100 mm   Fischer   Local nos 10x100 100mm fixing fastener bolt </v>
      </c>
    </row>
    <row r="374" customFormat="false" ht="22.35" hidden="false" customHeight="false" outlineLevel="0" collapsed="false">
      <c r="A374" s="56" t="str">
        <f aca="false">IF('08 Sealants &amp; Fixings'!$C$33="","","Sealants, Gaskets, Fixings &amp; Consumables")</f>
        <v>Sealants, Gaskets, Fixings &amp; Consumables</v>
      </c>
      <c r="B374" s="57" t="str">
        <f aca="false">IF('08 Sealants &amp; Fixings'!$C$33="","",'08 Sealants &amp; Fixings'!A33)</f>
        <v>SF-029</v>
      </c>
      <c r="C374" s="56" t="str">
        <f aca="false">IF('08 Sealants &amp; Fixings'!$C$33="","",'08 Sealants &amp; Fixings'!B33)</f>
        <v>Anchors &amp; Fasteners</v>
      </c>
      <c r="D374" s="56" t="str">
        <f aca="false">IF('08 Sealants &amp; Fixings'!$C$33="","",'08 Sealants &amp; Fixings'!C33)</f>
        <v>Self-drilling screw</v>
      </c>
      <c r="E374" s="56" t="str">
        <f aca="false">IF('08 Sealants &amp; Fixings'!$C$33="","",'08 Sealants &amp; Fixings'!D33)</f>
        <v>4.8 x 19 / 25 mm</v>
      </c>
      <c r="F374" s="56" t="str">
        <f aca="false">IF('08 Sealants &amp; Fixings'!$C$33="","",'08 Sealants &amp; Fixings'!E33)</f>
        <v>SS 410 / Zinc</v>
      </c>
      <c r="G374" s="56" t="str">
        <f aca="false">IF('08 Sealants &amp; Fixings'!$C$33="","",'08 Sealants &amp; Fixings'!F33)</f>
        <v>Local</v>
      </c>
      <c r="H374" s="57" t="str">
        <f aca="false">IF('08 Sealants &amp; Fixings'!$C$33="","",'08 Sealants &amp; Fixings'!G33)</f>
        <v>box</v>
      </c>
      <c r="I374" s="58" t="n">
        <f aca="false">IF('08 Sealants &amp; Fixings'!$C$33="","",'08 Sealants &amp; Fixings'!J33)</f>
        <v>38.5</v>
      </c>
      <c r="J374" s="58" t="n">
        <f aca="false">IF('08 Sealants &amp; Fixings'!$C$33="","",'08 Sealants &amp; Fixings'!K33)</f>
        <v>46.2</v>
      </c>
      <c r="K374" s="58" t="n">
        <f aca="false">IF('08 Sealants &amp; Fixings'!$C$33="","",'08 Sealants &amp; Fixings'!L33)</f>
        <v>48.51</v>
      </c>
      <c r="L374" s="57" t="str">
        <f aca="false">IF('08 Sealants &amp; Fixings'!$C$33="","",'08 Sealants &amp; Fixings'!M33)</f>
        <v>Indicative</v>
      </c>
      <c r="M374" s="59" t="str">
        <f aca="false">IF(D374="","",IF(AND(OR(Search!$C$6="All Categories",A374=Search!$C$6),OR(Search!$P$5="",ISNUMBER(SEARCH(" "&amp;Search!$P$5,N374))),OR(Search!$P$6="",ISNUMBER(SEARCH(" "&amp;Search!$P$6,N374))),OR(Search!$P$7="",ISNUMBER(SEARCH(" "&amp;Search!$P$7,N374))),OR(Search!$P$8="",ISNUMBER(SEARCH(" "&amp;Search!$P$8,N374))),OR(Search!$P$9="",ISNUMBER(SEARCH(" "&amp;Search!$P$9,N374))),OR(Search!$P$10="",ISNUMBER(SEARCH(" "&amp;Search!$P$10,N374)))),ROW(),""))</f>
        <v/>
      </c>
      <c r="N374" s="0" t="str">
        <f aca="false">IF(D374="",""," "&amp;SUBSTITUTE(SUBSTITUTE(SUBSTITUTE(SUBSTITUTE(SUBSTITUTE(SUBSTITUTE(SUBSTITUTE(B374&amp;" "&amp;C374&amp;" "&amp;D374&amp;" "&amp;E374&amp;" "&amp;F374&amp;" "&amp;G374&amp;" "&amp;H374&amp;" "&amp;'08 Sealants &amp; Fixings'!R33,"("," "),")"," "),"/"," "),"-"," "),","," "),";"," "),":"," ")&amp;" ")</f>
        <v> SF 029 Anchors &amp; Fasteners Self drilling screw 4.8 x 19   25 mm SS 410   Zinc Local box 4.8x19 25mm fixing fastener bolt stainless steel </v>
      </c>
    </row>
    <row r="375" customFormat="false" ht="22.35" hidden="false" customHeight="false" outlineLevel="0" collapsed="false">
      <c r="A375" s="56" t="str">
        <f aca="false">IF('08 Sealants &amp; Fixings'!$C$34="","","Sealants, Gaskets, Fixings &amp; Consumables")</f>
        <v>Sealants, Gaskets, Fixings &amp; Consumables</v>
      </c>
      <c r="B375" s="57" t="str">
        <f aca="false">IF('08 Sealants &amp; Fixings'!$C$34="","",'08 Sealants &amp; Fixings'!A34)</f>
        <v>SF-030</v>
      </c>
      <c r="C375" s="56" t="str">
        <f aca="false">IF('08 Sealants &amp; Fixings'!$C$34="","",'08 Sealants &amp; Fixings'!B34)</f>
        <v>Anchors &amp; Fasteners</v>
      </c>
      <c r="D375" s="56" t="str">
        <f aca="false">IF('08 Sealants &amp; Fixings'!$C$34="","",'08 Sealants &amp; Fixings'!C34)</f>
        <v>SS self-tapping screw (assorted)</v>
      </c>
      <c r="E375" s="56" t="str">
        <f aca="false">IF('08 Sealants &amp; Fixings'!$C$34="","",'08 Sealants &amp; Fixings'!D34)</f>
        <v>Box of 500</v>
      </c>
      <c r="F375" s="56" t="str">
        <f aca="false">IF('08 Sealants &amp; Fixings'!$C$34="","",'08 Sealants &amp; Fixings'!E34)</f>
        <v>SS 304</v>
      </c>
      <c r="G375" s="56" t="str">
        <f aca="false">IF('08 Sealants &amp; Fixings'!$C$34="","",'08 Sealants &amp; Fixings'!F34)</f>
        <v>Local</v>
      </c>
      <c r="H375" s="57" t="str">
        <f aca="false">IF('08 Sealants &amp; Fixings'!$C$34="","",'08 Sealants &amp; Fixings'!G34)</f>
        <v>box</v>
      </c>
      <c r="I375" s="58" t="n">
        <f aca="false">IF('08 Sealants &amp; Fixings'!$C$34="","",'08 Sealants &amp; Fixings'!J34)</f>
        <v>49.5</v>
      </c>
      <c r="J375" s="58" t="n">
        <f aca="false">IF('08 Sealants &amp; Fixings'!$C$34="","",'08 Sealants &amp; Fixings'!K34)</f>
        <v>59.4</v>
      </c>
      <c r="K375" s="58" t="n">
        <f aca="false">IF('08 Sealants &amp; Fixings'!$C$34="","",'08 Sealants &amp; Fixings'!L34)</f>
        <v>62.37</v>
      </c>
      <c r="L375" s="57" t="str">
        <f aca="false">IF('08 Sealants &amp; Fixings'!$C$34="","",'08 Sealants &amp; Fixings'!M34)</f>
        <v>Indicative</v>
      </c>
      <c r="M375" s="59" t="str">
        <f aca="false">IF(D375="","",IF(AND(OR(Search!$C$6="All Categories",A375=Search!$C$6),OR(Search!$P$5="",ISNUMBER(SEARCH(" "&amp;Search!$P$5,N375))),OR(Search!$P$6="",ISNUMBER(SEARCH(" "&amp;Search!$P$6,N375))),OR(Search!$P$7="",ISNUMBER(SEARCH(" "&amp;Search!$P$7,N375))),OR(Search!$P$8="",ISNUMBER(SEARCH(" "&amp;Search!$P$8,N375))),OR(Search!$P$9="",ISNUMBER(SEARCH(" "&amp;Search!$P$9,N375))),OR(Search!$P$10="",ISNUMBER(SEARCH(" "&amp;Search!$P$10,N375)))),ROW(),""))</f>
        <v/>
      </c>
      <c r="N375" s="0" t="str">
        <f aca="false">IF(D375="",""," "&amp;SUBSTITUTE(SUBSTITUTE(SUBSTITUTE(SUBSTITUTE(SUBSTITUTE(SUBSTITUTE(SUBSTITUTE(B375&amp;" "&amp;C375&amp;" "&amp;D375&amp;" "&amp;E375&amp;" "&amp;F375&amp;" "&amp;G375&amp;" "&amp;H375&amp;" "&amp;'08 Sealants &amp; Fixings'!R34,"("," "),")"," "),"/"," "),"-"," "),","," "),";"," "),":"," ")&amp;" ")</f>
        <v> SF 030 Anchors &amp; Fasteners SS self tapping screw  assorted  Box of 500 SS 304 Local box ss304 sus304 fixing fastener bolt stainless steel </v>
      </c>
    </row>
    <row r="376" customFormat="false" ht="22.35" hidden="false" customHeight="false" outlineLevel="0" collapsed="false">
      <c r="A376" s="56" t="str">
        <f aca="false">IF('08 Sealants &amp; Fixings'!$C$35="","","Sealants, Gaskets, Fixings &amp; Consumables")</f>
        <v>Sealants, Gaskets, Fixings &amp; Consumables</v>
      </c>
      <c r="B376" s="57" t="str">
        <f aca="false">IF('08 Sealants &amp; Fixings'!$C$35="","",'08 Sealants &amp; Fixings'!A35)</f>
        <v>SF-031</v>
      </c>
      <c r="C376" s="56" t="str">
        <f aca="false">IF('08 Sealants &amp; Fixings'!$C$35="","",'08 Sealants &amp; Fixings'!B35)</f>
        <v>Anchors &amp; Fasteners</v>
      </c>
      <c r="D376" s="56" t="str">
        <f aca="false">IF('08 Sealants &amp; Fixings'!$C$35="","",'08 Sealants &amp; Fixings'!C35)</f>
        <v>SS bolt, nut &amp; washer set</v>
      </c>
      <c r="E376" s="56" t="str">
        <f aca="false">IF('08 Sealants &amp; Fixings'!$C$35="","",'08 Sealants &amp; Fixings'!D35)</f>
        <v>M10 x 50</v>
      </c>
      <c r="F376" s="56" t="str">
        <f aca="false">IF('08 Sealants &amp; Fixings'!$C$35="","",'08 Sealants &amp; Fixings'!E35)</f>
        <v>SS 304</v>
      </c>
      <c r="G376" s="56" t="str">
        <f aca="false">IF('08 Sealants &amp; Fixings'!$C$35="","",'08 Sealants &amp; Fixings'!F35)</f>
        <v>Local</v>
      </c>
      <c r="H376" s="57" t="str">
        <f aca="false">IF('08 Sealants &amp; Fixings'!$C$35="","",'08 Sealants &amp; Fixings'!G35)</f>
        <v>set</v>
      </c>
      <c r="I376" s="58" t="n">
        <f aca="false">IF('08 Sealants &amp; Fixings'!$C$35="","",'08 Sealants &amp; Fixings'!J35)</f>
        <v>3.3</v>
      </c>
      <c r="J376" s="58" t="n">
        <f aca="false">IF('08 Sealants &amp; Fixings'!$C$35="","",'08 Sealants &amp; Fixings'!K35)</f>
        <v>3.96</v>
      </c>
      <c r="K376" s="58" t="n">
        <f aca="false">IF('08 Sealants &amp; Fixings'!$C$35="","",'08 Sealants &amp; Fixings'!L35)</f>
        <v>4.16</v>
      </c>
      <c r="L376" s="57" t="str">
        <f aca="false">IF('08 Sealants &amp; Fixings'!$C$35="","",'08 Sealants &amp; Fixings'!M35)</f>
        <v>Indicative</v>
      </c>
      <c r="M376" s="59" t="str">
        <f aca="false">IF(D376="","",IF(AND(OR(Search!$C$6="All Categories",A376=Search!$C$6),OR(Search!$P$5="",ISNUMBER(SEARCH(" "&amp;Search!$P$5,N376))),OR(Search!$P$6="",ISNUMBER(SEARCH(" "&amp;Search!$P$6,N376))),OR(Search!$P$7="",ISNUMBER(SEARCH(" "&amp;Search!$P$7,N376))),OR(Search!$P$8="",ISNUMBER(SEARCH(" "&amp;Search!$P$8,N376))),OR(Search!$P$9="",ISNUMBER(SEARCH(" "&amp;Search!$P$9,N376))),OR(Search!$P$10="",ISNUMBER(SEARCH(" "&amp;Search!$P$10,N376)))),ROW(),""))</f>
        <v/>
      </c>
      <c r="N376" s="0" t="str">
        <f aca="false">IF(D376="",""," "&amp;SUBSTITUTE(SUBSTITUTE(SUBSTITUTE(SUBSTITUTE(SUBSTITUTE(SUBSTITUTE(SUBSTITUTE(B376&amp;" "&amp;C376&amp;" "&amp;D376&amp;" "&amp;E376&amp;" "&amp;F376&amp;" "&amp;G376&amp;" "&amp;H376&amp;" "&amp;'08 Sealants &amp; Fixings'!R35,"("," "),")"," "),"/"," "),"-"," "),","," "),";"," "),":"," ")&amp;" ")</f>
        <v> SF 031 Anchors &amp; Fasteners SS bolt  nut &amp; washer set M10 x 50 SS 304 Local set 10x50 ss304 sus304 fixing fastener bolt stainless steel </v>
      </c>
    </row>
    <row r="377" customFormat="false" ht="22.35" hidden="false" customHeight="false" outlineLevel="0" collapsed="false">
      <c r="A377" s="56" t="str">
        <f aca="false">IF('08 Sealants &amp; Fixings'!$C$36="","","Sealants, Gaskets, Fixings &amp; Consumables")</f>
        <v>Sealants, Gaskets, Fixings &amp; Consumables</v>
      </c>
      <c r="B377" s="57" t="str">
        <f aca="false">IF('08 Sealants &amp; Fixings'!$C$36="","",'08 Sealants &amp; Fixings'!A36)</f>
        <v>SF-032</v>
      </c>
      <c r="C377" s="56" t="str">
        <f aca="false">IF('08 Sealants &amp; Fixings'!$C$36="","",'08 Sealants &amp; Fixings'!B36)</f>
        <v>Anchors &amp; Fasteners</v>
      </c>
      <c r="D377" s="56" t="str">
        <f aca="false">IF('08 Sealants &amp; Fixings'!$C$36="","",'08 Sealants &amp; Fixings'!C36)</f>
        <v>SS bolt, nut &amp; washer set</v>
      </c>
      <c r="E377" s="56" t="str">
        <f aca="false">IF('08 Sealants &amp; Fixings'!$C$36="","",'08 Sealants &amp; Fixings'!D36)</f>
        <v>M12 x 60</v>
      </c>
      <c r="F377" s="56" t="str">
        <f aca="false">IF('08 Sealants &amp; Fixings'!$C$36="","",'08 Sealants &amp; Fixings'!E36)</f>
        <v>SS 316</v>
      </c>
      <c r="G377" s="56" t="str">
        <f aca="false">IF('08 Sealants &amp; Fixings'!$C$36="","",'08 Sealants &amp; Fixings'!F36)</f>
        <v>Local</v>
      </c>
      <c r="H377" s="57" t="str">
        <f aca="false">IF('08 Sealants &amp; Fixings'!$C$36="","",'08 Sealants &amp; Fixings'!G36)</f>
        <v>set</v>
      </c>
      <c r="I377" s="58" t="n">
        <f aca="false">IF('08 Sealants &amp; Fixings'!$C$36="","",'08 Sealants &amp; Fixings'!J36)</f>
        <v>7.15</v>
      </c>
      <c r="J377" s="58" t="n">
        <f aca="false">IF('08 Sealants &amp; Fixings'!$C$36="","",'08 Sealants &amp; Fixings'!K36)</f>
        <v>8.58</v>
      </c>
      <c r="K377" s="58" t="n">
        <f aca="false">IF('08 Sealants &amp; Fixings'!$C$36="","",'08 Sealants &amp; Fixings'!L36)</f>
        <v>9.01</v>
      </c>
      <c r="L377" s="57" t="str">
        <f aca="false">IF('08 Sealants &amp; Fixings'!$C$36="","",'08 Sealants &amp; Fixings'!M36)</f>
        <v>Indicative</v>
      </c>
      <c r="M377" s="59" t="str">
        <f aca="false">IF(D377="","",IF(AND(OR(Search!$C$6="All Categories",A377=Search!$C$6),OR(Search!$P$5="",ISNUMBER(SEARCH(" "&amp;Search!$P$5,N377))),OR(Search!$P$6="",ISNUMBER(SEARCH(" "&amp;Search!$P$6,N377))),OR(Search!$P$7="",ISNUMBER(SEARCH(" "&amp;Search!$P$7,N377))),OR(Search!$P$8="",ISNUMBER(SEARCH(" "&amp;Search!$P$8,N377))),OR(Search!$P$9="",ISNUMBER(SEARCH(" "&amp;Search!$P$9,N377))),OR(Search!$P$10="",ISNUMBER(SEARCH(" "&amp;Search!$P$10,N377)))),ROW(),""))</f>
        <v/>
      </c>
      <c r="N377" s="0" t="str">
        <f aca="false">IF(D377="",""," "&amp;SUBSTITUTE(SUBSTITUTE(SUBSTITUTE(SUBSTITUTE(SUBSTITUTE(SUBSTITUTE(SUBSTITUTE(B377&amp;" "&amp;C377&amp;" "&amp;D377&amp;" "&amp;E377&amp;" "&amp;F377&amp;" "&amp;G377&amp;" "&amp;H377&amp;" "&amp;'08 Sealants &amp; Fixings'!R36,"("," "),")"," "),"/"," "),"-"," "),","," "),";"," "),":"," ")&amp;" ")</f>
        <v> SF 032 Anchors &amp; Fasteners SS bolt  nut &amp; washer set M12 x 60 SS 316 Local set 12x60 ss316 sus316 fixing fastener bolt stainless steel </v>
      </c>
    </row>
    <row r="378" customFormat="false" ht="22.35" hidden="false" customHeight="false" outlineLevel="0" collapsed="false">
      <c r="A378" s="56" t="str">
        <f aca="false">IF('08 Sealants &amp; Fixings'!$C$37="","","Sealants, Gaskets, Fixings &amp; Consumables")</f>
        <v>Sealants, Gaskets, Fixings &amp; Consumables</v>
      </c>
      <c r="B378" s="57" t="str">
        <f aca="false">IF('08 Sealants &amp; Fixings'!$C$37="","",'08 Sealants &amp; Fixings'!A37)</f>
        <v>SF-033</v>
      </c>
      <c r="C378" s="56" t="str">
        <f aca="false">IF('08 Sealants &amp; Fixings'!$C$37="","",'08 Sealants &amp; Fixings'!B37)</f>
        <v>Anchors &amp; Fasteners</v>
      </c>
      <c r="D378" s="56" t="str">
        <f aca="false">IF('08 Sealants &amp; Fixings'!$C$37="","",'08 Sealants &amp; Fixings'!C37)</f>
        <v>Pop rivet (aluminium / SS)</v>
      </c>
      <c r="E378" s="56" t="str">
        <f aca="false">IF('08 Sealants &amp; Fixings'!$C$37="","",'08 Sealants &amp; Fixings'!D37)</f>
        <v>Box of 1000</v>
      </c>
      <c r="F378" s="56" t="str">
        <f aca="false">IF('08 Sealants &amp; Fixings'!$C$37="","",'08 Sealants &amp; Fixings'!E37)</f>
        <v>-</v>
      </c>
      <c r="G378" s="56" t="str">
        <f aca="false">IF('08 Sealants &amp; Fixings'!$C$37="","",'08 Sealants &amp; Fixings'!F37)</f>
        <v>Local</v>
      </c>
      <c r="H378" s="57" t="str">
        <f aca="false">IF('08 Sealants &amp; Fixings'!$C$37="","",'08 Sealants &amp; Fixings'!G37)</f>
        <v>box</v>
      </c>
      <c r="I378" s="58" t="n">
        <f aca="false">IF('08 Sealants &amp; Fixings'!$C$37="","",'08 Sealants &amp; Fixings'!J37)</f>
        <v>44</v>
      </c>
      <c r="J378" s="58" t="n">
        <f aca="false">IF('08 Sealants &amp; Fixings'!$C$37="","",'08 Sealants &amp; Fixings'!K37)</f>
        <v>52.8</v>
      </c>
      <c r="K378" s="58" t="n">
        <f aca="false">IF('08 Sealants &amp; Fixings'!$C$37="","",'08 Sealants &amp; Fixings'!L37)</f>
        <v>55.44</v>
      </c>
      <c r="L378" s="57" t="str">
        <f aca="false">IF('08 Sealants &amp; Fixings'!$C$37="","",'08 Sealants &amp; Fixings'!M37)</f>
        <v>Indicative</v>
      </c>
      <c r="M378" s="59" t="str">
        <f aca="false">IF(D378="","",IF(AND(OR(Search!$C$6="All Categories",A378=Search!$C$6),OR(Search!$P$5="",ISNUMBER(SEARCH(" "&amp;Search!$P$5,N378))),OR(Search!$P$6="",ISNUMBER(SEARCH(" "&amp;Search!$P$6,N378))),OR(Search!$P$7="",ISNUMBER(SEARCH(" "&amp;Search!$P$7,N378))),OR(Search!$P$8="",ISNUMBER(SEARCH(" "&amp;Search!$P$8,N378))),OR(Search!$P$9="",ISNUMBER(SEARCH(" "&amp;Search!$P$9,N378))),OR(Search!$P$10="",ISNUMBER(SEARCH(" "&amp;Search!$P$10,N378)))),ROW(),""))</f>
        <v/>
      </c>
      <c r="N378" s="0" t="str">
        <f aca="false">IF(D378="",""," "&amp;SUBSTITUTE(SUBSTITUTE(SUBSTITUTE(SUBSTITUTE(SUBSTITUTE(SUBSTITUTE(SUBSTITUTE(B378&amp;" "&amp;C378&amp;" "&amp;D378&amp;" "&amp;E378&amp;" "&amp;F378&amp;" "&amp;G378&amp;" "&amp;H378&amp;" "&amp;'08 Sealants &amp; Fixings'!R37,"("," "),")"," "),"/"," "),"-"," "),","," "),";"," "),":"," ")&amp;" ")</f>
        <v> SF 033 Anchors &amp; Fasteners Pop rivet  aluminium   SS  Box of 1000   Local box aluminum alu fixing fastener bolt </v>
      </c>
    </row>
    <row r="379" customFormat="false" ht="22.35" hidden="false" customHeight="false" outlineLevel="0" collapsed="false">
      <c r="A379" s="56" t="str">
        <f aca="false">IF('08 Sealants &amp; Fixings'!$C$38="","","Sealants, Gaskets, Fixings &amp; Consumables")</f>
        <v>Sealants, Gaskets, Fixings &amp; Consumables</v>
      </c>
      <c r="B379" s="57" t="str">
        <f aca="false">IF('08 Sealants &amp; Fixings'!$C$38="","",'08 Sealants &amp; Fixings'!A38)</f>
        <v>SF-034</v>
      </c>
      <c r="C379" s="56" t="str">
        <f aca="false">IF('08 Sealants &amp; Fixings'!$C$38="","",'08 Sealants &amp; Fixings'!B38)</f>
        <v>Brackets &amp; Embeds</v>
      </c>
      <c r="D379" s="56" t="str">
        <f aca="false">IF('08 Sealants &amp; Fixings'!$C$38="","",'08 Sealants &amp; Fixings'!C38)</f>
        <v>Curtain wall bracket (aluminium)</v>
      </c>
      <c r="E379" s="56" t="str">
        <f aca="false">IF('08 Sealants &amp; Fixings'!$C$38="","",'08 Sealants &amp; Fixings'!D38)</f>
        <v>Approx. 1.5 kg, with serrated plate</v>
      </c>
      <c r="F379" s="56" t="str">
        <f aca="false">IF('08 Sealants &amp; Fixings'!$C$38="","",'08 Sealants &amp; Fixings'!E38)</f>
        <v>Mill finish</v>
      </c>
      <c r="G379" s="56" t="str">
        <f aca="false">IF('08 Sealants &amp; Fixings'!$C$38="","",'08 Sealants &amp; Fixings'!F38)</f>
        <v>Local</v>
      </c>
      <c r="H379" s="57" t="str">
        <f aca="false">IF('08 Sealants &amp; Fixings'!$C$38="","",'08 Sealants &amp; Fixings'!G38)</f>
        <v>nos</v>
      </c>
      <c r="I379" s="58" t="n">
        <f aca="false">IF('08 Sealants &amp; Fixings'!$C$38="","",'08 Sealants &amp; Fixings'!J38)</f>
        <v>49.5</v>
      </c>
      <c r="J379" s="58" t="n">
        <f aca="false">IF('08 Sealants &amp; Fixings'!$C$38="","",'08 Sealants &amp; Fixings'!K38)</f>
        <v>59.4</v>
      </c>
      <c r="K379" s="58" t="n">
        <f aca="false">IF('08 Sealants &amp; Fixings'!$C$38="","",'08 Sealants &amp; Fixings'!L38)</f>
        <v>62.37</v>
      </c>
      <c r="L379" s="57" t="str">
        <f aca="false">IF('08 Sealants &amp; Fixings'!$C$38="","",'08 Sealants &amp; Fixings'!M38)</f>
        <v>Indicative</v>
      </c>
      <c r="M379" s="59" t="str">
        <f aca="false">IF(D379="","",IF(AND(OR(Search!$C$6="All Categories",A379=Search!$C$6),OR(Search!$P$5="",ISNUMBER(SEARCH(" "&amp;Search!$P$5,N379))),OR(Search!$P$6="",ISNUMBER(SEARCH(" "&amp;Search!$P$6,N379))),OR(Search!$P$7="",ISNUMBER(SEARCH(" "&amp;Search!$P$7,N379))),OR(Search!$P$8="",ISNUMBER(SEARCH(" "&amp;Search!$P$8,N379))),OR(Search!$P$9="",ISNUMBER(SEARCH(" "&amp;Search!$P$9,N379))),OR(Search!$P$10="",ISNUMBER(SEARCH(" "&amp;Search!$P$10,N379)))),ROW(),""))</f>
        <v/>
      </c>
      <c r="N379" s="0" t="str">
        <f aca="false">IF(D379="",""," "&amp;SUBSTITUTE(SUBSTITUTE(SUBSTITUTE(SUBSTITUTE(SUBSTITUTE(SUBSTITUTE(SUBSTITUTE(B379&amp;" "&amp;C379&amp;" "&amp;D379&amp;" "&amp;E379&amp;" "&amp;F379&amp;" "&amp;G379&amp;" "&amp;H379&amp;" "&amp;'08 Sealants &amp; Fixings'!R38,"("," "),")"," "),"/"," "),"-"," "),","," "),";"," "),":"," ")&amp;" ")</f>
        <v> SF 034 Brackets &amp; Embeds Curtain wall bracket  aluminium  Approx. 1.5 kg  with serrated plate Mill finish Local nos aluminum alu </v>
      </c>
    </row>
    <row r="380" customFormat="false" ht="22.35" hidden="false" customHeight="false" outlineLevel="0" collapsed="false">
      <c r="A380" s="56" t="str">
        <f aca="false">IF('08 Sealants &amp; Fixings'!$C$39="","","Sealants, Gaskets, Fixings &amp; Consumables")</f>
        <v>Sealants, Gaskets, Fixings &amp; Consumables</v>
      </c>
      <c r="B380" s="57" t="str">
        <f aca="false">IF('08 Sealants &amp; Fixings'!$C$39="","",'08 Sealants &amp; Fixings'!A39)</f>
        <v>SF-035</v>
      </c>
      <c r="C380" s="56" t="str">
        <f aca="false">IF('08 Sealants &amp; Fixings'!$C$39="","",'08 Sealants &amp; Fixings'!B39)</f>
        <v>Brackets &amp; Embeds</v>
      </c>
      <c r="D380" s="56" t="str">
        <f aca="false">IF('08 Sealants &amp; Fixings'!$C$39="","",'08 Sealants &amp; Fixings'!C39)</f>
        <v>MS galvanized bracket / cleat</v>
      </c>
      <c r="E380" s="56" t="str">
        <f aca="false">IF('08 Sealants &amp; Fixings'!$C$39="","",'08 Sealants &amp; Fixings'!D39)</f>
        <v>Approx. 2 kg</v>
      </c>
      <c r="F380" s="56" t="str">
        <f aca="false">IF('08 Sealants &amp; Fixings'!$C$39="","",'08 Sealants &amp; Fixings'!E39)</f>
        <v>HDG</v>
      </c>
      <c r="G380" s="56" t="str">
        <f aca="false">IF('08 Sealants &amp; Fixings'!$C$39="","",'08 Sealants &amp; Fixings'!F39)</f>
        <v>Local fabrication</v>
      </c>
      <c r="H380" s="57" t="str">
        <f aca="false">IF('08 Sealants &amp; Fixings'!$C$39="","",'08 Sealants &amp; Fixings'!G39)</f>
        <v>nos</v>
      </c>
      <c r="I380" s="58" t="n">
        <f aca="false">IF('08 Sealants &amp; Fixings'!$C$39="","",'08 Sealants &amp; Fixings'!J39)</f>
        <v>33</v>
      </c>
      <c r="J380" s="58" t="n">
        <f aca="false">IF('08 Sealants &amp; Fixings'!$C$39="","",'08 Sealants &amp; Fixings'!K39)</f>
        <v>39.6</v>
      </c>
      <c r="K380" s="58" t="n">
        <f aca="false">IF('08 Sealants &amp; Fixings'!$C$39="","",'08 Sealants &amp; Fixings'!L39)</f>
        <v>41.58</v>
      </c>
      <c r="L380" s="57" t="str">
        <f aca="false">IF('08 Sealants &amp; Fixings'!$C$39="","",'08 Sealants &amp; Fixings'!M39)</f>
        <v>Indicative</v>
      </c>
      <c r="M380" s="59" t="str">
        <f aca="false">IF(D380="","",IF(AND(OR(Search!$C$6="All Categories",A380=Search!$C$6),OR(Search!$P$5="",ISNUMBER(SEARCH(" "&amp;Search!$P$5,N380))),OR(Search!$P$6="",ISNUMBER(SEARCH(" "&amp;Search!$P$6,N380))),OR(Search!$P$7="",ISNUMBER(SEARCH(" "&amp;Search!$P$7,N380))),OR(Search!$P$8="",ISNUMBER(SEARCH(" "&amp;Search!$P$8,N380))),OR(Search!$P$9="",ISNUMBER(SEARCH(" "&amp;Search!$P$9,N380))),OR(Search!$P$10="",ISNUMBER(SEARCH(" "&amp;Search!$P$10,N380)))),ROW(),""))</f>
        <v/>
      </c>
      <c r="N380" s="0" t="str">
        <f aca="false">IF(D380="",""," "&amp;SUBSTITUTE(SUBSTITUTE(SUBSTITUTE(SUBSTITUTE(SUBSTITUTE(SUBSTITUTE(SUBSTITUTE(B380&amp;" "&amp;C380&amp;" "&amp;D380&amp;" "&amp;E380&amp;" "&amp;F380&amp;" "&amp;G380&amp;" "&amp;H380&amp;" "&amp;'08 Sealants &amp; Fixings'!R39,"("," "),")"," "),"/"," "),"-"," "),","," "),";"," "),":"," ")&amp;" ")</f>
        <v> SF 035 Brackets &amp; Embeds MS galvanized bracket   cleat Approx. 2 kg HDG Local fabrication nos galvanised gi mild steel </v>
      </c>
    </row>
    <row r="381" customFormat="false" ht="22.35" hidden="false" customHeight="false" outlineLevel="0" collapsed="false">
      <c r="A381" s="56" t="str">
        <f aca="false">IF('08 Sealants &amp; Fixings'!$C$40="","","Sealants, Gaskets, Fixings &amp; Consumables")</f>
        <v>Sealants, Gaskets, Fixings &amp; Consumables</v>
      </c>
      <c r="B381" s="57" t="str">
        <f aca="false">IF('08 Sealants &amp; Fixings'!$C$40="","",'08 Sealants &amp; Fixings'!A40)</f>
        <v>SF-036</v>
      </c>
      <c r="C381" s="56" t="str">
        <f aca="false">IF('08 Sealants &amp; Fixings'!$C$40="","",'08 Sealants &amp; Fixings'!B40)</f>
        <v>Brackets &amp; Embeds</v>
      </c>
      <c r="D381" s="56" t="str">
        <f aca="false">IF('08 Sealants &amp; Fixings'!$C$40="","",'08 Sealants &amp; Fixings'!C40)</f>
        <v>Cast-in channel (Halfen type) with T-bolts</v>
      </c>
      <c r="E381" s="56" t="str">
        <f aca="false">IF('08 Sealants &amp; Fixings'!$C$40="","",'08 Sealants &amp; Fixings'!D40)</f>
        <v>Per lm</v>
      </c>
      <c r="F381" s="56" t="str">
        <f aca="false">IF('08 Sealants &amp; Fixings'!$C$40="","",'08 Sealants &amp; Fixings'!E40)</f>
        <v>HDG</v>
      </c>
      <c r="G381" s="56" t="str">
        <f aca="false">IF('08 Sealants &amp; Fixings'!$C$40="","",'08 Sealants &amp; Fixings'!F40)</f>
        <v>Halfen / Jordahl / Equiv.</v>
      </c>
      <c r="H381" s="57" t="str">
        <f aca="false">IF('08 Sealants &amp; Fixings'!$C$40="","",'08 Sealants &amp; Fixings'!G40)</f>
        <v>lm</v>
      </c>
      <c r="I381" s="58" t="n">
        <f aca="false">IF('08 Sealants &amp; Fixings'!$C$40="","",'08 Sealants &amp; Fixings'!J40)</f>
        <v>154</v>
      </c>
      <c r="J381" s="58" t="n">
        <f aca="false">IF('08 Sealants &amp; Fixings'!$C$40="","",'08 Sealants &amp; Fixings'!K40)</f>
        <v>184.8</v>
      </c>
      <c r="K381" s="58" t="n">
        <f aca="false">IF('08 Sealants &amp; Fixings'!$C$40="","",'08 Sealants &amp; Fixings'!L40)</f>
        <v>194.04</v>
      </c>
      <c r="L381" s="57" t="str">
        <f aca="false">IF('08 Sealants &amp; Fixings'!$C$40="","",'08 Sealants &amp; Fixings'!M40)</f>
        <v>Indicative</v>
      </c>
      <c r="M381" s="59" t="str">
        <f aca="false">IF(D381="","",IF(AND(OR(Search!$C$6="All Categories",A381=Search!$C$6),OR(Search!$P$5="",ISNUMBER(SEARCH(" "&amp;Search!$P$5,N381))),OR(Search!$P$6="",ISNUMBER(SEARCH(" "&amp;Search!$P$6,N381))),OR(Search!$P$7="",ISNUMBER(SEARCH(" "&amp;Search!$P$7,N381))),OR(Search!$P$8="",ISNUMBER(SEARCH(" "&amp;Search!$P$8,N381))),OR(Search!$P$9="",ISNUMBER(SEARCH(" "&amp;Search!$P$9,N381))),OR(Search!$P$10="",ISNUMBER(SEARCH(" "&amp;Search!$P$10,N381)))),ROW(),""))</f>
        <v/>
      </c>
      <c r="N381" s="0" t="str">
        <f aca="false">IF(D381="",""," "&amp;SUBSTITUTE(SUBSTITUTE(SUBSTITUTE(SUBSTITUTE(SUBSTITUTE(SUBSTITUTE(SUBSTITUTE(B381&amp;" "&amp;C381&amp;" "&amp;D381&amp;" "&amp;E381&amp;" "&amp;F381&amp;" "&amp;G381&amp;" "&amp;H381&amp;" "&amp;'08 Sealants &amp; Fixings'!R40,"("," "),")"," "),"/"," "),"-"," "),","," "),";"," "),":"," ")&amp;" ")</f>
        <v> SF 036 Brackets &amp; Embeds Cast in channel  Halfen type  with T bolts Per lm HDG Halfen   Jordahl   Equiv. lm fixing fastener </v>
      </c>
    </row>
    <row r="382" customFormat="false" ht="22.35" hidden="false" customHeight="false" outlineLevel="0" collapsed="false">
      <c r="A382" s="56" t="str">
        <f aca="false">IF('08 Sealants &amp; Fixings'!$C$41="","","Sealants, Gaskets, Fixings &amp; Consumables")</f>
        <v>Sealants, Gaskets, Fixings &amp; Consumables</v>
      </c>
      <c r="B382" s="57" t="str">
        <f aca="false">IF('08 Sealants &amp; Fixings'!$C$41="","",'08 Sealants &amp; Fixings'!A41)</f>
        <v>SF-037</v>
      </c>
      <c r="C382" s="56" t="str">
        <f aca="false">IF('08 Sealants &amp; Fixings'!$C$41="","",'08 Sealants &amp; Fixings'!B41)</f>
        <v>Brackets &amp; Embeds</v>
      </c>
      <c r="D382" s="56" t="str">
        <f aca="false">IF('08 Sealants &amp; Fixings'!$C$41="","",'08 Sealants &amp; Fixings'!C41)</f>
        <v>Corner cleat / joint connector (aluminium)</v>
      </c>
      <c r="E382" s="56" t="str">
        <f aca="false">IF('08 Sealants &amp; Fixings'!$C$41="","",'08 Sealants &amp; Fixings'!D41)</f>
        <v>Per corner</v>
      </c>
      <c r="F382" s="56" t="str">
        <f aca="false">IF('08 Sealants &amp; Fixings'!$C$41="","",'08 Sealants &amp; Fixings'!E41)</f>
        <v>Mill finish</v>
      </c>
      <c r="G382" s="56" t="str">
        <f aca="false">IF('08 Sealants &amp; Fixings'!$C$41="","",'08 Sealants &amp; Fixings'!F41)</f>
        <v>Local</v>
      </c>
      <c r="H382" s="57" t="str">
        <f aca="false">IF('08 Sealants &amp; Fixings'!$C$41="","",'08 Sealants &amp; Fixings'!G41)</f>
        <v>nos</v>
      </c>
      <c r="I382" s="58" t="n">
        <f aca="false">IF('08 Sealants &amp; Fixings'!$C$41="","",'08 Sealants &amp; Fixings'!J41)</f>
        <v>6.6</v>
      </c>
      <c r="J382" s="58" t="n">
        <f aca="false">IF('08 Sealants &amp; Fixings'!$C$41="","",'08 Sealants &amp; Fixings'!K41)</f>
        <v>7.92</v>
      </c>
      <c r="K382" s="58" t="n">
        <f aca="false">IF('08 Sealants &amp; Fixings'!$C$41="","",'08 Sealants &amp; Fixings'!L41)</f>
        <v>8.32</v>
      </c>
      <c r="L382" s="57" t="str">
        <f aca="false">IF('08 Sealants &amp; Fixings'!$C$41="","",'08 Sealants &amp; Fixings'!M41)</f>
        <v>Indicative</v>
      </c>
      <c r="M382" s="59" t="str">
        <f aca="false">IF(D382="","",IF(AND(OR(Search!$C$6="All Categories",A382=Search!$C$6),OR(Search!$P$5="",ISNUMBER(SEARCH(" "&amp;Search!$P$5,N382))),OR(Search!$P$6="",ISNUMBER(SEARCH(" "&amp;Search!$P$6,N382))),OR(Search!$P$7="",ISNUMBER(SEARCH(" "&amp;Search!$P$7,N382))),OR(Search!$P$8="",ISNUMBER(SEARCH(" "&amp;Search!$P$8,N382))),OR(Search!$P$9="",ISNUMBER(SEARCH(" "&amp;Search!$P$9,N382))),OR(Search!$P$10="",ISNUMBER(SEARCH(" "&amp;Search!$P$10,N382)))),ROW(),""))</f>
        <v/>
      </c>
      <c r="N382" s="0" t="str">
        <f aca="false">IF(D382="",""," "&amp;SUBSTITUTE(SUBSTITUTE(SUBSTITUTE(SUBSTITUTE(SUBSTITUTE(SUBSTITUTE(SUBSTITUTE(B382&amp;" "&amp;C382&amp;" "&amp;D382&amp;" "&amp;E382&amp;" "&amp;F382&amp;" "&amp;G382&amp;" "&amp;H382&amp;" "&amp;'08 Sealants &amp; Fixings'!R41,"("," "),")"," "),"/"," "),"-"," "),","," "),";"," "),":"," ")&amp;" ")</f>
        <v> SF 037 Brackets &amp; Embeds Corner cleat   joint connector  aluminium  Per corner Mill finish Local nos aluminum alu </v>
      </c>
    </row>
    <row r="383" customFormat="false" ht="22.35" hidden="false" customHeight="false" outlineLevel="0" collapsed="false">
      <c r="A383" s="56" t="str">
        <f aca="false">IF('08 Sealants &amp; Fixings'!$C$42="","","Sealants, Gaskets, Fixings &amp; Consumables")</f>
        <v>Sealants, Gaskets, Fixings &amp; Consumables</v>
      </c>
      <c r="B383" s="57" t="str">
        <f aca="false">IF('08 Sealants &amp; Fixings'!$C$42="","",'08 Sealants &amp; Fixings'!A42)</f>
        <v>SF-038</v>
      </c>
      <c r="C383" s="56" t="str">
        <f aca="false">IF('08 Sealants &amp; Fixings'!$C$42="","",'08 Sealants &amp; Fixings'!B42)</f>
        <v>Brackets &amp; Embeds</v>
      </c>
      <c r="D383" s="56" t="str">
        <f aca="false">IF('08 Sealants &amp; Fixings'!$C$42="","",'08 Sealants &amp; Fixings'!C42)</f>
        <v>Isolation pad / separator (PVC/neoprene)</v>
      </c>
      <c r="E383" s="56" t="str">
        <f aca="false">IF('08 Sealants &amp; Fixings'!$C$42="","",'08 Sealants &amp; Fixings'!D42)</f>
        <v>Per nos</v>
      </c>
      <c r="F383" s="56" t="str">
        <f aca="false">IF('08 Sealants &amp; Fixings'!$C$42="","",'08 Sealants &amp; Fixings'!E42)</f>
        <v>-</v>
      </c>
      <c r="G383" s="56" t="str">
        <f aca="false">IF('08 Sealants &amp; Fixings'!$C$42="","",'08 Sealants &amp; Fixings'!F42)</f>
        <v>Local</v>
      </c>
      <c r="H383" s="57" t="str">
        <f aca="false">IF('08 Sealants &amp; Fixings'!$C$42="","",'08 Sealants &amp; Fixings'!G42)</f>
        <v>nos</v>
      </c>
      <c r="I383" s="58" t="n">
        <f aca="false">IF('08 Sealants &amp; Fixings'!$C$42="","",'08 Sealants &amp; Fixings'!J42)</f>
        <v>1.65</v>
      </c>
      <c r="J383" s="58" t="n">
        <f aca="false">IF('08 Sealants &amp; Fixings'!$C$42="","",'08 Sealants &amp; Fixings'!K42)</f>
        <v>1.98</v>
      </c>
      <c r="K383" s="58" t="n">
        <f aca="false">IF('08 Sealants &amp; Fixings'!$C$42="","",'08 Sealants &amp; Fixings'!L42)</f>
        <v>2.08</v>
      </c>
      <c r="L383" s="57" t="str">
        <f aca="false">IF('08 Sealants &amp; Fixings'!$C$42="","",'08 Sealants &amp; Fixings'!M42)</f>
        <v>Indicative</v>
      </c>
      <c r="M383" s="59" t="str">
        <f aca="false">IF(D383="","",IF(AND(OR(Search!$C$6="All Categories",A383=Search!$C$6),OR(Search!$P$5="",ISNUMBER(SEARCH(" "&amp;Search!$P$5,N383))),OR(Search!$P$6="",ISNUMBER(SEARCH(" "&amp;Search!$P$6,N383))),OR(Search!$P$7="",ISNUMBER(SEARCH(" "&amp;Search!$P$7,N383))),OR(Search!$P$8="",ISNUMBER(SEARCH(" "&amp;Search!$P$8,N383))),OR(Search!$P$9="",ISNUMBER(SEARCH(" "&amp;Search!$P$9,N383))),OR(Search!$P$10="",ISNUMBER(SEARCH(" "&amp;Search!$P$10,N383)))),ROW(),""))</f>
        <v/>
      </c>
      <c r="N383" s="0" t="str">
        <f aca="false">IF(D383="",""," "&amp;SUBSTITUTE(SUBSTITUTE(SUBSTITUTE(SUBSTITUTE(SUBSTITUTE(SUBSTITUTE(SUBSTITUTE(B383&amp;" "&amp;C383&amp;" "&amp;D383&amp;" "&amp;E383&amp;" "&amp;F383&amp;" "&amp;G383&amp;" "&amp;H383&amp;" "&amp;'08 Sealants &amp; Fixings'!R42,"("," "),")"," "),"/"," "),"-"," "),","," "),";"," "),":"," ")&amp;" ")</f>
        <v> SF 038 Brackets &amp; Embeds Isolation pad   separator  PVC neoprene  Per nos   Local nos  </v>
      </c>
    </row>
    <row r="384" customFormat="false" ht="22.35" hidden="false" customHeight="false" outlineLevel="0" collapsed="false">
      <c r="A384" s="56" t="str">
        <f aca="false">IF('08 Sealants &amp; Fixings'!$C$43="","","Sealants, Gaskets, Fixings &amp; Consumables")</f>
        <v>Sealants, Gaskets, Fixings &amp; Consumables</v>
      </c>
      <c r="B384" s="57" t="str">
        <f aca="false">IF('08 Sealants &amp; Fixings'!$C$43="","",'08 Sealants &amp; Fixings'!A43)</f>
        <v>SF-039</v>
      </c>
      <c r="C384" s="56" t="str">
        <f aca="false">IF('08 Sealants &amp; Fixings'!$C$43="","",'08 Sealants &amp; Fixings'!B43)</f>
        <v>Consumables</v>
      </c>
      <c r="D384" s="56" t="str">
        <f aca="false">IF('08 Sealants &amp; Fixings'!$C$43="","",'08 Sealants &amp; Fixings'!C43)</f>
        <v>Cutting disc</v>
      </c>
      <c r="E384" s="56" t="str">
        <f aca="false">IF('08 Sealants &amp; Fixings'!$C$43="","",'08 Sealants &amp; Fixings'!D43)</f>
        <v>14 inch (aluminium / steel)</v>
      </c>
      <c r="F384" s="56" t="str">
        <f aca="false">IF('08 Sealants &amp; Fixings'!$C$43="","",'08 Sealants &amp; Fixings'!E43)</f>
        <v>-</v>
      </c>
      <c r="G384" s="56" t="str">
        <f aca="false">IF('08 Sealants &amp; Fixings'!$C$43="","",'08 Sealants &amp; Fixings'!F43)</f>
        <v>Local / Imported</v>
      </c>
      <c r="H384" s="57" t="str">
        <f aca="false">IF('08 Sealants &amp; Fixings'!$C$43="","",'08 Sealants &amp; Fixings'!G43)</f>
        <v>nos</v>
      </c>
      <c r="I384" s="58" t="n">
        <f aca="false">IF('08 Sealants &amp; Fixings'!$C$43="","",'08 Sealants &amp; Fixings'!J43)</f>
        <v>19.8</v>
      </c>
      <c r="J384" s="58" t="n">
        <f aca="false">IF('08 Sealants &amp; Fixings'!$C$43="","",'08 Sealants &amp; Fixings'!K43)</f>
        <v>23.76</v>
      </c>
      <c r="K384" s="58" t="n">
        <f aca="false">IF('08 Sealants &amp; Fixings'!$C$43="","",'08 Sealants &amp; Fixings'!L43)</f>
        <v>24.95</v>
      </c>
      <c r="L384" s="57" t="str">
        <f aca="false">IF('08 Sealants &amp; Fixings'!$C$43="","",'08 Sealants &amp; Fixings'!M43)</f>
        <v>Indicative</v>
      </c>
      <c r="M384" s="59" t="str">
        <f aca="false">IF(D384="","",IF(AND(OR(Search!$C$6="All Categories",A384=Search!$C$6),OR(Search!$P$5="",ISNUMBER(SEARCH(" "&amp;Search!$P$5,N384))),OR(Search!$P$6="",ISNUMBER(SEARCH(" "&amp;Search!$P$6,N384))),OR(Search!$P$7="",ISNUMBER(SEARCH(" "&amp;Search!$P$7,N384))),OR(Search!$P$8="",ISNUMBER(SEARCH(" "&amp;Search!$P$8,N384))),OR(Search!$P$9="",ISNUMBER(SEARCH(" "&amp;Search!$P$9,N384))),OR(Search!$P$10="",ISNUMBER(SEARCH(" "&amp;Search!$P$10,N384)))),ROW(),""))</f>
        <v/>
      </c>
      <c r="N384" s="0" t="str">
        <f aca="false">IF(D384="",""," "&amp;SUBSTITUTE(SUBSTITUTE(SUBSTITUTE(SUBSTITUTE(SUBSTITUTE(SUBSTITUTE(SUBSTITUTE(B384&amp;" "&amp;C384&amp;" "&amp;D384&amp;" "&amp;E384&amp;" "&amp;F384&amp;" "&amp;G384&amp;" "&amp;H384&amp;" "&amp;'08 Sealants &amp; Fixings'!R43,"("," "),")"," "),"/"," "),"-"," "),","," "),";"," "),":"," ")&amp;" ")</f>
        <v> SF 039 Consumables Cutting disc 14 inch  aluminium   steel    Local   Imported nos aluminum alu </v>
      </c>
    </row>
    <row r="385" customFormat="false" ht="22.35" hidden="false" customHeight="false" outlineLevel="0" collapsed="false">
      <c r="A385" s="56" t="str">
        <f aca="false">IF('08 Sealants &amp; Fixings'!$C$44="","","Sealants, Gaskets, Fixings &amp; Consumables")</f>
        <v>Sealants, Gaskets, Fixings &amp; Consumables</v>
      </c>
      <c r="B385" s="57" t="str">
        <f aca="false">IF('08 Sealants &amp; Fixings'!$C$44="","",'08 Sealants &amp; Fixings'!A44)</f>
        <v>SF-040</v>
      </c>
      <c r="C385" s="56" t="str">
        <f aca="false">IF('08 Sealants &amp; Fixings'!$C$44="","",'08 Sealants &amp; Fixings'!B44)</f>
        <v>Consumables</v>
      </c>
      <c r="D385" s="56" t="str">
        <f aca="false">IF('08 Sealants &amp; Fixings'!$C$44="","",'08 Sealants &amp; Fixings'!C44)</f>
        <v>Grinding / flap disc</v>
      </c>
      <c r="E385" s="56" t="str">
        <f aca="false">IF('08 Sealants &amp; Fixings'!$C$44="","",'08 Sealants &amp; Fixings'!D44)</f>
        <v>4.5 inch</v>
      </c>
      <c r="F385" s="56" t="str">
        <f aca="false">IF('08 Sealants &amp; Fixings'!$C$44="","",'08 Sealants &amp; Fixings'!E44)</f>
        <v>-</v>
      </c>
      <c r="G385" s="56" t="str">
        <f aca="false">IF('08 Sealants &amp; Fixings'!$C$44="","",'08 Sealants &amp; Fixings'!F44)</f>
        <v>Local / Imported</v>
      </c>
      <c r="H385" s="57" t="str">
        <f aca="false">IF('08 Sealants &amp; Fixings'!$C$44="","",'08 Sealants &amp; Fixings'!G44)</f>
        <v>nos</v>
      </c>
      <c r="I385" s="58" t="n">
        <f aca="false">IF('08 Sealants &amp; Fixings'!$C$44="","",'08 Sealants &amp; Fixings'!J44)</f>
        <v>6.6</v>
      </c>
      <c r="J385" s="58" t="n">
        <f aca="false">IF('08 Sealants &amp; Fixings'!$C$44="","",'08 Sealants &amp; Fixings'!K44)</f>
        <v>7.92</v>
      </c>
      <c r="K385" s="58" t="n">
        <f aca="false">IF('08 Sealants &amp; Fixings'!$C$44="","",'08 Sealants &amp; Fixings'!L44)</f>
        <v>8.32</v>
      </c>
      <c r="L385" s="57" t="str">
        <f aca="false">IF('08 Sealants &amp; Fixings'!$C$44="","",'08 Sealants &amp; Fixings'!M44)</f>
        <v>Indicative</v>
      </c>
      <c r="M385" s="59" t="str">
        <f aca="false">IF(D385="","",IF(AND(OR(Search!$C$6="All Categories",A385=Search!$C$6),OR(Search!$P$5="",ISNUMBER(SEARCH(" "&amp;Search!$P$5,N385))),OR(Search!$P$6="",ISNUMBER(SEARCH(" "&amp;Search!$P$6,N385))),OR(Search!$P$7="",ISNUMBER(SEARCH(" "&amp;Search!$P$7,N385))),OR(Search!$P$8="",ISNUMBER(SEARCH(" "&amp;Search!$P$8,N385))),OR(Search!$P$9="",ISNUMBER(SEARCH(" "&amp;Search!$P$9,N385))),OR(Search!$P$10="",ISNUMBER(SEARCH(" "&amp;Search!$P$10,N385)))),ROW(),""))</f>
        <v/>
      </c>
      <c r="N385" s="0" t="str">
        <f aca="false">IF(D385="",""," "&amp;SUBSTITUTE(SUBSTITUTE(SUBSTITUTE(SUBSTITUTE(SUBSTITUTE(SUBSTITUTE(SUBSTITUTE(B385&amp;" "&amp;C385&amp;" "&amp;D385&amp;" "&amp;E385&amp;" "&amp;F385&amp;" "&amp;G385&amp;" "&amp;H385&amp;" "&amp;'08 Sealants &amp; Fixings'!R44,"("," "),")"," "),"/"," "),"-"," "),","," "),";"," "),":"," ")&amp;" ")</f>
        <v> SF 040 Consumables Grinding   flap disc 4.5 inch   Local   Imported nos  </v>
      </c>
    </row>
    <row r="386" customFormat="false" ht="22.35" hidden="false" customHeight="false" outlineLevel="0" collapsed="false">
      <c r="A386" s="56" t="str">
        <f aca="false">IF('08 Sealants &amp; Fixings'!$C$45="","","Sealants, Gaskets, Fixings &amp; Consumables")</f>
        <v>Sealants, Gaskets, Fixings &amp; Consumables</v>
      </c>
      <c r="B386" s="57" t="str">
        <f aca="false">IF('08 Sealants &amp; Fixings'!$C$45="","",'08 Sealants &amp; Fixings'!A45)</f>
        <v>SF-041</v>
      </c>
      <c r="C386" s="56" t="str">
        <f aca="false">IF('08 Sealants &amp; Fixings'!$C$45="","",'08 Sealants &amp; Fixings'!B45)</f>
        <v>Consumables</v>
      </c>
      <c r="D386" s="56" t="str">
        <f aca="false">IF('08 Sealants &amp; Fixings'!$C$45="","",'08 Sealants &amp; Fixings'!C45)</f>
        <v>Welding electrode (E6013)</v>
      </c>
      <c r="E386" s="56" t="str">
        <f aca="false">IF('08 Sealants &amp; Fixings'!$C$45="","",'08 Sealants &amp; Fixings'!D45)</f>
        <v>2.5 / 3.2 mm, 5 kg pkt</v>
      </c>
      <c r="F386" s="56" t="str">
        <f aca="false">IF('08 Sealants &amp; Fixings'!$C$45="","",'08 Sealants &amp; Fixings'!E45)</f>
        <v>-</v>
      </c>
      <c r="G386" s="56" t="str">
        <f aca="false">IF('08 Sealants &amp; Fixings'!$C$45="","",'08 Sealants &amp; Fixings'!F45)</f>
        <v>ESAB / Equiv.</v>
      </c>
      <c r="H386" s="57" t="str">
        <f aca="false">IF('08 Sealants &amp; Fixings'!$C$45="","",'08 Sealants &amp; Fixings'!G45)</f>
        <v>pkt</v>
      </c>
      <c r="I386" s="58" t="n">
        <f aca="false">IF('08 Sealants &amp; Fixings'!$C$45="","",'08 Sealants &amp; Fixings'!J45)</f>
        <v>60.5</v>
      </c>
      <c r="J386" s="58" t="n">
        <f aca="false">IF('08 Sealants &amp; Fixings'!$C$45="","",'08 Sealants &amp; Fixings'!K45)</f>
        <v>72.6</v>
      </c>
      <c r="K386" s="58" t="n">
        <f aca="false">IF('08 Sealants &amp; Fixings'!$C$45="","",'08 Sealants &amp; Fixings'!L45)</f>
        <v>76.23</v>
      </c>
      <c r="L386" s="57" t="str">
        <f aca="false">IF('08 Sealants &amp; Fixings'!$C$45="","",'08 Sealants &amp; Fixings'!M45)</f>
        <v>Indicative</v>
      </c>
      <c r="M386" s="59" t="str">
        <f aca="false">IF(D386="","",IF(AND(OR(Search!$C$6="All Categories",A386=Search!$C$6),OR(Search!$P$5="",ISNUMBER(SEARCH(" "&amp;Search!$P$5,N386))),OR(Search!$P$6="",ISNUMBER(SEARCH(" "&amp;Search!$P$6,N386))),OR(Search!$P$7="",ISNUMBER(SEARCH(" "&amp;Search!$P$7,N386))),OR(Search!$P$8="",ISNUMBER(SEARCH(" "&amp;Search!$P$8,N386))),OR(Search!$P$9="",ISNUMBER(SEARCH(" "&amp;Search!$P$9,N386))),OR(Search!$P$10="",ISNUMBER(SEARCH(" "&amp;Search!$P$10,N386)))),ROW(),""))</f>
        <v/>
      </c>
      <c r="N386" s="0" t="str">
        <f aca="false">IF(D386="",""," "&amp;SUBSTITUTE(SUBSTITUTE(SUBSTITUTE(SUBSTITUTE(SUBSTITUTE(SUBSTITUTE(SUBSTITUTE(B386&amp;" "&amp;C386&amp;" "&amp;D386&amp;" "&amp;E386&amp;" "&amp;F386&amp;" "&amp;G386&amp;" "&amp;H386&amp;" "&amp;'08 Sealants &amp; Fixings'!R45,"("," "),")"," "),"/"," "),"-"," "),","," "),";"," "),":"," ")&amp;" ")</f>
        <v> SF 041 Consumables Welding electrode  E6013  2.5   3.2 mm  5 kg pkt   ESAB   Equiv. pkt 3.2mm </v>
      </c>
    </row>
    <row r="387" customFormat="false" ht="22.35" hidden="false" customHeight="false" outlineLevel="0" collapsed="false">
      <c r="A387" s="56" t="str">
        <f aca="false">IF('08 Sealants &amp; Fixings'!$C$46="","","Sealants, Gaskets, Fixings &amp; Consumables")</f>
        <v>Sealants, Gaskets, Fixings &amp; Consumables</v>
      </c>
      <c r="B387" s="57" t="str">
        <f aca="false">IF('08 Sealants &amp; Fixings'!$C$46="","",'08 Sealants &amp; Fixings'!A46)</f>
        <v>SF-042</v>
      </c>
      <c r="C387" s="56" t="str">
        <f aca="false">IF('08 Sealants &amp; Fixings'!$C$46="","",'08 Sealants &amp; Fixings'!B46)</f>
        <v>Consumables</v>
      </c>
      <c r="D387" s="56" t="str">
        <f aca="false">IF('08 Sealants &amp; Fixings'!$C$46="","",'08 Sealants &amp; Fixings'!C46)</f>
        <v>TIG filler rod SS 308L / 316L</v>
      </c>
      <c r="E387" s="56" t="str">
        <f aca="false">IF('08 Sealants &amp; Fixings'!$C$46="","",'08 Sealants &amp; Fixings'!D46)</f>
        <v>Per kg</v>
      </c>
      <c r="F387" s="56" t="str">
        <f aca="false">IF('08 Sealants &amp; Fixings'!$C$46="","",'08 Sealants &amp; Fixings'!E46)</f>
        <v>-</v>
      </c>
      <c r="G387" s="56" t="str">
        <f aca="false">IF('08 Sealants &amp; Fixings'!$C$46="","",'08 Sealants &amp; Fixings'!F46)</f>
        <v>ESAB / Equiv.</v>
      </c>
      <c r="H387" s="57" t="str">
        <f aca="false">IF('08 Sealants &amp; Fixings'!$C$46="","",'08 Sealants &amp; Fixings'!G46)</f>
        <v>kg</v>
      </c>
      <c r="I387" s="58" t="n">
        <f aca="false">IF('08 Sealants &amp; Fixings'!$C$46="","",'08 Sealants &amp; Fixings'!J46)</f>
        <v>71.5</v>
      </c>
      <c r="J387" s="58" t="n">
        <f aca="false">IF('08 Sealants &amp; Fixings'!$C$46="","",'08 Sealants &amp; Fixings'!K46)</f>
        <v>85.8</v>
      </c>
      <c r="K387" s="58" t="n">
        <f aca="false">IF('08 Sealants &amp; Fixings'!$C$46="","",'08 Sealants &amp; Fixings'!L46)</f>
        <v>90.09</v>
      </c>
      <c r="L387" s="57" t="str">
        <f aca="false">IF('08 Sealants &amp; Fixings'!$C$46="","",'08 Sealants &amp; Fixings'!M46)</f>
        <v>Indicative</v>
      </c>
      <c r="M387" s="59" t="str">
        <f aca="false">IF(D387="","",IF(AND(OR(Search!$C$6="All Categories",A387=Search!$C$6),OR(Search!$P$5="",ISNUMBER(SEARCH(" "&amp;Search!$P$5,N387))),OR(Search!$P$6="",ISNUMBER(SEARCH(" "&amp;Search!$P$6,N387))),OR(Search!$P$7="",ISNUMBER(SEARCH(" "&amp;Search!$P$7,N387))),OR(Search!$P$8="",ISNUMBER(SEARCH(" "&amp;Search!$P$8,N387))),OR(Search!$P$9="",ISNUMBER(SEARCH(" "&amp;Search!$P$9,N387))),OR(Search!$P$10="",ISNUMBER(SEARCH(" "&amp;Search!$P$10,N387)))),ROW(),""))</f>
        <v/>
      </c>
      <c r="N387" s="0" t="str">
        <f aca="false">IF(D387="",""," "&amp;SUBSTITUTE(SUBSTITUTE(SUBSTITUTE(SUBSTITUTE(SUBSTITUTE(SUBSTITUTE(SUBSTITUTE(B387&amp;" "&amp;C387&amp;" "&amp;D387&amp;" "&amp;E387&amp;" "&amp;F387&amp;" "&amp;G387&amp;" "&amp;H387&amp;" "&amp;'08 Sealants &amp; Fixings'!R46,"("," "),")"," "),"/"," "),"-"," "),","," "),";"," "),":"," ")&amp;" ")</f>
        <v> SF 042 Consumables TIG filler rod SS 308L   316L Per kg   ESAB   Equiv. kg ss316 sus316 stainless steel </v>
      </c>
    </row>
    <row r="388" customFormat="false" ht="22.35" hidden="false" customHeight="false" outlineLevel="0" collapsed="false">
      <c r="A388" s="56" t="str">
        <f aca="false">IF('08 Sealants &amp; Fixings'!$C$47="","","Sealants, Gaskets, Fixings &amp; Consumables")</f>
        <v>Sealants, Gaskets, Fixings &amp; Consumables</v>
      </c>
      <c r="B388" s="57" t="str">
        <f aca="false">IF('08 Sealants &amp; Fixings'!$C$47="","",'08 Sealants &amp; Fixings'!A47)</f>
        <v>SF-043</v>
      </c>
      <c r="C388" s="56" t="str">
        <f aca="false">IF('08 Sealants &amp; Fixings'!$C$47="","",'08 Sealants &amp; Fixings'!B47)</f>
        <v>Consumables</v>
      </c>
      <c r="D388" s="56" t="str">
        <f aca="false">IF('08 Sealants &amp; Fixings'!$C$47="","",'08 Sealants &amp; Fixings'!C47)</f>
        <v>Argon gas cylinder refill</v>
      </c>
      <c r="E388" s="56" t="str">
        <f aca="false">IF('08 Sealants &amp; Fixings'!$C$47="","",'08 Sealants &amp; Fixings'!D47)</f>
        <v>Per cylinder</v>
      </c>
      <c r="F388" s="56" t="str">
        <f aca="false">IF('08 Sealants &amp; Fixings'!$C$47="","",'08 Sealants &amp; Fixings'!E47)</f>
        <v>-</v>
      </c>
      <c r="G388" s="56" t="str">
        <f aca="false">IF('08 Sealants &amp; Fixings'!$C$47="","",'08 Sealants &amp; Fixings'!F47)</f>
        <v>Local</v>
      </c>
      <c r="H388" s="57" t="str">
        <f aca="false">IF('08 Sealants &amp; Fixings'!$C$47="","",'08 Sealants &amp; Fixings'!G47)</f>
        <v>nos</v>
      </c>
      <c r="I388" s="58" t="n">
        <f aca="false">IF('08 Sealants &amp; Fixings'!$C$47="","",'08 Sealants &amp; Fixings'!J47)</f>
        <v>132</v>
      </c>
      <c r="J388" s="58" t="n">
        <f aca="false">IF('08 Sealants &amp; Fixings'!$C$47="","",'08 Sealants &amp; Fixings'!K47)</f>
        <v>158.4</v>
      </c>
      <c r="K388" s="58" t="n">
        <f aca="false">IF('08 Sealants &amp; Fixings'!$C$47="","",'08 Sealants &amp; Fixings'!L47)</f>
        <v>166.32</v>
      </c>
      <c r="L388" s="57" t="str">
        <f aca="false">IF('08 Sealants &amp; Fixings'!$C$47="","",'08 Sealants &amp; Fixings'!M47)</f>
        <v>Indicative</v>
      </c>
      <c r="M388" s="59" t="str">
        <f aca="false">IF(D388="","",IF(AND(OR(Search!$C$6="All Categories",A388=Search!$C$6),OR(Search!$P$5="",ISNUMBER(SEARCH(" "&amp;Search!$P$5,N388))),OR(Search!$P$6="",ISNUMBER(SEARCH(" "&amp;Search!$P$6,N388))),OR(Search!$P$7="",ISNUMBER(SEARCH(" "&amp;Search!$P$7,N388))),OR(Search!$P$8="",ISNUMBER(SEARCH(" "&amp;Search!$P$8,N388))),OR(Search!$P$9="",ISNUMBER(SEARCH(" "&amp;Search!$P$9,N388))),OR(Search!$P$10="",ISNUMBER(SEARCH(" "&amp;Search!$P$10,N388)))),ROW(),""))</f>
        <v/>
      </c>
      <c r="N388" s="0" t="str">
        <f aca="false">IF(D388="",""," "&amp;SUBSTITUTE(SUBSTITUTE(SUBSTITUTE(SUBSTITUTE(SUBSTITUTE(SUBSTITUTE(SUBSTITUTE(B388&amp;" "&amp;C388&amp;" "&amp;D388&amp;" "&amp;E388&amp;" "&amp;F388&amp;" "&amp;G388&amp;" "&amp;H388&amp;" "&amp;'08 Sealants &amp; Fixings'!R47,"("," "),")"," "),"/"," "),"-"," "),","," "),";"," "),":"," ")&amp;" ")</f>
        <v> SF 043 Consumables Argon gas cylinder refill Per cylinder   Local nos  </v>
      </c>
    </row>
    <row r="389" customFormat="false" ht="22.35" hidden="false" customHeight="false" outlineLevel="0" collapsed="false">
      <c r="A389" s="56" t="str">
        <f aca="false">IF('08 Sealants &amp; Fixings'!$C$48="","","Sealants, Gaskets, Fixings &amp; Consumables")</f>
        <v>Sealants, Gaskets, Fixings &amp; Consumables</v>
      </c>
      <c r="B389" s="57" t="str">
        <f aca="false">IF('08 Sealants &amp; Fixings'!$C$48="","",'08 Sealants &amp; Fixings'!A48)</f>
        <v>SF-044</v>
      </c>
      <c r="C389" s="56" t="str">
        <f aca="false">IF('08 Sealants &amp; Fixings'!$C$48="","",'08 Sealants &amp; Fixings'!B48)</f>
        <v>Consumables</v>
      </c>
      <c r="D389" s="56" t="str">
        <f aca="false">IF('08 Sealants &amp; Fixings'!$C$48="","",'08 Sealants &amp; Fixings'!C48)</f>
        <v>Drill bits (HSS / masonry assorted)</v>
      </c>
      <c r="E389" s="56" t="str">
        <f aca="false">IF('08 Sealants &amp; Fixings'!$C$48="","",'08 Sealants &amp; Fixings'!D48)</f>
        <v>Set</v>
      </c>
      <c r="F389" s="56" t="str">
        <f aca="false">IF('08 Sealants &amp; Fixings'!$C$48="","",'08 Sealants &amp; Fixings'!E48)</f>
        <v>-</v>
      </c>
      <c r="G389" s="56" t="str">
        <f aca="false">IF('08 Sealants &amp; Fixings'!$C$48="","",'08 Sealants &amp; Fixings'!F48)</f>
        <v>Bosch / Equiv.</v>
      </c>
      <c r="H389" s="57" t="str">
        <f aca="false">IF('08 Sealants &amp; Fixings'!$C$48="","",'08 Sealants &amp; Fixings'!G48)</f>
        <v>set</v>
      </c>
      <c r="I389" s="58" t="n">
        <f aca="false">IF('08 Sealants &amp; Fixings'!$C$48="","",'08 Sealants &amp; Fixings'!J48)</f>
        <v>93.5</v>
      </c>
      <c r="J389" s="58" t="n">
        <f aca="false">IF('08 Sealants &amp; Fixings'!$C$48="","",'08 Sealants &amp; Fixings'!K48)</f>
        <v>112.2</v>
      </c>
      <c r="K389" s="58" t="n">
        <f aca="false">IF('08 Sealants &amp; Fixings'!$C$48="","",'08 Sealants &amp; Fixings'!L48)</f>
        <v>117.81</v>
      </c>
      <c r="L389" s="57" t="str">
        <f aca="false">IF('08 Sealants &amp; Fixings'!$C$48="","",'08 Sealants &amp; Fixings'!M48)</f>
        <v>Indicative</v>
      </c>
      <c r="M389" s="59" t="str">
        <f aca="false">IF(D389="","",IF(AND(OR(Search!$C$6="All Categories",A389=Search!$C$6),OR(Search!$P$5="",ISNUMBER(SEARCH(" "&amp;Search!$P$5,N389))),OR(Search!$P$6="",ISNUMBER(SEARCH(" "&amp;Search!$P$6,N389))),OR(Search!$P$7="",ISNUMBER(SEARCH(" "&amp;Search!$P$7,N389))),OR(Search!$P$8="",ISNUMBER(SEARCH(" "&amp;Search!$P$8,N389))),OR(Search!$P$9="",ISNUMBER(SEARCH(" "&amp;Search!$P$9,N389))),OR(Search!$P$10="",ISNUMBER(SEARCH(" "&amp;Search!$P$10,N389)))),ROW(),""))</f>
        <v/>
      </c>
      <c r="N389" s="0" t="str">
        <f aca="false">IF(D389="",""," "&amp;SUBSTITUTE(SUBSTITUTE(SUBSTITUTE(SUBSTITUTE(SUBSTITUTE(SUBSTITUTE(SUBSTITUTE(B389&amp;" "&amp;C389&amp;" "&amp;D389&amp;" "&amp;E389&amp;" "&amp;F389&amp;" "&amp;G389&amp;" "&amp;H389&amp;" "&amp;'08 Sealants &amp; Fixings'!R48,"("," "),")"," "),"/"," "),"-"," "),","," "),";"," "),":"," ")&amp;" ")</f>
        <v> SF 044 Consumables Drill bits  HSS   masonry assorted  Set   Bosch   Equiv. set stainless steel </v>
      </c>
    </row>
    <row r="390" customFormat="false" ht="22.35" hidden="false" customHeight="false" outlineLevel="0" collapsed="false">
      <c r="A390" s="56" t="str">
        <f aca="false">IF('08 Sealants &amp; Fixings'!$C$49="","","Sealants, Gaskets, Fixings &amp; Consumables")</f>
        <v>Sealants, Gaskets, Fixings &amp; Consumables</v>
      </c>
      <c r="B390" s="57" t="str">
        <f aca="false">IF('08 Sealants &amp; Fixings'!$C$49="","",'08 Sealants &amp; Fixings'!A49)</f>
        <v>SF-045</v>
      </c>
      <c r="C390" s="56" t="str">
        <f aca="false">IF('08 Sealants &amp; Fixings'!$C$49="","",'08 Sealants &amp; Fixings'!B49)</f>
        <v>Consumables</v>
      </c>
      <c r="D390" s="56" t="str">
        <f aca="false">IF('08 Sealants &amp; Fixings'!$C$49="","",'08 Sealants &amp; Fixings'!C49)</f>
        <v>Protective film for aluminium</v>
      </c>
      <c r="E390" s="56" t="str">
        <f aca="false">IF('08 Sealants &amp; Fixings'!$C$49="","",'08 Sealants &amp; Fixings'!D49)</f>
        <v>Per m2</v>
      </c>
      <c r="F390" s="56" t="str">
        <f aca="false">IF('08 Sealants &amp; Fixings'!$C$49="","",'08 Sealants &amp; Fixings'!E49)</f>
        <v>-</v>
      </c>
      <c r="G390" s="56" t="str">
        <f aca="false">IF('08 Sealants &amp; Fixings'!$C$49="","",'08 Sealants &amp; Fixings'!F49)</f>
        <v>Local</v>
      </c>
      <c r="H390" s="57" t="str">
        <f aca="false">IF('08 Sealants &amp; Fixings'!$C$49="","",'08 Sealants &amp; Fixings'!G49)</f>
        <v>m2</v>
      </c>
      <c r="I390" s="58" t="n">
        <f aca="false">IF('08 Sealants &amp; Fixings'!$C$49="","",'08 Sealants &amp; Fixings'!J49)</f>
        <v>1.32</v>
      </c>
      <c r="J390" s="58" t="n">
        <f aca="false">IF('08 Sealants &amp; Fixings'!$C$49="","",'08 Sealants &amp; Fixings'!K49)</f>
        <v>1.58</v>
      </c>
      <c r="K390" s="58" t="n">
        <f aca="false">IF('08 Sealants &amp; Fixings'!$C$49="","",'08 Sealants &amp; Fixings'!L49)</f>
        <v>1.66</v>
      </c>
      <c r="L390" s="57" t="str">
        <f aca="false">IF('08 Sealants &amp; Fixings'!$C$49="","",'08 Sealants &amp; Fixings'!M49)</f>
        <v>Indicative</v>
      </c>
      <c r="M390" s="59" t="str">
        <f aca="false">IF(D390="","",IF(AND(OR(Search!$C$6="All Categories",A390=Search!$C$6),OR(Search!$P$5="",ISNUMBER(SEARCH(" "&amp;Search!$P$5,N390))),OR(Search!$P$6="",ISNUMBER(SEARCH(" "&amp;Search!$P$6,N390))),OR(Search!$P$7="",ISNUMBER(SEARCH(" "&amp;Search!$P$7,N390))),OR(Search!$P$8="",ISNUMBER(SEARCH(" "&amp;Search!$P$8,N390))),OR(Search!$P$9="",ISNUMBER(SEARCH(" "&amp;Search!$P$9,N390))),OR(Search!$P$10="",ISNUMBER(SEARCH(" "&amp;Search!$P$10,N390)))),ROW(),""))</f>
        <v/>
      </c>
      <c r="N390" s="0" t="str">
        <f aca="false">IF(D390="",""," "&amp;SUBSTITUTE(SUBSTITUTE(SUBSTITUTE(SUBSTITUTE(SUBSTITUTE(SUBSTITUTE(SUBSTITUTE(B390&amp;" "&amp;C390&amp;" "&amp;D390&amp;" "&amp;E390&amp;" "&amp;F390&amp;" "&amp;G390&amp;" "&amp;H390&amp;" "&amp;'08 Sealants &amp; Fixings'!R49,"("," "),")"," "),"/"," "),"-"," "),","," "),";"," "),":"," ")&amp;" ")</f>
        <v> SF 045 Consumables Protective film for aluminium Per m2   Local m2 aluminum alu </v>
      </c>
    </row>
    <row r="391" customFormat="false" ht="22.35" hidden="false" customHeight="false" outlineLevel="0" collapsed="false">
      <c r="A391" s="56" t="str">
        <f aca="false">IF('08 Sealants &amp; Fixings'!$C$50="","","Sealants, Gaskets, Fixings &amp; Consumables")</f>
        <v>Sealants, Gaskets, Fixings &amp; Consumables</v>
      </c>
      <c r="B391" s="57" t="str">
        <f aca="false">IF('08 Sealants &amp; Fixings'!$C$50="","",'08 Sealants &amp; Fixings'!A50)</f>
        <v>SF-046</v>
      </c>
      <c r="C391" s="56" t="str">
        <f aca="false">IF('08 Sealants &amp; Fixings'!$C$50="","",'08 Sealants &amp; Fixings'!B50)</f>
        <v>Consumables</v>
      </c>
      <c r="D391" s="56" t="str">
        <f aca="false">IF('08 Sealants &amp; Fixings'!$C$50="","",'08 Sealants &amp; Fixings'!C50)</f>
        <v>Cleaning materials (IPA, cloth, etc.)</v>
      </c>
      <c r="E391" s="56" t="str">
        <f aca="false">IF('08 Sealants &amp; Fixings'!$C$50="","",'08 Sealants &amp; Fixings'!D50)</f>
        <v>Lump sum per project</v>
      </c>
      <c r="F391" s="56" t="str">
        <f aca="false">IF('08 Sealants &amp; Fixings'!$C$50="","",'08 Sealants &amp; Fixings'!E50)</f>
        <v>-</v>
      </c>
      <c r="G391" s="56" t="str">
        <f aca="false">IF('08 Sealants &amp; Fixings'!$C$50="","",'08 Sealants &amp; Fixings'!F50)</f>
        <v>Local</v>
      </c>
      <c r="H391" s="57" t="str">
        <f aca="false">IF('08 Sealants &amp; Fixings'!$C$50="","",'08 Sealants &amp; Fixings'!G50)</f>
        <v>ls</v>
      </c>
      <c r="I391" s="58" t="n">
        <f aca="false">IF('08 Sealants &amp; Fixings'!$C$50="","",'08 Sealants &amp; Fixings'!J50)</f>
        <v>275</v>
      </c>
      <c r="J391" s="58" t="n">
        <f aca="false">IF('08 Sealants &amp; Fixings'!$C$50="","",'08 Sealants &amp; Fixings'!K50)</f>
        <v>330</v>
      </c>
      <c r="K391" s="58" t="n">
        <f aca="false">IF('08 Sealants &amp; Fixings'!$C$50="","",'08 Sealants &amp; Fixings'!L50)</f>
        <v>346.5</v>
      </c>
      <c r="L391" s="57" t="str">
        <f aca="false">IF('08 Sealants &amp; Fixings'!$C$50="","",'08 Sealants &amp; Fixings'!M50)</f>
        <v>Indicative</v>
      </c>
      <c r="M391" s="59" t="str">
        <f aca="false">IF(D391="","",IF(AND(OR(Search!$C$6="All Categories",A391=Search!$C$6),OR(Search!$P$5="",ISNUMBER(SEARCH(" "&amp;Search!$P$5,N391))),OR(Search!$P$6="",ISNUMBER(SEARCH(" "&amp;Search!$P$6,N391))),OR(Search!$P$7="",ISNUMBER(SEARCH(" "&amp;Search!$P$7,N391))),OR(Search!$P$8="",ISNUMBER(SEARCH(" "&amp;Search!$P$8,N391))),OR(Search!$P$9="",ISNUMBER(SEARCH(" "&amp;Search!$P$9,N391))),OR(Search!$P$10="",ISNUMBER(SEARCH(" "&amp;Search!$P$10,N391)))),ROW(),""))</f>
        <v/>
      </c>
      <c r="N391" s="0" t="str">
        <f aca="false">IF(D391="",""," "&amp;SUBSTITUTE(SUBSTITUTE(SUBSTITUTE(SUBSTITUTE(SUBSTITUTE(SUBSTITUTE(SUBSTITUTE(B391&amp;" "&amp;C391&amp;" "&amp;D391&amp;" "&amp;E391&amp;" "&amp;F391&amp;" "&amp;G391&amp;" "&amp;H391&amp;" "&amp;'08 Sealants &amp; Fixings'!R50,"("," "),")"," "),"/"," "),"-"," "),","," "),";"," "),":"," ")&amp;" ")</f>
        <v> SF 046 Consumables Cleaning materials  IPA  cloth  etc.  Lump sum per project   Local ls  </v>
      </c>
    </row>
    <row r="392" customFormat="false" ht="15" hidden="false" customHeight="false" outlineLevel="0" collapsed="false">
      <c r="A392" s="56" t="str">
        <f aca="false">IF('08 Sealants &amp; Fixings'!$C$51="","","Sealants, Gaskets, Fixings &amp; Consumables")</f>
        <v/>
      </c>
      <c r="B392" s="57" t="str">
        <f aca="false">IF('08 Sealants &amp; Fixings'!$C$51="","",'08 Sealants &amp; Fixings'!A51)</f>
        <v/>
      </c>
      <c r="C392" s="56" t="str">
        <f aca="false">IF('08 Sealants &amp; Fixings'!$C$51="","",'08 Sealants &amp; Fixings'!B51)</f>
        <v/>
      </c>
      <c r="D392" s="56" t="str">
        <f aca="false">IF('08 Sealants &amp; Fixings'!$C$51="","",'08 Sealants &amp; Fixings'!C51)</f>
        <v/>
      </c>
      <c r="E392" s="56" t="str">
        <f aca="false">IF('08 Sealants &amp; Fixings'!$C$51="","",'08 Sealants &amp; Fixings'!D51)</f>
        <v/>
      </c>
      <c r="F392" s="56" t="str">
        <f aca="false">IF('08 Sealants &amp; Fixings'!$C$51="","",'08 Sealants &amp; Fixings'!E51)</f>
        <v/>
      </c>
      <c r="G392" s="56" t="str">
        <f aca="false">IF('08 Sealants &amp; Fixings'!$C$51="","",'08 Sealants &amp; Fixings'!F51)</f>
        <v/>
      </c>
      <c r="H392" s="57" t="str">
        <f aca="false">IF('08 Sealants &amp; Fixings'!$C$51="","",'08 Sealants &amp; Fixings'!G51)</f>
        <v/>
      </c>
      <c r="I392" s="58" t="str">
        <f aca="false">IF('08 Sealants &amp; Fixings'!$C$51="","",'08 Sealants &amp; Fixings'!J51)</f>
        <v/>
      </c>
      <c r="J392" s="58" t="str">
        <f aca="false">IF('08 Sealants &amp; Fixings'!$C$51="","",'08 Sealants &amp; Fixings'!K51)</f>
        <v/>
      </c>
      <c r="K392" s="58" t="str">
        <f aca="false">IF('08 Sealants &amp; Fixings'!$C$51="","",'08 Sealants &amp; Fixings'!L51)</f>
        <v/>
      </c>
      <c r="L392" s="57" t="str">
        <f aca="false">IF('08 Sealants &amp; Fixings'!$C$51="","",'08 Sealants &amp; Fixings'!M51)</f>
        <v/>
      </c>
      <c r="M392" s="59" t="str">
        <f aca="false">IF(D392="","",IF(AND(OR(Search!$C$6="All Categories",A392=Search!$C$6),OR(Search!$P$5="",ISNUMBER(SEARCH(" "&amp;Search!$P$5,N392))),OR(Search!$P$6="",ISNUMBER(SEARCH(" "&amp;Search!$P$6,N392))),OR(Search!$P$7="",ISNUMBER(SEARCH(" "&amp;Search!$P$7,N392))),OR(Search!$P$8="",ISNUMBER(SEARCH(" "&amp;Search!$P$8,N392))),OR(Search!$P$9="",ISNUMBER(SEARCH(" "&amp;Search!$P$9,N392))),OR(Search!$P$10="",ISNUMBER(SEARCH(" "&amp;Search!$P$10,N392)))),ROW(),""))</f>
        <v/>
      </c>
      <c r="N392" s="0" t="str">
        <f aca="false">IF(D392="",""," "&amp;SUBSTITUTE(SUBSTITUTE(SUBSTITUTE(SUBSTITUTE(SUBSTITUTE(SUBSTITUTE(SUBSTITUTE(B392&amp;" "&amp;C392&amp;" "&amp;D392&amp;" "&amp;E392&amp;" "&amp;F392&amp;" "&amp;G392&amp;" "&amp;H392&amp;" "&amp;'08 Sealants &amp; Fixings'!R51,"("," "),")"," "),"/"," "),"-"," "),","," "),";"," "),":"," ")&amp;" ")</f>
        <v/>
      </c>
    </row>
    <row r="393" customFormat="false" ht="15" hidden="false" customHeight="false" outlineLevel="0" collapsed="false">
      <c r="A393" s="56" t="str">
        <f aca="false">IF('08 Sealants &amp; Fixings'!$C$52="","","Sealants, Gaskets, Fixings &amp; Consumables")</f>
        <v/>
      </c>
      <c r="B393" s="57" t="str">
        <f aca="false">IF('08 Sealants &amp; Fixings'!$C$52="","",'08 Sealants &amp; Fixings'!A52)</f>
        <v/>
      </c>
      <c r="C393" s="56" t="str">
        <f aca="false">IF('08 Sealants &amp; Fixings'!$C$52="","",'08 Sealants &amp; Fixings'!B52)</f>
        <v/>
      </c>
      <c r="D393" s="56" t="str">
        <f aca="false">IF('08 Sealants &amp; Fixings'!$C$52="","",'08 Sealants &amp; Fixings'!C52)</f>
        <v/>
      </c>
      <c r="E393" s="56" t="str">
        <f aca="false">IF('08 Sealants &amp; Fixings'!$C$52="","",'08 Sealants &amp; Fixings'!D52)</f>
        <v/>
      </c>
      <c r="F393" s="56" t="str">
        <f aca="false">IF('08 Sealants &amp; Fixings'!$C$52="","",'08 Sealants &amp; Fixings'!E52)</f>
        <v/>
      </c>
      <c r="G393" s="56" t="str">
        <f aca="false">IF('08 Sealants &amp; Fixings'!$C$52="","",'08 Sealants &amp; Fixings'!F52)</f>
        <v/>
      </c>
      <c r="H393" s="57" t="str">
        <f aca="false">IF('08 Sealants &amp; Fixings'!$C$52="","",'08 Sealants &amp; Fixings'!G52)</f>
        <v/>
      </c>
      <c r="I393" s="58" t="str">
        <f aca="false">IF('08 Sealants &amp; Fixings'!$C$52="","",'08 Sealants &amp; Fixings'!J52)</f>
        <v/>
      </c>
      <c r="J393" s="58" t="str">
        <f aca="false">IF('08 Sealants &amp; Fixings'!$C$52="","",'08 Sealants &amp; Fixings'!K52)</f>
        <v/>
      </c>
      <c r="K393" s="58" t="str">
        <f aca="false">IF('08 Sealants &amp; Fixings'!$C$52="","",'08 Sealants &amp; Fixings'!L52)</f>
        <v/>
      </c>
      <c r="L393" s="57" t="str">
        <f aca="false">IF('08 Sealants &amp; Fixings'!$C$52="","",'08 Sealants &amp; Fixings'!M52)</f>
        <v/>
      </c>
      <c r="M393" s="59" t="str">
        <f aca="false">IF(D393="","",IF(AND(OR(Search!$C$6="All Categories",A393=Search!$C$6),OR(Search!$P$5="",ISNUMBER(SEARCH(" "&amp;Search!$P$5,N393))),OR(Search!$P$6="",ISNUMBER(SEARCH(" "&amp;Search!$P$6,N393))),OR(Search!$P$7="",ISNUMBER(SEARCH(" "&amp;Search!$P$7,N393))),OR(Search!$P$8="",ISNUMBER(SEARCH(" "&amp;Search!$P$8,N393))),OR(Search!$P$9="",ISNUMBER(SEARCH(" "&amp;Search!$P$9,N393))),OR(Search!$P$10="",ISNUMBER(SEARCH(" "&amp;Search!$P$10,N393)))),ROW(),""))</f>
        <v/>
      </c>
      <c r="N393" s="0" t="str">
        <f aca="false">IF(D393="",""," "&amp;SUBSTITUTE(SUBSTITUTE(SUBSTITUTE(SUBSTITUTE(SUBSTITUTE(SUBSTITUTE(SUBSTITUTE(B393&amp;" "&amp;C393&amp;" "&amp;D393&amp;" "&amp;E393&amp;" "&amp;F393&amp;" "&amp;G393&amp;" "&amp;H393&amp;" "&amp;'08 Sealants &amp; Fixings'!R52,"("," "),")"," "),"/"," "),"-"," "),","," "),";"," "),":"," ")&amp;" ")</f>
        <v/>
      </c>
    </row>
    <row r="394" customFormat="false" ht="15" hidden="false" customHeight="false" outlineLevel="0" collapsed="false">
      <c r="A394" s="56" t="str">
        <f aca="false">IF('08 Sealants &amp; Fixings'!$C$53="","","Sealants, Gaskets, Fixings &amp; Consumables")</f>
        <v/>
      </c>
      <c r="B394" s="57" t="str">
        <f aca="false">IF('08 Sealants &amp; Fixings'!$C$53="","",'08 Sealants &amp; Fixings'!A53)</f>
        <v/>
      </c>
      <c r="C394" s="56" t="str">
        <f aca="false">IF('08 Sealants &amp; Fixings'!$C$53="","",'08 Sealants &amp; Fixings'!B53)</f>
        <v/>
      </c>
      <c r="D394" s="56" t="str">
        <f aca="false">IF('08 Sealants &amp; Fixings'!$C$53="","",'08 Sealants &amp; Fixings'!C53)</f>
        <v/>
      </c>
      <c r="E394" s="56" t="str">
        <f aca="false">IF('08 Sealants &amp; Fixings'!$C$53="","",'08 Sealants &amp; Fixings'!D53)</f>
        <v/>
      </c>
      <c r="F394" s="56" t="str">
        <f aca="false">IF('08 Sealants &amp; Fixings'!$C$53="","",'08 Sealants &amp; Fixings'!E53)</f>
        <v/>
      </c>
      <c r="G394" s="56" t="str">
        <f aca="false">IF('08 Sealants &amp; Fixings'!$C$53="","",'08 Sealants &amp; Fixings'!F53)</f>
        <v/>
      </c>
      <c r="H394" s="57" t="str">
        <f aca="false">IF('08 Sealants &amp; Fixings'!$C$53="","",'08 Sealants &amp; Fixings'!G53)</f>
        <v/>
      </c>
      <c r="I394" s="58" t="str">
        <f aca="false">IF('08 Sealants &amp; Fixings'!$C$53="","",'08 Sealants &amp; Fixings'!J53)</f>
        <v/>
      </c>
      <c r="J394" s="58" t="str">
        <f aca="false">IF('08 Sealants &amp; Fixings'!$C$53="","",'08 Sealants &amp; Fixings'!K53)</f>
        <v/>
      </c>
      <c r="K394" s="58" t="str">
        <f aca="false">IF('08 Sealants &amp; Fixings'!$C$53="","",'08 Sealants &amp; Fixings'!L53)</f>
        <v/>
      </c>
      <c r="L394" s="57" t="str">
        <f aca="false">IF('08 Sealants &amp; Fixings'!$C$53="","",'08 Sealants &amp; Fixings'!M53)</f>
        <v/>
      </c>
      <c r="M394" s="59" t="str">
        <f aca="false">IF(D394="","",IF(AND(OR(Search!$C$6="All Categories",A394=Search!$C$6),OR(Search!$P$5="",ISNUMBER(SEARCH(" "&amp;Search!$P$5,N394))),OR(Search!$P$6="",ISNUMBER(SEARCH(" "&amp;Search!$P$6,N394))),OR(Search!$P$7="",ISNUMBER(SEARCH(" "&amp;Search!$P$7,N394))),OR(Search!$P$8="",ISNUMBER(SEARCH(" "&amp;Search!$P$8,N394))),OR(Search!$P$9="",ISNUMBER(SEARCH(" "&amp;Search!$P$9,N394))),OR(Search!$P$10="",ISNUMBER(SEARCH(" "&amp;Search!$P$10,N394)))),ROW(),""))</f>
        <v/>
      </c>
      <c r="N394" s="0" t="str">
        <f aca="false">IF(D394="",""," "&amp;SUBSTITUTE(SUBSTITUTE(SUBSTITUTE(SUBSTITUTE(SUBSTITUTE(SUBSTITUTE(SUBSTITUTE(B394&amp;" "&amp;C394&amp;" "&amp;D394&amp;" "&amp;E394&amp;" "&amp;F394&amp;" "&amp;G394&amp;" "&amp;H394&amp;" "&amp;'08 Sealants &amp; Fixings'!R53,"("," "),")"," "),"/"," "),"-"," "),","," "),";"," "),":"," ")&amp;" ")</f>
        <v/>
      </c>
    </row>
    <row r="395" customFormat="false" ht="15" hidden="false" customHeight="false" outlineLevel="0" collapsed="false">
      <c r="A395" s="56" t="str">
        <f aca="false">IF('08 Sealants &amp; Fixings'!$C$54="","","Sealants, Gaskets, Fixings &amp; Consumables")</f>
        <v/>
      </c>
      <c r="B395" s="57" t="str">
        <f aca="false">IF('08 Sealants &amp; Fixings'!$C$54="","",'08 Sealants &amp; Fixings'!A54)</f>
        <v/>
      </c>
      <c r="C395" s="56" t="str">
        <f aca="false">IF('08 Sealants &amp; Fixings'!$C$54="","",'08 Sealants &amp; Fixings'!B54)</f>
        <v/>
      </c>
      <c r="D395" s="56" t="str">
        <f aca="false">IF('08 Sealants &amp; Fixings'!$C$54="","",'08 Sealants &amp; Fixings'!C54)</f>
        <v/>
      </c>
      <c r="E395" s="56" t="str">
        <f aca="false">IF('08 Sealants &amp; Fixings'!$C$54="","",'08 Sealants &amp; Fixings'!D54)</f>
        <v/>
      </c>
      <c r="F395" s="56" t="str">
        <f aca="false">IF('08 Sealants &amp; Fixings'!$C$54="","",'08 Sealants &amp; Fixings'!E54)</f>
        <v/>
      </c>
      <c r="G395" s="56" t="str">
        <f aca="false">IF('08 Sealants &amp; Fixings'!$C$54="","",'08 Sealants &amp; Fixings'!F54)</f>
        <v/>
      </c>
      <c r="H395" s="57" t="str">
        <f aca="false">IF('08 Sealants &amp; Fixings'!$C$54="","",'08 Sealants &amp; Fixings'!G54)</f>
        <v/>
      </c>
      <c r="I395" s="58" t="str">
        <f aca="false">IF('08 Sealants &amp; Fixings'!$C$54="","",'08 Sealants &amp; Fixings'!J54)</f>
        <v/>
      </c>
      <c r="J395" s="58" t="str">
        <f aca="false">IF('08 Sealants &amp; Fixings'!$C$54="","",'08 Sealants &amp; Fixings'!K54)</f>
        <v/>
      </c>
      <c r="K395" s="58" t="str">
        <f aca="false">IF('08 Sealants &amp; Fixings'!$C$54="","",'08 Sealants &amp; Fixings'!L54)</f>
        <v/>
      </c>
      <c r="L395" s="57" t="str">
        <f aca="false">IF('08 Sealants &amp; Fixings'!$C$54="","",'08 Sealants &amp; Fixings'!M54)</f>
        <v/>
      </c>
      <c r="M395" s="59" t="str">
        <f aca="false">IF(D395="","",IF(AND(OR(Search!$C$6="All Categories",A395=Search!$C$6),OR(Search!$P$5="",ISNUMBER(SEARCH(" "&amp;Search!$P$5,N395))),OR(Search!$P$6="",ISNUMBER(SEARCH(" "&amp;Search!$P$6,N395))),OR(Search!$P$7="",ISNUMBER(SEARCH(" "&amp;Search!$P$7,N395))),OR(Search!$P$8="",ISNUMBER(SEARCH(" "&amp;Search!$P$8,N395))),OR(Search!$P$9="",ISNUMBER(SEARCH(" "&amp;Search!$P$9,N395))),OR(Search!$P$10="",ISNUMBER(SEARCH(" "&amp;Search!$P$10,N395)))),ROW(),""))</f>
        <v/>
      </c>
      <c r="N395" s="0" t="str">
        <f aca="false">IF(D395="",""," "&amp;SUBSTITUTE(SUBSTITUTE(SUBSTITUTE(SUBSTITUTE(SUBSTITUTE(SUBSTITUTE(SUBSTITUTE(B395&amp;" "&amp;C395&amp;" "&amp;D395&amp;" "&amp;E395&amp;" "&amp;F395&amp;" "&amp;G395&amp;" "&amp;H395&amp;" "&amp;'08 Sealants &amp; Fixings'!R54,"("," "),")"," "),"/"," "),"-"," "),","," "),";"," "),":"," ")&amp;" ")</f>
        <v/>
      </c>
    </row>
    <row r="396" customFormat="false" ht="15" hidden="false" customHeight="false" outlineLevel="0" collapsed="false">
      <c r="A396" s="56" t="str">
        <f aca="false">IF('08 Sealants &amp; Fixings'!$C$55="","","Sealants, Gaskets, Fixings &amp; Consumables")</f>
        <v/>
      </c>
      <c r="B396" s="57" t="str">
        <f aca="false">IF('08 Sealants &amp; Fixings'!$C$55="","",'08 Sealants &amp; Fixings'!A55)</f>
        <v/>
      </c>
      <c r="C396" s="56" t="str">
        <f aca="false">IF('08 Sealants &amp; Fixings'!$C$55="","",'08 Sealants &amp; Fixings'!B55)</f>
        <v/>
      </c>
      <c r="D396" s="56" t="str">
        <f aca="false">IF('08 Sealants &amp; Fixings'!$C$55="","",'08 Sealants &amp; Fixings'!C55)</f>
        <v/>
      </c>
      <c r="E396" s="56" t="str">
        <f aca="false">IF('08 Sealants &amp; Fixings'!$C$55="","",'08 Sealants &amp; Fixings'!D55)</f>
        <v/>
      </c>
      <c r="F396" s="56" t="str">
        <f aca="false">IF('08 Sealants &amp; Fixings'!$C$55="","",'08 Sealants &amp; Fixings'!E55)</f>
        <v/>
      </c>
      <c r="G396" s="56" t="str">
        <f aca="false">IF('08 Sealants &amp; Fixings'!$C$55="","",'08 Sealants &amp; Fixings'!F55)</f>
        <v/>
      </c>
      <c r="H396" s="57" t="str">
        <f aca="false">IF('08 Sealants &amp; Fixings'!$C$55="","",'08 Sealants &amp; Fixings'!G55)</f>
        <v/>
      </c>
      <c r="I396" s="58" t="str">
        <f aca="false">IF('08 Sealants &amp; Fixings'!$C$55="","",'08 Sealants &amp; Fixings'!J55)</f>
        <v/>
      </c>
      <c r="J396" s="58" t="str">
        <f aca="false">IF('08 Sealants &amp; Fixings'!$C$55="","",'08 Sealants &amp; Fixings'!K55)</f>
        <v/>
      </c>
      <c r="K396" s="58" t="str">
        <f aca="false">IF('08 Sealants &amp; Fixings'!$C$55="","",'08 Sealants &amp; Fixings'!L55)</f>
        <v/>
      </c>
      <c r="L396" s="57" t="str">
        <f aca="false">IF('08 Sealants &amp; Fixings'!$C$55="","",'08 Sealants &amp; Fixings'!M55)</f>
        <v/>
      </c>
      <c r="M396" s="59" t="str">
        <f aca="false">IF(D396="","",IF(AND(OR(Search!$C$6="All Categories",A396=Search!$C$6),OR(Search!$P$5="",ISNUMBER(SEARCH(" "&amp;Search!$P$5,N396))),OR(Search!$P$6="",ISNUMBER(SEARCH(" "&amp;Search!$P$6,N396))),OR(Search!$P$7="",ISNUMBER(SEARCH(" "&amp;Search!$P$7,N396))),OR(Search!$P$8="",ISNUMBER(SEARCH(" "&amp;Search!$P$8,N396))),OR(Search!$P$9="",ISNUMBER(SEARCH(" "&amp;Search!$P$9,N396))),OR(Search!$P$10="",ISNUMBER(SEARCH(" "&amp;Search!$P$10,N396)))),ROW(),""))</f>
        <v/>
      </c>
      <c r="N396" s="0" t="str">
        <f aca="false">IF(D396="",""," "&amp;SUBSTITUTE(SUBSTITUTE(SUBSTITUTE(SUBSTITUTE(SUBSTITUTE(SUBSTITUTE(SUBSTITUTE(B396&amp;" "&amp;C396&amp;" "&amp;D396&amp;" "&amp;E396&amp;" "&amp;F396&amp;" "&amp;G396&amp;" "&amp;H396&amp;" "&amp;'08 Sealants &amp; Fixings'!R55,"("," "),")"," "),"/"," "),"-"," "),","," "),";"," "),":"," ")&amp;" ")</f>
        <v/>
      </c>
    </row>
    <row r="397" customFormat="false" ht="15" hidden="false" customHeight="false" outlineLevel="0" collapsed="false">
      <c r="A397" s="56" t="str">
        <f aca="false">IF('08 Sealants &amp; Fixings'!$C$56="","","Sealants, Gaskets, Fixings &amp; Consumables")</f>
        <v/>
      </c>
      <c r="B397" s="57" t="str">
        <f aca="false">IF('08 Sealants &amp; Fixings'!$C$56="","",'08 Sealants &amp; Fixings'!A56)</f>
        <v/>
      </c>
      <c r="C397" s="56" t="str">
        <f aca="false">IF('08 Sealants &amp; Fixings'!$C$56="","",'08 Sealants &amp; Fixings'!B56)</f>
        <v/>
      </c>
      <c r="D397" s="56" t="str">
        <f aca="false">IF('08 Sealants &amp; Fixings'!$C$56="","",'08 Sealants &amp; Fixings'!C56)</f>
        <v/>
      </c>
      <c r="E397" s="56" t="str">
        <f aca="false">IF('08 Sealants &amp; Fixings'!$C$56="","",'08 Sealants &amp; Fixings'!D56)</f>
        <v/>
      </c>
      <c r="F397" s="56" t="str">
        <f aca="false">IF('08 Sealants &amp; Fixings'!$C$56="","",'08 Sealants &amp; Fixings'!E56)</f>
        <v/>
      </c>
      <c r="G397" s="56" t="str">
        <f aca="false">IF('08 Sealants &amp; Fixings'!$C$56="","",'08 Sealants &amp; Fixings'!F56)</f>
        <v/>
      </c>
      <c r="H397" s="57" t="str">
        <f aca="false">IF('08 Sealants &amp; Fixings'!$C$56="","",'08 Sealants &amp; Fixings'!G56)</f>
        <v/>
      </c>
      <c r="I397" s="58" t="str">
        <f aca="false">IF('08 Sealants &amp; Fixings'!$C$56="","",'08 Sealants &amp; Fixings'!J56)</f>
        <v/>
      </c>
      <c r="J397" s="58" t="str">
        <f aca="false">IF('08 Sealants &amp; Fixings'!$C$56="","",'08 Sealants &amp; Fixings'!K56)</f>
        <v/>
      </c>
      <c r="K397" s="58" t="str">
        <f aca="false">IF('08 Sealants &amp; Fixings'!$C$56="","",'08 Sealants &amp; Fixings'!L56)</f>
        <v/>
      </c>
      <c r="L397" s="57" t="str">
        <f aca="false">IF('08 Sealants &amp; Fixings'!$C$56="","",'08 Sealants &amp; Fixings'!M56)</f>
        <v/>
      </c>
      <c r="M397" s="59" t="str">
        <f aca="false">IF(D397="","",IF(AND(OR(Search!$C$6="All Categories",A397=Search!$C$6),OR(Search!$P$5="",ISNUMBER(SEARCH(" "&amp;Search!$P$5,N397))),OR(Search!$P$6="",ISNUMBER(SEARCH(" "&amp;Search!$P$6,N397))),OR(Search!$P$7="",ISNUMBER(SEARCH(" "&amp;Search!$P$7,N397))),OR(Search!$P$8="",ISNUMBER(SEARCH(" "&amp;Search!$P$8,N397))),OR(Search!$P$9="",ISNUMBER(SEARCH(" "&amp;Search!$P$9,N397))),OR(Search!$P$10="",ISNUMBER(SEARCH(" "&amp;Search!$P$10,N397)))),ROW(),""))</f>
        <v/>
      </c>
      <c r="N397" s="0" t="str">
        <f aca="false">IF(D397="",""," "&amp;SUBSTITUTE(SUBSTITUTE(SUBSTITUTE(SUBSTITUTE(SUBSTITUTE(SUBSTITUTE(SUBSTITUTE(B397&amp;" "&amp;C397&amp;" "&amp;D397&amp;" "&amp;E397&amp;" "&amp;F397&amp;" "&amp;G397&amp;" "&amp;H397&amp;" "&amp;'08 Sealants &amp; Fixings'!R56,"("," "),")"," "),"/"," "),"-"," "),","," "),";"," "),":"," ")&amp;" ")</f>
        <v/>
      </c>
    </row>
    <row r="398" customFormat="false" ht="15" hidden="false" customHeight="false" outlineLevel="0" collapsed="false">
      <c r="A398" s="56" t="str">
        <f aca="false">IF('08 Sealants &amp; Fixings'!$C$57="","","Sealants, Gaskets, Fixings &amp; Consumables")</f>
        <v/>
      </c>
      <c r="B398" s="57" t="str">
        <f aca="false">IF('08 Sealants &amp; Fixings'!$C$57="","",'08 Sealants &amp; Fixings'!A57)</f>
        <v/>
      </c>
      <c r="C398" s="56" t="str">
        <f aca="false">IF('08 Sealants &amp; Fixings'!$C$57="","",'08 Sealants &amp; Fixings'!B57)</f>
        <v/>
      </c>
      <c r="D398" s="56" t="str">
        <f aca="false">IF('08 Sealants &amp; Fixings'!$C$57="","",'08 Sealants &amp; Fixings'!C57)</f>
        <v/>
      </c>
      <c r="E398" s="56" t="str">
        <f aca="false">IF('08 Sealants &amp; Fixings'!$C$57="","",'08 Sealants &amp; Fixings'!D57)</f>
        <v/>
      </c>
      <c r="F398" s="56" t="str">
        <f aca="false">IF('08 Sealants &amp; Fixings'!$C$57="","",'08 Sealants &amp; Fixings'!E57)</f>
        <v/>
      </c>
      <c r="G398" s="56" t="str">
        <f aca="false">IF('08 Sealants &amp; Fixings'!$C$57="","",'08 Sealants &amp; Fixings'!F57)</f>
        <v/>
      </c>
      <c r="H398" s="57" t="str">
        <f aca="false">IF('08 Sealants &amp; Fixings'!$C$57="","",'08 Sealants &amp; Fixings'!G57)</f>
        <v/>
      </c>
      <c r="I398" s="58" t="str">
        <f aca="false">IF('08 Sealants &amp; Fixings'!$C$57="","",'08 Sealants &amp; Fixings'!J57)</f>
        <v/>
      </c>
      <c r="J398" s="58" t="str">
        <f aca="false">IF('08 Sealants &amp; Fixings'!$C$57="","",'08 Sealants &amp; Fixings'!K57)</f>
        <v/>
      </c>
      <c r="K398" s="58" t="str">
        <f aca="false">IF('08 Sealants &amp; Fixings'!$C$57="","",'08 Sealants &amp; Fixings'!L57)</f>
        <v/>
      </c>
      <c r="L398" s="57" t="str">
        <f aca="false">IF('08 Sealants &amp; Fixings'!$C$57="","",'08 Sealants &amp; Fixings'!M57)</f>
        <v/>
      </c>
      <c r="M398" s="59" t="str">
        <f aca="false">IF(D398="","",IF(AND(OR(Search!$C$6="All Categories",A398=Search!$C$6),OR(Search!$P$5="",ISNUMBER(SEARCH(" "&amp;Search!$P$5,N398))),OR(Search!$P$6="",ISNUMBER(SEARCH(" "&amp;Search!$P$6,N398))),OR(Search!$P$7="",ISNUMBER(SEARCH(" "&amp;Search!$P$7,N398))),OR(Search!$P$8="",ISNUMBER(SEARCH(" "&amp;Search!$P$8,N398))),OR(Search!$P$9="",ISNUMBER(SEARCH(" "&amp;Search!$P$9,N398))),OR(Search!$P$10="",ISNUMBER(SEARCH(" "&amp;Search!$P$10,N398)))),ROW(),""))</f>
        <v/>
      </c>
      <c r="N398" s="0" t="str">
        <f aca="false">IF(D398="",""," "&amp;SUBSTITUTE(SUBSTITUTE(SUBSTITUTE(SUBSTITUTE(SUBSTITUTE(SUBSTITUTE(SUBSTITUTE(B398&amp;" "&amp;C398&amp;" "&amp;D398&amp;" "&amp;E398&amp;" "&amp;F398&amp;" "&amp;G398&amp;" "&amp;H398&amp;" "&amp;'08 Sealants &amp; Fixings'!R57,"("," "),")"," "),"/"," "),"-"," "),","," "),";"," "),":"," ")&amp;" ")</f>
        <v/>
      </c>
    </row>
    <row r="399" customFormat="false" ht="15" hidden="false" customHeight="false" outlineLevel="0" collapsed="false">
      <c r="A399" s="56" t="str">
        <f aca="false">IF('08 Sealants &amp; Fixings'!$C$58="","","Sealants, Gaskets, Fixings &amp; Consumables")</f>
        <v/>
      </c>
      <c r="B399" s="57" t="str">
        <f aca="false">IF('08 Sealants &amp; Fixings'!$C$58="","",'08 Sealants &amp; Fixings'!A58)</f>
        <v/>
      </c>
      <c r="C399" s="56" t="str">
        <f aca="false">IF('08 Sealants &amp; Fixings'!$C$58="","",'08 Sealants &amp; Fixings'!B58)</f>
        <v/>
      </c>
      <c r="D399" s="56" t="str">
        <f aca="false">IF('08 Sealants &amp; Fixings'!$C$58="","",'08 Sealants &amp; Fixings'!C58)</f>
        <v/>
      </c>
      <c r="E399" s="56" t="str">
        <f aca="false">IF('08 Sealants &amp; Fixings'!$C$58="","",'08 Sealants &amp; Fixings'!D58)</f>
        <v/>
      </c>
      <c r="F399" s="56" t="str">
        <f aca="false">IF('08 Sealants &amp; Fixings'!$C$58="","",'08 Sealants &amp; Fixings'!E58)</f>
        <v/>
      </c>
      <c r="G399" s="56" t="str">
        <f aca="false">IF('08 Sealants &amp; Fixings'!$C$58="","",'08 Sealants &amp; Fixings'!F58)</f>
        <v/>
      </c>
      <c r="H399" s="57" t="str">
        <f aca="false">IF('08 Sealants &amp; Fixings'!$C$58="","",'08 Sealants &amp; Fixings'!G58)</f>
        <v/>
      </c>
      <c r="I399" s="58" t="str">
        <f aca="false">IF('08 Sealants &amp; Fixings'!$C$58="","",'08 Sealants &amp; Fixings'!J58)</f>
        <v/>
      </c>
      <c r="J399" s="58" t="str">
        <f aca="false">IF('08 Sealants &amp; Fixings'!$C$58="","",'08 Sealants &amp; Fixings'!K58)</f>
        <v/>
      </c>
      <c r="K399" s="58" t="str">
        <f aca="false">IF('08 Sealants &amp; Fixings'!$C$58="","",'08 Sealants &amp; Fixings'!L58)</f>
        <v/>
      </c>
      <c r="L399" s="57" t="str">
        <f aca="false">IF('08 Sealants &amp; Fixings'!$C$58="","",'08 Sealants &amp; Fixings'!M58)</f>
        <v/>
      </c>
      <c r="M399" s="59" t="str">
        <f aca="false">IF(D399="","",IF(AND(OR(Search!$C$6="All Categories",A399=Search!$C$6),OR(Search!$P$5="",ISNUMBER(SEARCH(" "&amp;Search!$P$5,N399))),OR(Search!$P$6="",ISNUMBER(SEARCH(" "&amp;Search!$P$6,N399))),OR(Search!$P$7="",ISNUMBER(SEARCH(" "&amp;Search!$P$7,N399))),OR(Search!$P$8="",ISNUMBER(SEARCH(" "&amp;Search!$P$8,N399))),OR(Search!$P$9="",ISNUMBER(SEARCH(" "&amp;Search!$P$9,N399))),OR(Search!$P$10="",ISNUMBER(SEARCH(" "&amp;Search!$P$10,N399)))),ROW(),""))</f>
        <v/>
      </c>
      <c r="N399" s="0" t="str">
        <f aca="false">IF(D399="",""," "&amp;SUBSTITUTE(SUBSTITUTE(SUBSTITUTE(SUBSTITUTE(SUBSTITUTE(SUBSTITUTE(SUBSTITUTE(B399&amp;" "&amp;C399&amp;" "&amp;D399&amp;" "&amp;E399&amp;" "&amp;F399&amp;" "&amp;G399&amp;" "&amp;H399&amp;" "&amp;'08 Sealants &amp; Fixings'!R58,"("," "),")"," "),"/"," "),"-"," "),","," "),";"," "),":"," ")&amp;" ")</f>
        <v/>
      </c>
    </row>
    <row r="400" customFormat="false" ht="15" hidden="false" customHeight="false" outlineLevel="0" collapsed="false">
      <c r="A400" s="56" t="str">
        <f aca="false">IF('08 Sealants &amp; Fixings'!$C$59="","","Sealants, Gaskets, Fixings &amp; Consumables")</f>
        <v/>
      </c>
      <c r="B400" s="57" t="str">
        <f aca="false">IF('08 Sealants &amp; Fixings'!$C$59="","",'08 Sealants &amp; Fixings'!A59)</f>
        <v/>
      </c>
      <c r="C400" s="56" t="str">
        <f aca="false">IF('08 Sealants &amp; Fixings'!$C$59="","",'08 Sealants &amp; Fixings'!B59)</f>
        <v/>
      </c>
      <c r="D400" s="56" t="str">
        <f aca="false">IF('08 Sealants &amp; Fixings'!$C$59="","",'08 Sealants &amp; Fixings'!C59)</f>
        <v/>
      </c>
      <c r="E400" s="56" t="str">
        <f aca="false">IF('08 Sealants &amp; Fixings'!$C$59="","",'08 Sealants &amp; Fixings'!D59)</f>
        <v/>
      </c>
      <c r="F400" s="56" t="str">
        <f aca="false">IF('08 Sealants &amp; Fixings'!$C$59="","",'08 Sealants &amp; Fixings'!E59)</f>
        <v/>
      </c>
      <c r="G400" s="56" t="str">
        <f aca="false">IF('08 Sealants &amp; Fixings'!$C$59="","",'08 Sealants &amp; Fixings'!F59)</f>
        <v/>
      </c>
      <c r="H400" s="57" t="str">
        <f aca="false">IF('08 Sealants &amp; Fixings'!$C$59="","",'08 Sealants &amp; Fixings'!G59)</f>
        <v/>
      </c>
      <c r="I400" s="58" t="str">
        <f aca="false">IF('08 Sealants &amp; Fixings'!$C$59="","",'08 Sealants &amp; Fixings'!J59)</f>
        <v/>
      </c>
      <c r="J400" s="58" t="str">
        <f aca="false">IF('08 Sealants &amp; Fixings'!$C$59="","",'08 Sealants &amp; Fixings'!K59)</f>
        <v/>
      </c>
      <c r="K400" s="58" t="str">
        <f aca="false">IF('08 Sealants &amp; Fixings'!$C$59="","",'08 Sealants &amp; Fixings'!L59)</f>
        <v/>
      </c>
      <c r="L400" s="57" t="str">
        <f aca="false">IF('08 Sealants &amp; Fixings'!$C$59="","",'08 Sealants &amp; Fixings'!M59)</f>
        <v/>
      </c>
      <c r="M400" s="59" t="str">
        <f aca="false">IF(D400="","",IF(AND(OR(Search!$C$6="All Categories",A400=Search!$C$6),OR(Search!$P$5="",ISNUMBER(SEARCH(" "&amp;Search!$P$5,N400))),OR(Search!$P$6="",ISNUMBER(SEARCH(" "&amp;Search!$P$6,N400))),OR(Search!$P$7="",ISNUMBER(SEARCH(" "&amp;Search!$P$7,N400))),OR(Search!$P$8="",ISNUMBER(SEARCH(" "&amp;Search!$P$8,N400))),OR(Search!$P$9="",ISNUMBER(SEARCH(" "&amp;Search!$P$9,N400))),OR(Search!$P$10="",ISNUMBER(SEARCH(" "&amp;Search!$P$10,N400)))),ROW(),""))</f>
        <v/>
      </c>
      <c r="N400" s="0" t="str">
        <f aca="false">IF(D400="",""," "&amp;SUBSTITUTE(SUBSTITUTE(SUBSTITUTE(SUBSTITUTE(SUBSTITUTE(SUBSTITUTE(SUBSTITUTE(B400&amp;" "&amp;C400&amp;" "&amp;D400&amp;" "&amp;E400&amp;" "&amp;F400&amp;" "&amp;G400&amp;" "&amp;H400&amp;" "&amp;'08 Sealants &amp; Fixings'!R59,"("," "),")"," "),"/"," "),"-"," "),","," "),";"," "),":"," ")&amp;" ")</f>
        <v/>
      </c>
    </row>
    <row r="401" customFormat="false" ht="15" hidden="false" customHeight="false" outlineLevel="0" collapsed="false">
      <c r="A401" s="56" t="str">
        <f aca="false">IF('08 Sealants &amp; Fixings'!$C$60="","","Sealants, Gaskets, Fixings &amp; Consumables")</f>
        <v/>
      </c>
      <c r="B401" s="57" t="str">
        <f aca="false">IF('08 Sealants &amp; Fixings'!$C$60="","",'08 Sealants &amp; Fixings'!A60)</f>
        <v/>
      </c>
      <c r="C401" s="56" t="str">
        <f aca="false">IF('08 Sealants &amp; Fixings'!$C$60="","",'08 Sealants &amp; Fixings'!B60)</f>
        <v/>
      </c>
      <c r="D401" s="56" t="str">
        <f aca="false">IF('08 Sealants &amp; Fixings'!$C$60="","",'08 Sealants &amp; Fixings'!C60)</f>
        <v/>
      </c>
      <c r="E401" s="56" t="str">
        <f aca="false">IF('08 Sealants &amp; Fixings'!$C$60="","",'08 Sealants &amp; Fixings'!D60)</f>
        <v/>
      </c>
      <c r="F401" s="56" t="str">
        <f aca="false">IF('08 Sealants &amp; Fixings'!$C$60="","",'08 Sealants &amp; Fixings'!E60)</f>
        <v/>
      </c>
      <c r="G401" s="56" t="str">
        <f aca="false">IF('08 Sealants &amp; Fixings'!$C$60="","",'08 Sealants &amp; Fixings'!F60)</f>
        <v/>
      </c>
      <c r="H401" s="57" t="str">
        <f aca="false">IF('08 Sealants &amp; Fixings'!$C$60="","",'08 Sealants &amp; Fixings'!G60)</f>
        <v/>
      </c>
      <c r="I401" s="58" t="str">
        <f aca="false">IF('08 Sealants &amp; Fixings'!$C$60="","",'08 Sealants &amp; Fixings'!J60)</f>
        <v/>
      </c>
      <c r="J401" s="58" t="str">
        <f aca="false">IF('08 Sealants &amp; Fixings'!$C$60="","",'08 Sealants &amp; Fixings'!K60)</f>
        <v/>
      </c>
      <c r="K401" s="58" t="str">
        <f aca="false">IF('08 Sealants &amp; Fixings'!$C$60="","",'08 Sealants &amp; Fixings'!L60)</f>
        <v/>
      </c>
      <c r="L401" s="57" t="str">
        <f aca="false">IF('08 Sealants &amp; Fixings'!$C$60="","",'08 Sealants &amp; Fixings'!M60)</f>
        <v/>
      </c>
      <c r="M401" s="59" t="str">
        <f aca="false">IF(D401="","",IF(AND(OR(Search!$C$6="All Categories",A401=Search!$C$6),OR(Search!$P$5="",ISNUMBER(SEARCH(" "&amp;Search!$P$5,N401))),OR(Search!$P$6="",ISNUMBER(SEARCH(" "&amp;Search!$P$6,N401))),OR(Search!$P$7="",ISNUMBER(SEARCH(" "&amp;Search!$P$7,N401))),OR(Search!$P$8="",ISNUMBER(SEARCH(" "&amp;Search!$P$8,N401))),OR(Search!$P$9="",ISNUMBER(SEARCH(" "&amp;Search!$P$9,N401))),OR(Search!$P$10="",ISNUMBER(SEARCH(" "&amp;Search!$P$10,N401)))),ROW(),""))</f>
        <v/>
      </c>
      <c r="N401" s="0" t="str">
        <f aca="false">IF(D401="",""," "&amp;SUBSTITUTE(SUBSTITUTE(SUBSTITUTE(SUBSTITUTE(SUBSTITUTE(SUBSTITUTE(SUBSTITUTE(B401&amp;" "&amp;C401&amp;" "&amp;D401&amp;" "&amp;E401&amp;" "&amp;F401&amp;" "&amp;G401&amp;" "&amp;H401&amp;" "&amp;'08 Sealants &amp; Fixings'!R60,"("," "),")"," "),"/"," "),"-"," "),","," "),";"," "),":"," ")&amp;" ")</f>
        <v/>
      </c>
    </row>
    <row r="402" customFormat="false" ht="15" hidden="false" customHeight="false" outlineLevel="0" collapsed="false">
      <c r="A402" s="56" t="str">
        <f aca="false">IF('08 Sealants &amp; Fixings'!$C$61="","","Sealants, Gaskets, Fixings &amp; Consumables")</f>
        <v/>
      </c>
      <c r="B402" s="57" t="str">
        <f aca="false">IF('08 Sealants &amp; Fixings'!$C$61="","",'08 Sealants &amp; Fixings'!A61)</f>
        <v/>
      </c>
      <c r="C402" s="56" t="str">
        <f aca="false">IF('08 Sealants &amp; Fixings'!$C$61="","",'08 Sealants &amp; Fixings'!B61)</f>
        <v/>
      </c>
      <c r="D402" s="56" t="str">
        <f aca="false">IF('08 Sealants &amp; Fixings'!$C$61="","",'08 Sealants &amp; Fixings'!C61)</f>
        <v/>
      </c>
      <c r="E402" s="56" t="str">
        <f aca="false">IF('08 Sealants &amp; Fixings'!$C$61="","",'08 Sealants &amp; Fixings'!D61)</f>
        <v/>
      </c>
      <c r="F402" s="56" t="str">
        <f aca="false">IF('08 Sealants &amp; Fixings'!$C$61="","",'08 Sealants &amp; Fixings'!E61)</f>
        <v/>
      </c>
      <c r="G402" s="56" t="str">
        <f aca="false">IF('08 Sealants &amp; Fixings'!$C$61="","",'08 Sealants &amp; Fixings'!F61)</f>
        <v/>
      </c>
      <c r="H402" s="57" t="str">
        <f aca="false">IF('08 Sealants &amp; Fixings'!$C$61="","",'08 Sealants &amp; Fixings'!G61)</f>
        <v/>
      </c>
      <c r="I402" s="58" t="str">
        <f aca="false">IF('08 Sealants &amp; Fixings'!$C$61="","",'08 Sealants &amp; Fixings'!J61)</f>
        <v/>
      </c>
      <c r="J402" s="58" t="str">
        <f aca="false">IF('08 Sealants &amp; Fixings'!$C$61="","",'08 Sealants &amp; Fixings'!K61)</f>
        <v/>
      </c>
      <c r="K402" s="58" t="str">
        <f aca="false">IF('08 Sealants &amp; Fixings'!$C$61="","",'08 Sealants &amp; Fixings'!L61)</f>
        <v/>
      </c>
      <c r="L402" s="57" t="str">
        <f aca="false">IF('08 Sealants &amp; Fixings'!$C$61="","",'08 Sealants &amp; Fixings'!M61)</f>
        <v/>
      </c>
      <c r="M402" s="59" t="str">
        <f aca="false">IF(D402="","",IF(AND(OR(Search!$C$6="All Categories",A402=Search!$C$6),OR(Search!$P$5="",ISNUMBER(SEARCH(" "&amp;Search!$P$5,N402))),OR(Search!$P$6="",ISNUMBER(SEARCH(" "&amp;Search!$P$6,N402))),OR(Search!$P$7="",ISNUMBER(SEARCH(" "&amp;Search!$P$7,N402))),OR(Search!$P$8="",ISNUMBER(SEARCH(" "&amp;Search!$P$8,N402))),OR(Search!$P$9="",ISNUMBER(SEARCH(" "&amp;Search!$P$9,N402))),OR(Search!$P$10="",ISNUMBER(SEARCH(" "&amp;Search!$P$10,N402)))),ROW(),""))</f>
        <v/>
      </c>
      <c r="N402" s="0" t="str">
        <f aca="false">IF(D402="",""," "&amp;SUBSTITUTE(SUBSTITUTE(SUBSTITUTE(SUBSTITUTE(SUBSTITUTE(SUBSTITUTE(SUBSTITUTE(B402&amp;" "&amp;C402&amp;" "&amp;D402&amp;" "&amp;E402&amp;" "&amp;F402&amp;" "&amp;G402&amp;" "&amp;H402&amp;" "&amp;'08 Sealants &amp; Fixings'!R61,"("," "),")"," "),"/"," "),"-"," "),","," "),";"," "),":"," ")&amp;" ")</f>
        <v/>
      </c>
    </row>
    <row r="403" customFormat="false" ht="15" hidden="false" customHeight="false" outlineLevel="0" collapsed="false">
      <c r="A403" s="56" t="str">
        <f aca="false">IF('08 Sealants &amp; Fixings'!$C$62="","","Sealants, Gaskets, Fixings &amp; Consumables")</f>
        <v/>
      </c>
      <c r="B403" s="57" t="str">
        <f aca="false">IF('08 Sealants &amp; Fixings'!$C$62="","",'08 Sealants &amp; Fixings'!A62)</f>
        <v/>
      </c>
      <c r="C403" s="56" t="str">
        <f aca="false">IF('08 Sealants &amp; Fixings'!$C$62="","",'08 Sealants &amp; Fixings'!B62)</f>
        <v/>
      </c>
      <c r="D403" s="56" t="str">
        <f aca="false">IF('08 Sealants &amp; Fixings'!$C$62="","",'08 Sealants &amp; Fixings'!C62)</f>
        <v/>
      </c>
      <c r="E403" s="56" t="str">
        <f aca="false">IF('08 Sealants &amp; Fixings'!$C$62="","",'08 Sealants &amp; Fixings'!D62)</f>
        <v/>
      </c>
      <c r="F403" s="56" t="str">
        <f aca="false">IF('08 Sealants &amp; Fixings'!$C$62="","",'08 Sealants &amp; Fixings'!E62)</f>
        <v/>
      </c>
      <c r="G403" s="56" t="str">
        <f aca="false">IF('08 Sealants &amp; Fixings'!$C$62="","",'08 Sealants &amp; Fixings'!F62)</f>
        <v/>
      </c>
      <c r="H403" s="57" t="str">
        <f aca="false">IF('08 Sealants &amp; Fixings'!$C$62="","",'08 Sealants &amp; Fixings'!G62)</f>
        <v/>
      </c>
      <c r="I403" s="58" t="str">
        <f aca="false">IF('08 Sealants &amp; Fixings'!$C$62="","",'08 Sealants &amp; Fixings'!J62)</f>
        <v/>
      </c>
      <c r="J403" s="58" t="str">
        <f aca="false">IF('08 Sealants &amp; Fixings'!$C$62="","",'08 Sealants &amp; Fixings'!K62)</f>
        <v/>
      </c>
      <c r="K403" s="58" t="str">
        <f aca="false">IF('08 Sealants &amp; Fixings'!$C$62="","",'08 Sealants &amp; Fixings'!L62)</f>
        <v/>
      </c>
      <c r="L403" s="57" t="str">
        <f aca="false">IF('08 Sealants &amp; Fixings'!$C$62="","",'08 Sealants &amp; Fixings'!M62)</f>
        <v/>
      </c>
      <c r="M403" s="59" t="str">
        <f aca="false">IF(D403="","",IF(AND(OR(Search!$C$6="All Categories",A403=Search!$C$6),OR(Search!$P$5="",ISNUMBER(SEARCH(" "&amp;Search!$P$5,N403))),OR(Search!$P$6="",ISNUMBER(SEARCH(" "&amp;Search!$P$6,N403))),OR(Search!$P$7="",ISNUMBER(SEARCH(" "&amp;Search!$P$7,N403))),OR(Search!$P$8="",ISNUMBER(SEARCH(" "&amp;Search!$P$8,N403))),OR(Search!$P$9="",ISNUMBER(SEARCH(" "&amp;Search!$P$9,N403))),OR(Search!$P$10="",ISNUMBER(SEARCH(" "&amp;Search!$P$10,N403)))),ROW(),""))</f>
        <v/>
      </c>
      <c r="N403" s="0" t="str">
        <f aca="false">IF(D403="",""," "&amp;SUBSTITUTE(SUBSTITUTE(SUBSTITUTE(SUBSTITUTE(SUBSTITUTE(SUBSTITUTE(SUBSTITUTE(B403&amp;" "&amp;C403&amp;" "&amp;D403&amp;" "&amp;E403&amp;" "&amp;F403&amp;" "&amp;G403&amp;" "&amp;H403&amp;" "&amp;'08 Sealants &amp; Fixings'!R62,"("," "),")"," "),"/"," "),"-"," "),","," "),";"," "),":"," ")&amp;" ")</f>
        <v/>
      </c>
    </row>
    <row r="404" customFormat="false" ht="15" hidden="false" customHeight="false" outlineLevel="0" collapsed="false">
      <c r="A404" s="56" t="str">
        <f aca="false">IF('08 Sealants &amp; Fixings'!$C$63="","","Sealants, Gaskets, Fixings &amp; Consumables")</f>
        <v/>
      </c>
      <c r="B404" s="57" t="str">
        <f aca="false">IF('08 Sealants &amp; Fixings'!$C$63="","",'08 Sealants &amp; Fixings'!A63)</f>
        <v/>
      </c>
      <c r="C404" s="56" t="str">
        <f aca="false">IF('08 Sealants &amp; Fixings'!$C$63="","",'08 Sealants &amp; Fixings'!B63)</f>
        <v/>
      </c>
      <c r="D404" s="56" t="str">
        <f aca="false">IF('08 Sealants &amp; Fixings'!$C$63="","",'08 Sealants &amp; Fixings'!C63)</f>
        <v/>
      </c>
      <c r="E404" s="56" t="str">
        <f aca="false">IF('08 Sealants &amp; Fixings'!$C$63="","",'08 Sealants &amp; Fixings'!D63)</f>
        <v/>
      </c>
      <c r="F404" s="56" t="str">
        <f aca="false">IF('08 Sealants &amp; Fixings'!$C$63="","",'08 Sealants &amp; Fixings'!E63)</f>
        <v/>
      </c>
      <c r="G404" s="56" t="str">
        <f aca="false">IF('08 Sealants &amp; Fixings'!$C$63="","",'08 Sealants &amp; Fixings'!F63)</f>
        <v/>
      </c>
      <c r="H404" s="57" t="str">
        <f aca="false">IF('08 Sealants &amp; Fixings'!$C$63="","",'08 Sealants &amp; Fixings'!G63)</f>
        <v/>
      </c>
      <c r="I404" s="58" t="str">
        <f aca="false">IF('08 Sealants &amp; Fixings'!$C$63="","",'08 Sealants &amp; Fixings'!J63)</f>
        <v/>
      </c>
      <c r="J404" s="58" t="str">
        <f aca="false">IF('08 Sealants &amp; Fixings'!$C$63="","",'08 Sealants &amp; Fixings'!K63)</f>
        <v/>
      </c>
      <c r="K404" s="58" t="str">
        <f aca="false">IF('08 Sealants &amp; Fixings'!$C$63="","",'08 Sealants &amp; Fixings'!L63)</f>
        <v/>
      </c>
      <c r="L404" s="57" t="str">
        <f aca="false">IF('08 Sealants &amp; Fixings'!$C$63="","",'08 Sealants &amp; Fixings'!M63)</f>
        <v/>
      </c>
      <c r="M404" s="59" t="str">
        <f aca="false">IF(D404="","",IF(AND(OR(Search!$C$6="All Categories",A404=Search!$C$6),OR(Search!$P$5="",ISNUMBER(SEARCH(" "&amp;Search!$P$5,N404))),OR(Search!$P$6="",ISNUMBER(SEARCH(" "&amp;Search!$P$6,N404))),OR(Search!$P$7="",ISNUMBER(SEARCH(" "&amp;Search!$P$7,N404))),OR(Search!$P$8="",ISNUMBER(SEARCH(" "&amp;Search!$P$8,N404))),OR(Search!$P$9="",ISNUMBER(SEARCH(" "&amp;Search!$P$9,N404))),OR(Search!$P$10="",ISNUMBER(SEARCH(" "&amp;Search!$P$10,N404)))),ROW(),""))</f>
        <v/>
      </c>
      <c r="N404" s="0" t="str">
        <f aca="false">IF(D404="",""," "&amp;SUBSTITUTE(SUBSTITUTE(SUBSTITUTE(SUBSTITUTE(SUBSTITUTE(SUBSTITUTE(SUBSTITUTE(B404&amp;" "&amp;C404&amp;" "&amp;D404&amp;" "&amp;E404&amp;" "&amp;F404&amp;" "&amp;G404&amp;" "&amp;H404&amp;" "&amp;'08 Sealants &amp; Fixings'!R63,"("," "),")"," "),"/"," "),"-"," "),","," "),";"," "),":"," ")&amp;" ")</f>
        <v/>
      </c>
    </row>
    <row r="405" customFormat="false" ht="15" hidden="false" customHeight="false" outlineLevel="0" collapsed="false">
      <c r="A405" s="56" t="str">
        <f aca="false">IF('08 Sealants &amp; Fixings'!$C$64="","","Sealants, Gaskets, Fixings &amp; Consumables")</f>
        <v/>
      </c>
      <c r="B405" s="57" t="str">
        <f aca="false">IF('08 Sealants &amp; Fixings'!$C$64="","",'08 Sealants &amp; Fixings'!A64)</f>
        <v/>
      </c>
      <c r="C405" s="56" t="str">
        <f aca="false">IF('08 Sealants &amp; Fixings'!$C$64="","",'08 Sealants &amp; Fixings'!B64)</f>
        <v/>
      </c>
      <c r="D405" s="56" t="str">
        <f aca="false">IF('08 Sealants &amp; Fixings'!$C$64="","",'08 Sealants &amp; Fixings'!C64)</f>
        <v/>
      </c>
      <c r="E405" s="56" t="str">
        <f aca="false">IF('08 Sealants &amp; Fixings'!$C$64="","",'08 Sealants &amp; Fixings'!D64)</f>
        <v/>
      </c>
      <c r="F405" s="56" t="str">
        <f aca="false">IF('08 Sealants &amp; Fixings'!$C$64="","",'08 Sealants &amp; Fixings'!E64)</f>
        <v/>
      </c>
      <c r="G405" s="56" t="str">
        <f aca="false">IF('08 Sealants &amp; Fixings'!$C$64="","",'08 Sealants &amp; Fixings'!F64)</f>
        <v/>
      </c>
      <c r="H405" s="57" t="str">
        <f aca="false">IF('08 Sealants &amp; Fixings'!$C$64="","",'08 Sealants &amp; Fixings'!G64)</f>
        <v/>
      </c>
      <c r="I405" s="58" t="str">
        <f aca="false">IF('08 Sealants &amp; Fixings'!$C$64="","",'08 Sealants &amp; Fixings'!J64)</f>
        <v/>
      </c>
      <c r="J405" s="58" t="str">
        <f aca="false">IF('08 Sealants &amp; Fixings'!$C$64="","",'08 Sealants &amp; Fixings'!K64)</f>
        <v/>
      </c>
      <c r="K405" s="58" t="str">
        <f aca="false">IF('08 Sealants &amp; Fixings'!$C$64="","",'08 Sealants &amp; Fixings'!L64)</f>
        <v/>
      </c>
      <c r="L405" s="57" t="str">
        <f aca="false">IF('08 Sealants &amp; Fixings'!$C$64="","",'08 Sealants &amp; Fixings'!M64)</f>
        <v/>
      </c>
      <c r="M405" s="59" t="str">
        <f aca="false">IF(D405="","",IF(AND(OR(Search!$C$6="All Categories",A405=Search!$C$6),OR(Search!$P$5="",ISNUMBER(SEARCH(" "&amp;Search!$P$5,N405))),OR(Search!$P$6="",ISNUMBER(SEARCH(" "&amp;Search!$P$6,N405))),OR(Search!$P$7="",ISNUMBER(SEARCH(" "&amp;Search!$P$7,N405))),OR(Search!$P$8="",ISNUMBER(SEARCH(" "&amp;Search!$P$8,N405))),OR(Search!$P$9="",ISNUMBER(SEARCH(" "&amp;Search!$P$9,N405))),OR(Search!$P$10="",ISNUMBER(SEARCH(" "&amp;Search!$P$10,N405)))),ROW(),""))</f>
        <v/>
      </c>
      <c r="N405" s="0" t="str">
        <f aca="false">IF(D405="",""," "&amp;SUBSTITUTE(SUBSTITUTE(SUBSTITUTE(SUBSTITUTE(SUBSTITUTE(SUBSTITUTE(SUBSTITUTE(B405&amp;" "&amp;C405&amp;" "&amp;D405&amp;" "&amp;E405&amp;" "&amp;F405&amp;" "&amp;G405&amp;" "&amp;H405&amp;" "&amp;'08 Sealants &amp; Fixings'!R64,"("," "),")"," "),"/"," "),"-"," "),","," "),";"," "),":"," ")&amp;" ")</f>
        <v/>
      </c>
    </row>
    <row r="406" customFormat="false" ht="15" hidden="false" customHeight="false" outlineLevel="0" collapsed="false">
      <c r="A406" s="56" t="str">
        <f aca="false">IF('08 Sealants &amp; Fixings'!$C$65="","","Sealants, Gaskets, Fixings &amp; Consumables")</f>
        <v/>
      </c>
      <c r="B406" s="57" t="str">
        <f aca="false">IF('08 Sealants &amp; Fixings'!$C$65="","",'08 Sealants &amp; Fixings'!A65)</f>
        <v/>
      </c>
      <c r="C406" s="56" t="str">
        <f aca="false">IF('08 Sealants &amp; Fixings'!$C$65="","",'08 Sealants &amp; Fixings'!B65)</f>
        <v/>
      </c>
      <c r="D406" s="56" t="str">
        <f aca="false">IF('08 Sealants &amp; Fixings'!$C$65="","",'08 Sealants &amp; Fixings'!C65)</f>
        <v/>
      </c>
      <c r="E406" s="56" t="str">
        <f aca="false">IF('08 Sealants &amp; Fixings'!$C$65="","",'08 Sealants &amp; Fixings'!D65)</f>
        <v/>
      </c>
      <c r="F406" s="56" t="str">
        <f aca="false">IF('08 Sealants &amp; Fixings'!$C$65="","",'08 Sealants &amp; Fixings'!E65)</f>
        <v/>
      </c>
      <c r="G406" s="56" t="str">
        <f aca="false">IF('08 Sealants &amp; Fixings'!$C$65="","",'08 Sealants &amp; Fixings'!F65)</f>
        <v/>
      </c>
      <c r="H406" s="57" t="str">
        <f aca="false">IF('08 Sealants &amp; Fixings'!$C$65="","",'08 Sealants &amp; Fixings'!G65)</f>
        <v/>
      </c>
      <c r="I406" s="58" t="str">
        <f aca="false">IF('08 Sealants &amp; Fixings'!$C$65="","",'08 Sealants &amp; Fixings'!J65)</f>
        <v/>
      </c>
      <c r="J406" s="58" t="str">
        <f aca="false">IF('08 Sealants &amp; Fixings'!$C$65="","",'08 Sealants &amp; Fixings'!K65)</f>
        <v/>
      </c>
      <c r="K406" s="58" t="str">
        <f aca="false">IF('08 Sealants &amp; Fixings'!$C$65="","",'08 Sealants &amp; Fixings'!L65)</f>
        <v/>
      </c>
      <c r="L406" s="57" t="str">
        <f aca="false">IF('08 Sealants &amp; Fixings'!$C$65="","",'08 Sealants &amp; Fixings'!M65)</f>
        <v/>
      </c>
      <c r="M406" s="59" t="str">
        <f aca="false">IF(D406="","",IF(AND(OR(Search!$C$6="All Categories",A406=Search!$C$6),OR(Search!$P$5="",ISNUMBER(SEARCH(" "&amp;Search!$P$5,N406))),OR(Search!$P$6="",ISNUMBER(SEARCH(" "&amp;Search!$P$6,N406))),OR(Search!$P$7="",ISNUMBER(SEARCH(" "&amp;Search!$P$7,N406))),OR(Search!$P$8="",ISNUMBER(SEARCH(" "&amp;Search!$P$8,N406))),OR(Search!$P$9="",ISNUMBER(SEARCH(" "&amp;Search!$P$9,N406))),OR(Search!$P$10="",ISNUMBER(SEARCH(" "&amp;Search!$P$10,N406)))),ROW(),""))</f>
        <v/>
      </c>
      <c r="N406" s="0" t="str">
        <f aca="false">IF(D406="",""," "&amp;SUBSTITUTE(SUBSTITUTE(SUBSTITUTE(SUBSTITUTE(SUBSTITUTE(SUBSTITUTE(SUBSTITUTE(B406&amp;" "&amp;C406&amp;" "&amp;D406&amp;" "&amp;E406&amp;" "&amp;F406&amp;" "&amp;G406&amp;" "&amp;H406&amp;" "&amp;'08 Sealants &amp; Fixings'!R65,"("," "),")"," "),"/"," "),"-"," "),","," "),";"," "),":"," ")&amp;" ")</f>
        <v/>
      </c>
    </row>
    <row r="407" customFormat="false" ht="15" hidden="false" customHeight="false" outlineLevel="0" collapsed="false">
      <c r="A407" s="56" t="str">
        <f aca="false">IF('09 Cladding &amp; ACP'!$C$5="","","Cladding, ACP &amp; Facade Panels")</f>
        <v>Cladding, ACP &amp; Facade Panels</v>
      </c>
      <c r="B407" s="57" t="str">
        <f aca="false">IF('09 Cladding &amp; ACP'!$C$5="","",'09 Cladding &amp; ACP'!A5)</f>
        <v>CL-001</v>
      </c>
      <c r="C407" s="56" t="str">
        <f aca="false">IF('09 Cladding &amp; ACP'!$C$5="","",'09 Cladding &amp; ACP'!B5)</f>
        <v>ACP Sheets</v>
      </c>
      <c r="D407" s="56" t="str">
        <f aca="false">IF('09 Cladding &amp; ACP'!$C$5="","",'09 Cladding &amp; ACP'!C5)</f>
        <v>Aluminium composite panel (ACP)</v>
      </c>
      <c r="E407" s="56" t="str">
        <f aca="false">IF('09 Cladding &amp; ACP'!$C$5="","",'09 Cladding &amp; ACP'!D5)</f>
        <v>4 mm, 0.3 mm skin, non-FR</v>
      </c>
      <c r="F407" s="56" t="str">
        <f aca="false">IF('09 Cladding &amp; ACP'!$C$5="","",'09 Cladding &amp; ACP'!E5)</f>
        <v>PVDF</v>
      </c>
      <c r="G407" s="56" t="str">
        <f aca="false">IF('09 Cladding &amp; ACP'!$C$5="","",'09 Cladding &amp; ACP'!F5)</f>
        <v>Alubond / Alucobond / Equiv.</v>
      </c>
      <c r="H407" s="57" t="str">
        <f aca="false">IF('09 Cladding &amp; ACP'!$C$5="","",'09 Cladding &amp; ACP'!G5)</f>
        <v>m2</v>
      </c>
      <c r="I407" s="58" t="n">
        <f aca="false">IF('09 Cladding &amp; ACP'!$C$5="","",'09 Cladding &amp; ACP'!J5)</f>
        <v>60.5</v>
      </c>
      <c r="J407" s="58" t="n">
        <f aca="false">IF('09 Cladding &amp; ACP'!$C$5="","",'09 Cladding &amp; ACP'!K5)</f>
        <v>72.6</v>
      </c>
      <c r="K407" s="58" t="n">
        <f aca="false">IF('09 Cladding &amp; ACP'!$C$5="","",'09 Cladding &amp; ACP'!L5)</f>
        <v>76.23</v>
      </c>
      <c r="L407" s="57" t="str">
        <f aca="false">IF('09 Cladding &amp; ACP'!$C$5="","",'09 Cladding &amp; ACP'!M5)</f>
        <v>Indicative</v>
      </c>
      <c r="M407" s="59" t="n">
        <f aca="false">IF(D407="","",IF(AND(OR(Search!$C$6="All Categories",A407=Search!$C$6),OR(Search!$P$5="",ISNUMBER(SEARCH(" "&amp;Search!$P$5,N407))),OR(Search!$P$6="",ISNUMBER(SEARCH(" "&amp;Search!$P$6,N407))),OR(Search!$P$7="",ISNUMBER(SEARCH(" "&amp;Search!$P$7,N407))),OR(Search!$P$8="",ISNUMBER(SEARCH(" "&amp;Search!$P$8,N407))),OR(Search!$P$9="",ISNUMBER(SEARCH(" "&amp;Search!$P$9,N407))),OR(Search!$P$10="",ISNUMBER(SEARCH(" "&amp;Search!$P$10,N407)))),ROW(),""))</f>
        <v>407</v>
      </c>
      <c r="N407" s="0" t="str">
        <f aca="false">IF(D407="",""," "&amp;SUBSTITUTE(SUBSTITUTE(SUBSTITUTE(SUBSTITUTE(SUBSTITUTE(SUBSTITUTE(SUBSTITUTE(B407&amp;" "&amp;C407&amp;" "&amp;D407&amp;" "&amp;E407&amp;" "&amp;F407&amp;" "&amp;G407&amp;" "&amp;H407&amp;" "&amp;'09 Cladding &amp; ACP'!R5,"("," "),")"," "),"/"," "),"-"," "),","," "),";"," "),":"," ")&amp;" ")</f>
        <v> CL 001 ACP Sheets Aluminium composite panel  ACP  4 mm  0.3 mm skin  non FR PVDF Alubond   Alucobond   Equiv. m2 4mm 0.3mm aluminum alu acp cladding </v>
      </c>
    </row>
    <row r="408" customFormat="false" ht="15" hidden="false" customHeight="false" outlineLevel="0" collapsed="false">
      <c r="A408" s="56" t="str">
        <f aca="false">IF('09 Cladding &amp; ACP'!$C$6="","","Cladding, ACP &amp; Facade Panels")</f>
        <v>Cladding, ACP &amp; Facade Panels</v>
      </c>
      <c r="B408" s="57" t="str">
        <f aca="false">IF('09 Cladding &amp; ACP'!$C$6="","",'09 Cladding &amp; ACP'!A6)</f>
        <v>CL-002</v>
      </c>
      <c r="C408" s="56" t="str">
        <f aca="false">IF('09 Cladding &amp; ACP'!$C$6="","",'09 Cladding &amp; ACP'!B6)</f>
        <v>ACP Sheets</v>
      </c>
      <c r="D408" s="56" t="str">
        <f aca="false">IF('09 Cladding &amp; ACP'!$C$6="","",'09 Cladding &amp; ACP'!C6)</f>
        <v>Aluminium composite panel - fire rated FR (B1)</v>
      </c>
      <c r="E408" s="56" t="str">
        <f aca="false">IF('09 Cladding &amp; ACP'!$C$6="","",'09 Cladding &amp; ACP'!D6)</f>
        <v>4 mm, 0.5 mm skin</v>
      </c>
      <c r="F408" s="56" t="str">
        <f aca="false">IF('09 Cladding &amp; ACP'!$C$6="","",'09 Cladding &amp; ACP'!E6)</f>
        <v>PVDF</v>
      </c>
      <c r="G408" s="56" t="str">
        <f aca="false">IF('09 Cladding &amp; ACP'!$C$6="","",'09 Cladding &amp; ACP'!F6)</f>
        <v>Alubond / Alucobond / Equiv.</v>
      </c>
      <c r="H408" s="57" t="str">
        <f aca="false">IF('09 Cladding &amp; ACP'!$C$6="","",'09 Cladding &amp; ACP'!G6)</f>
        <v>m2</v>
      </c>
      <c r="I408" s="58" t="n">
        <f aca="false">IF('09 Cladding &amp; ACP'!$C$6="","",'09 Cladding &amp; ACP'!J6)</f>
        <v>82.5</v>
      </c>
      <c r="J408" s="58" t="n">
        <f aca="false">IF('09 Cladding &amp; ACP'!$C$6="","",'09 Cladding &amp; ACP'!K6)</f>
        <v>99</v>
      </c>
      <c r="K408" s="58" t="n">
        <f aca="false">IF('09 Cladding &amp; ACP'!$C$6="","",'09 Cladding &amp; ACP'!L6)</f>
        <v>103.95</v>
      </c>
      <c r="L408" s="57" t="str">
        <f aca="false">IF('09 Cladding &amp; ACP'!$C$6="","",'09 Cladding &amp; ACP'!M6)</f>
        <v>Indicative</v>
      </c>
      <c r="M408" s="59" t="n">
        <f aca="false">IF(D408="","",IF(AND(OR(Search!$C$6="All Categories",A408=Search!$C$6),OR(Search!$P$5="",ISNUMBER(SEARCH(" "&amp;Search!$P$5,N408))),OR(Search!$P$6="",ISNUMBER(SEARCH(" "&amp;Search!$P$6,N408))),OR(Search!$P$7="",ISNUMBER(SEARCH(" "&amp;Search!$P$7,N408))),OR(Search!$P$8="",ISNUMBER(SEARCH(" "&amp;Search!$P$8,N408))),OR(Search!$P$9="",ISNUMBER(SEARCH(" "&amp;Search!$P$9,N408))),OR(Search!$P$10="",ISNUMBER(SEARCH(" "&amp;Search!$P$10,N408)))),ROW(),""))</f>
        <v>408</v>
      </c>
      <c r="N408" s="0" t="str">
        <f aca="false">IF(D408="",""," "&amp;SUBSTITUTE(SUBSTITUTE(SUBSTITUTE(SUBSTITUTE(SUBSTITUTE(SUBSTITUTE(SUBSTITUTE(B408&amp;" "&amp;C408&amp;" "&amp;D408&amp;" "&amp;E408&amp;" "&amp;F408&amp;" "&amp;G408&amp;" "&amp;H408&amp;" "&amp;'09 Cladding &amp; ACP'!R6,"("," "),")"," "),"/"," "),"-"," "),","," "),";"," "),":"," ")&amp;" ")</f>
        <v> CL 002 ACP Sheets Aluminium composite panel   fire rated FR  B1  4 mm  0.5 mm skin PVDF Alubond   Alucobond   Equiv. m2 4mm 0.5mm aluminum alu acp cladding fire rated </v>
      </c>
    </row>
    <row r="409" customFormat="false" ht="15" hidden="false" customHeight="false" outlineLevel="0" collapsed="false">
      <c r="A409" s="56" t="str">
        <f aca="false">IF('09 Cladding &amp; ACP'!$C$7="","","Cladding, ACP &amp; Facade Panels")</f>
        <v>Cladding, ACP &amp; Facade Panels</v>
      </c>
      <c r="B409" s="57" t="str">
        <f aca="false">IF('09 Cladding &amp; ACP'!$C$7="","",'09 Cladding &amp; ACP'!A7)</f>
        <v>CL-003</v>
      </c>
      <c r="C409" s="56" t="str">
        <f aca="false">IF('09 Cladding &amp; ACP'!$C$7="","",'09 Cladding &amp; ACP'!B7)</f>
        <v>ACP Sheets</v>
      </c>
      <c r="D409" s="56" t="str">
        <f aca="false">IF('09 Cladding &amp; ACP'!$C$7="","",'09 Cladding &amp; ACP'!C7)</f>
        <v>Aluminium composite panel - A2 non-combustible</v>
      </c>
      <c r="E409" s="56" t="str">
        <f aca="false">IF('09 Cladding &amp; ACP'!$C$7="","",'09 Cladding &amp; ACP'!D7)</f>
        <v>4 mm, 0.5 mm skin</v>
      </c>
      <c r="F409" s="56" t="str">
        <f aca="false">IF('09 Cladding &amp; ACP'!$C$7="","",'09 Cladding &amp; ACP'!E7)</f>
        <v>PVDF</v>
      </c>
      <c r="G409" s="56" t="str">
        <f aca="false">IF('09 Cladding &amp; ACP'!$C$7="","",'09 Cladding &amp; ACP'!F7)</f>
        <v>Alubond / Alucobond / Equiv.</v>
      </c>
      <c r="H409" s="57" t="str">
        <f aca="false">IF('09 Cladding &amp; ACP'!$C$7="","",'09 Cladding &amp; ACP'!G7)</f>
        <v>m2</v>
      </c>
      <c r="I409" s="58" t="n">
        <f aca="false">IF('09 Cladding &amp; ACP'!$C$7="","",'09 Cladding &amp; ACP'!J7)</f>
        <v>121</v>
      </c>
      <c r="J409" s="58" t="n">
        <f aca="false">IF('09 Cladding &amp; ACP'!$C$7="","",'09 Cladding &amp; ACP'!K7)</f>
        <v>145.2</v>
      </c>
      <c r="K409" s="58" t="n">
        <f aca="false">IF('09 Cladding &amp; ACP'!$C$7="","",'09 Cladding &amp; ACP'!L7)</f>
        <v>152.46</v>
      </c>
      <c r="L409" s="57" t="str">
        <f aca="false">IF('09 Cladding &amp; ACP'!$C$7="","",'09 Cladding &amp; ACP'!M7)</f>
        <v>Indicative</v>
      </c>
      <c r="M409" s="59" t="n">
        <f aca="false">IF(D409="","",IF(AND(OR(Search!$C$6="All Categories",A409=Search!$C$6),OR(Search!$P$5="",ISNUMBER(SEARCH(" "&amp;Search!$P$5,N409))),OR(Search!$P$6="",ISNUMBER(SEARCH(" "&amp;Search!$P$6,N409))),OR(Search!$P$7="",ISNUMBER(SEARCH(" "&amp;Search!$P$7,N409))),OR(Search!$P$8="",ISNUMBER(SEARCH(" "&amp;Search!$P$8,N409))),OR(Search!$P$9="",ISNUMBER(SEARCH(" "&amp;Search!$P$9,N409))),OR(Search!$P$10="",ISNUMBER(SEARCH(" "&amp;Search!$P$10,N409)))),ROW(),""))</f>
        <v>409</v>
      </c>
      <c r="N409" s="0" t="str">
        <f aca="false">IF(D409="",""," "&amp;SUBSTITUTE(SUBSTITUTE(SUBSTITUTE(SUBSTITUTE(SUBSTITUTE(SUBSTITUTE(SUBSTITUTE(B409&amp;" "&amp;C409&amp;" "&amp;D409&amp;" "&amp;E409&amp;" "&amp;F409&amp;" "&amp;G409&amp;" "&amp;H409&amp;" "&amp;'09 Cladding &amp; ACP'!R7,"("," "),")"," "),"/"," "),"-"," "),","," "),";"," "),":"," ")&amp;" ")</f>
        <v> CL 003 ACP Sheets Aluminium composite panel   A2 non combustible 4 mm  0.5 mm skin PVDF Alubond   Alucobond   Equiv. m2 4mm 0.5mm aluminum alu acp cladding </v>
      </c>
    </row>
    <row r="410" customFormat="false" ht="15" hidden="false" customHeight="false" outlineLevel="0" collapsed="false">
      <c r="A410" s="56" t="str">
        <f aca="false">IF('09 Cladding &amp; ACP'!$C$8="","","Cladding, ACP &amp; Facade Panels")</f>
        <v>Cladding, ACP &amp; Facade Panels</v>
      </c>
      <c r="B410" s="57" t="str">
        <f aca="false">IF('09 Cladding &amp; ACP'!$C$8="","",'09 Cladding &amp; ACP'!A8)</f>
        <v>CL-004</v>
      </c>
      <c r="C410" s="56" t="str">
        <f aca="false">IF('09 Cladding &amp; ACP'!$C$8="","",'09 Cladding &amp; ACP'!B8)</f>
        <v>ACP Sheets</v>
      </c>
      <c r="D410" s="56" t="str">
        <f aca="false">IF('09 Cladding &amp; ACP'!$C$8="","",'09 Cladding &amp; ACP'!C8)</f>
        <v>ACP - special finish (wood / stone / mirror / metallic)</v>
      </c>
      <c r="E410" s="56" t="str">
        <f aca="false">IF('09 Cladding &amp; ACP'!$C$8="","",'09 Cladding &amp; ACP'!D8)</f>
        <v>4 mm, FR</v>
      </c>
      <c r="F410" s="56" t="str">
        <f aca="false">IF('09 Cladding &amp; ACP'!$C$8="","",'09 Cladding &amp; ACP'!E8)</f>
        <v>Special</v>
      </c>
      <c r="G410" s="56" t="str">
        <f aca="false">IF('09 Cladding &amp; ACP'!$C$8="","",'09 Cladding &amp; ACP'!F8)</f>
        <v>Alubond / Equiv.</v>
      </c>
      <c r="H410" s="57" t="str">
        <f aca="false">IF('09 Cladding &amp; ACP'!$C$8="","",'09 Cladding &amp; ACP'!G8)</f>
        <v>m2</v>
      </c>
      <c r="I410" s="58" t="n">
        <f aca="false">IF('09 Cladding &amp; ACP'!$C$8="","",'09 Cladding &amp; ACP'!J8)</f>
        <v>143</v>
      </c>
      <c r="J410" s="58" t="n">
        <f aca="false">IF('09 Cladding &amp; ACP'!$C$8="","",'09 Cladding &amp; ACP'!K8)</f>
        <v>171.6</v>
      </c>
      <c r="K410" s="58" t="n">
        <f aca="false">IF('09 Cladding &amp; ACP'!$C$8="","",'09 Cladding &amp; ACP'!L8)</f>
        <v>180.18</v>
      </c>
      <c r="L410" s="57" t="str">
        <f aca="false">IF('09 Cladding &amp; ACP'!$C$8="","",'09 Cladding &amp; ACP'!M8)</f>
        <v>Indicative</v>
      </c>
      <c r="M410" s="59" t="str">
        <f aca="false">IF(D410="","",IF(AND(OR(Search!$C$6="All Categories",A410=Search!$C$6),OR(Search!$P$5="",ISNUMBER(SEARCH(" "&amp;Search!$P$5,N410))),OR(Search!$P$6="",ISNUMBER(SEARCH(" "&amp;Search!$P$6,N410))),OR(Search!$P$7="",ISNUMBER(SEARCH(" "&amp;Search!$P$7,N410))),OR(Search!$P$8="",ISNUMBER(SEARCH(" "&amp;Search!$P$8,N410))),OR(Search!$P$9="",ISNUMBER(SEARCH(" "&amp;Search!$P$9,N410))),OR(Search!$P$10="",ISNUMBER(SEARCH(" "&amp;Search!$P$10,N410)))),ROW(),""))</f>
        <v/>
      </c>
      <c r="N410" s="0" t="str">
        <f aca="false">IF(D410="",""," "&amp;SUBSTITUTE(SUBSTITUTE(SUBSTITUTE(SUBSTITUTE(SUBSTITUTE(SUBSTITUTE(SUBSTITUTE(B410&amp;" "&amp;C410&amp;" "&amp;D410&amp;" "&amp;E410&amp;" "&amp;F410&amp;" "&amp;G410&amp;" "&amp;H410&amp;" "&amp;'09 Cladding &amp; ACP'!R8,"("," "),")"," "),"/"," "),"-"," "),","," "),";"," "),":"," ")&amp;" ")</f>
        <v> CL 004 ACP Sheets ACP   special finish  wood   stone   mirror   metallic  4 mm  FR Special Alubond   Equiv. m2 4mm glass </v>
      </c>
    </row>
    <row r="411" customFormat="false" ht="15" hidden="false" customHeight="false" outlineLevel="0" collapsed="false">
      <c r="A411" s="56" t="str">
        <f aca="false">IF('09 Cladding &amp; ACP'!$C$9="","","Cladding, ACP &amp; Facade Panels")</f>
        <v>Cladding, ACP &amp; Facade Panels</v>
      </c>
      <c r="B411" s="57" t="str">
        <f aca="false">IF('09 Cladding &amp; ACP'!$C$9="","",'09 Cladding &amp; ACP'!A9)</f>
        <v>CL-005</v>
      </c>
      <c r="C411" s="56" t="str">
        <f aca="false">IF('09 Cladding &amp; ACP'!$C$9="","",'09 Cladding &amp; ACP'!B9)</f>
        <v>Solid Aluminium Panels</v>
      </c>
      <c r="D411" s="56" t="str">
        <f aca="false">IF('09 Cladding &amp; ACP'!$C$9="","",'09 Cladding &amp; ACP'!C9)</f>
        <v>Solid aluminium panel</v>
      </c>
      <c r="E411" s="56" t="str">
        <f aca="false">IF('09 Cladding &amp; ACP'!$C$9="","",'09 Cladding &amp; ACP'!D9)</f>
        <v>2.0 mm</v>
      </c>
      <c r="F411" s="56" t="str">
        <f aca="false">IF('09 Cladding &amp; ACP'!$C$9="","",'09 Cladding &amp; ACP'!E9)</f>
        <v>PVDF</v>
      </c>
      <c r="G411" s="56" t="str">
        <f aca="false">IF('09 Cladding &amp; ACP'!$C$9="","",'09 Cladding &amp; ACP'!F9)</f>
        <v>Local fabrication</v>
      </c>
      <c r="H411" s="57" t="str">
        <f aca="false">IF('09 Cladding &amp; ACP'!$C$9="","",'09 Cladding &amp; ACP'!G9)</f>
        <v>m2</v>
      </c>
      <c r="I411" s="58" t="n">
        <f aca="false">IF('09 Cladding &amp; ACP'!$C$9="","",'09 Cladding &amp; ACP'!J9)</f>
        <v>165</v>
      </c>
      <c r="J411" s="58" t="n">
        <f aca="false">IF('09 Cladding &amp; ACP'!$C$9="","",'09 Cladding &amp; ACP'!K9)</f>
        <v>198</v>
      </c>
      <c r="K411" s="58" t="n">
        <f aca="false">IF('09 Cladding &amp; ACP'!$C$9="","",'09 Cladding &amp; ACP'!L9)</f>
        <v>207.9</v>
      </c>
      <c r="L411" s="57" t="str">
        <f aca="false">IF('09 Cladding &amp; ACP'!$C$9="","",'09 Cladding &amp; ACP'!M9)</f>
        <v>Indicative</v>
      </c>
      <c r="M411" s="59" t="str">
        <f aca="false">IF(D411="","",IF(AND(OR(Search!$C$6="All Categories",A411=Search!$C$6),OR(Search!$P$5="",ISNUMBER(SEARCH(" "&amp;Search!$P$5,N411))),OR(Search!$P$6="",ISNUMBER(SEARCH(" "&amp;Search!$P$6,N411))),OR(Search!$P$7="",ISNUMBER(SEARCH(" "&amp;Search!$P$7,N411))),OR(Search!$P$8="",ISNUMBER(SEARCH(" "&amp;Search!$P$8,N411))),OR(Search!$P$9="",ISNUMBER(SEARCH(" "&amp;Search!$P$9,N411))),OR(Search!$P$10="",ISNUMBER(SEARCH(" "&amp;Search!$P$10,N411)))),ROW(),""))</f>
        <v/>
      </c>
      <c r="N411" s="0" t="str">
        <f aca="false">IF(D411="",""," "&amp;SUBSTITUTE(SUBSTITUTE(SUBSTITUTE(SUBSTITUTE(SUBSTITUTE(SUBSTITUTE(SUBSTITUTE(B411&amp;" "&amp;C411&amp;" "&amp;D411&amp;" "&amp;E411&amp;" "&amp;F411&amp;" "&amp;G411&amp;" "&amp;H411&amp;" "&amp;'09 Cladding &amp; ACP'!R9,"("," "),")"," "),"/"," "),"-"," "),","," "),";"," "),":"," ")&amp;" ")</f>
        <v> CL 005 Solid Aluminium Panels Solid aluminium panel 2.0 mm PVDF Local fabrication m2 2.0mm aluminum alu </v>
      </c>
    </row>
    <row r="412" customFormat="false" ht="15" hidden="false" customHeight="false" outlineLevel="0" collapsed="false">
      <c r="A412" s="56" t="str">
        <f aca="false">IF('09 Cladding &amp; ACP'!$C$10="","","Cladding, ACP &amp; Facade Panels")</f>
        <v>Cladding, ACP &amp; Facade Panels</v>
      </c>
      <c r="B412" s="57" t="str">
        <f aca="false">IF('09 Cladding &amp; ACP'!$C$10="","",'09 Cladding &amp; ACP'!A10)</f>
        <v>CL-006</v>
      </c>
      <c r="C412" s="56" t="str">
        <f aca="false">IF('09 Cladding &amp; ACP'!$C$10="","",'09 Cladding &amp; ACP'!B10)</f>
        <v>Solid Aluminium Panels</v>
      </c>
      <c r="D412" s="56" t="str">
        <f aca="false">IF('09 Cladding &amp; ACP'!$C$10="","",'09 Cladding &amp; ACP'!C10)</f>
        <v>Solid aluminium panel</v>
      </c>
      <c r="E412" s="56" t="str">
        <f aca="false">IF('09 Cladding &amp; ACP'!$C$10="","",'09 Cladding &amp; ACP'!D10)</f>
        <v>3.0 mm</v>
      </c>
      <c r="F412" s="56" t="str">
        <f aca="false">IF('09 Cladding &amp; ACP'!$C$10="","",'09 Cladding &amp; ACP'!E10)</f>
        <v>PVDF</v>
      </c>
      <c r="G412" s="56" t="str">
        <f aca="false">IF('09 Cladding &amp; ACP'!$C$10="","",'09 Cladding &amp; ACP'!F10)</f>
        <v>Local fabrication</v>
      </c>
      <c r="H412" s="57" t="str">
        <f aca="false">IF('09 Cladding &amp; ACP'!$C$10="","",'09 Cladding &amp; ACP'!G10)</f>
        <v>m2</v>
      </c>
      <c r="I412" s="58" t="n">
        <f aca="false">IF('09 Cladding &amp; ACP'!$C$10="","",'09 Cladding &amp; ACP'!J10)</f>
        <v>209</v>
      </c>
      <c r="J412" s="58" t="n">
        <f aca="false">IF('09 Cladding &amp; ACP'!$C$10="","",'09 Cladding &amp; ACP'!K10)</f>
        <v>250.8</v>
      </c>
      <c r="K412" s="58" t="n">
        <f aca="false">IF('09 Cladding &amp; ACP'!$C$10="","",'09 Cladding &amp; ACP'!L10)</f>
        <v>263.34</v>
      </c>
      <c r="L412" s="57" t="str">
        <f aca="false">IF('09 Cladding &amp; ACP'!$C$10="","",'09 Cladding &amp; ACP'!M10)</f>
        <v>Indicative</v>
      </c>
      <c r="M412" s="59" t="str">
        <f aca="false">IF(D412="","",IF(AND(OR(Search!$C$6="All Categories",A412=Search!$C$6),OR(Search!$P$5="",ISNUMBER(SEARCH(" "&amp;Search!$P$5,N412))),OR(Search!$P$6="",ISNUMBER(SEARCH(" "&amp;Search!$P$6,N412))),OR(Search!$P$7="",ISNUMBER(SEARCH(" "&amp;Search!$P$7,N412))),OR(Search!$P$8="",ISNUMBER(SEARCH(" "&amp;Search!$P$8,N412))),OR(Search!$P$9="",ISNUMBER(SEARCH(" "&amp;Search!$P$9,N412))),OR(Search!$P$10="",ISNUMBER(SEARCH(" "&amp;Search!$P$10,N412)))),ROW(),""))</f>
        <v/>
      </c>
      <c r="N412" s="0" t="str">
        <f aca="false">IF(D412="",""," "&amp;SUBSTITUTE(SUBSTITUTE(SUBSTITUTE(SUBSTITUTE(SUBSTITUTE(SUBSTITUTE(SUBSTITUTE(B412&amp;" "&amp;C412&amp;" "&amp;D412&amp;" "&amp;E412&amp;" "&amp;F412&amp;" "&amp;G412&amp;" "&amp;H412&amp;" "&amp;'09 Cladding &amp; ACP'!R10,"("," "),")"," "),"/"," "),"-"," "),","," "),";"," "),":"," ")&amp;" ")</f>
        <v> CL 006 Solid Aluminium Panels Solid aluminium panel 3.0 mm PVDF Local fabrication m2 3.0mm aluminum alu </v>
      </c>
    </row>
    <row r="413" customFormat="false" ht="15" hidden="false" customHeight="false" outlineLevel="0" collapsed="false">
      <c r="A413" s="56" t="str">
        <f aca="false">IF('09 Cladding &amp; ACP'!$C$11="","","Cladding, ACP &amp; Facade Panels")</f>
        <v>Cladding, ACP &amp; Facade Panels</v>
      </c>
      <c r="B413" s="57" t="str">
        <f aca="false">IF('09 Cladding &amp; ACP'!$C$11="","",'09 Cladding &amp; ACP'!A11)</f>
        <v>CL-007</v>
      </c>
      <c r="C413" s="56" t="str">
        <f aca="false">IF('09 Cladding &amp; ACP'!$C$11="","",'09 Cladding &amp; ACP'!B11)</f>
        <v>Solid Aluminium Panels</v>
      </c>
      <c r="D413" s="56" t="str">
        <f aca="false">IF('09 Cladding &amp; ACP'!$C$11="","",'09 Cladding &amp; ACP'!C11)</f>
        <v>Perforated aluminium panel</v>
      </c>
      <c r="E413" s="56" t="str">
        <f aca="false">IF('09 Cladding &amp; ACP'!$C$11="","",'09 Cladding &amp; ACP'!D11)</f>
        <v>3.0 mm, pattern as approved</v>
      </c>
      <c r="F413" s="56" t="str">
        <f aca="false">IF('09 Cladding &amp; ACP'!$C$11="","",'09 Cladding &amp; ACP'!E11)</f>
        <v>PVDF</v>
      </c>
      <c r="G413" s="56" t="str">
        <f aca="false">IF('09 Cladding &amp; ACP'!$C$11="","",'09 Cladding &amp; ACP'!F11)</f>
        <v>Local fabrication</v>
      </c>
      <c r="H413" s="57" t="str">
        <f aca="false">IF('09 Cladding &amp; ACP'!$C$11="","",'09 Cladding &amp; ACP'!G11)</f>
        <v>m2</v>
      </c>
      <c r="I413" s="58" t="n">
        <f aca="false">IF('09 Cladding &amp; ACP'!$C$11="","",'09 Cladding &amp; ACP'!J11)</f>
        <v>286</v>
      </c>
      <c r="J413" s="58" t="n">
        <f aca="false">IF('09 Cladding &amp; ACP'!$C$11="","",'09 Cladding &amp; ACP'!K11)</f>
        <v>343.2</v>
      </c>
      <c r="K413" s="58" t="n">
        <f aca="false">IF('09 Cladding &amp; ACP'!$C$11="","",'09 Cladding &amp; ACP'!L11)</f>
        <v>360.36</v>
      </c>
      <c r="L413" s="57" t="str">
        <f aca="false">IF('09 Cladding &amp; ACP'!$C$11="","",'09 Cladding &amp; ACP'!M11)</f>
        <v>Indicative</v>
      </c>
      <c r="M413" s="59" t="str">
        <f aca="false">IF(D413="","",IF(AND(OR(Search!$C$6="All Categories",A413=Search!$C$6),OR(Search!$P$5="",ISNUMBER(SEARCH(" "&amp;Search!$P$5,N413))),OR(Search!$P$6="",ISNUMBER(SEARCH(" "&amp;Search!$P$6,N413))),OR(Search!$P$7="",ISNUMBER(SEARCH(" "&amp;Search!$P$7,N413))),OR(Search!$P$8="",ISNUMBER(SEARCH(" "&amp;Search!$P$8,N413))),OR(Search!$P$9="",ISNUMBER(SEARCH(" "&amp;Search!$P$9,N413))),OR(Search!$P$10="",ISNUMBER(SEARCH(" "&amp;Search!$P$10,N413)))),ROW(),""))</f>
        <v/>
      </c>
      <c r="N413" s="0" t="str">
        <f aca="false">IF(D413="",""," "&amp;SUBSTITUTE(SUBSTITUTE(SUBSTITUTE(SUBSTITUTE(SUBSTITUTE(SUBSTITUTE(SUBSTITUTE(B413&amp;" "&amp;C413&amp;" "&amp;D413&amp;" "&amp;E413&amp;" "&amp;F413&amp;" "&amp;G413&amp;" "&amp;H413&amp;" "&amp;'09 Cladding &amp; ACP'!R11,"("," "),")"," "),"/"," "),"-"," "),","," "),";"," "),":"," ")&amp;" ")</f>
        <v> CL 007 Solid Aluminium Panels Perforated aluminium panel 3.0 mm  pattern as approved PVDF Local fabrication m2 3.0mm aluminum alu </v>
      </c>
    </row>
    <row r="414" customFormat="false" ht="15" hidden="false" customHeight="false" outlineLevel="0" collapsed="false">
      <c r="A414" s="56" t="str">
        <f aca="false">IF('09 Cladding &amp; ACP'!$C$12="","","Cladding, ACP &amp; Facade Panels")</f>
        <v>Cladding, ACP &amp; Facade Panels</v>
      </c>
      <c r="B414" s="57" t="str">
        <f aca="false">IF('09 Cladding &amp; ACP'!$C$12="","",'09 Cladding &amp; ACP'!A12)</f>
        <v>CL-008</v>
      </c>
      <c r="C414" s="56" t="str">
        <f aca="false">IF('09 Cladding &amp; ACP'!$C$12="","",'09 Cladding &amp; ACP'!B12)</f>
        <v>Solid Aluminium Panels</v>
      </c>
      <c r="D414" s="56" t="str">
        <f aca="false">IF('09 Cladding &amp; ACP'!$C$12="","",'09 Cladding &amp; ACP'!C12)</f>
        <v>CNC laser-cut decorative screen</v>
      </c>
      <c r="E414" s="56" t="str">
        <f aca="false">IF('09 Cladding &amp; ACP'!$C$12="","",'09 Cladding &amp; ACP'!D12)</f>
        <v>3.0 mm, custom design</v>
      </c>
      <c r="F414" s="56" t="str">
        <f aca="false">IF('09 Cladding &amp; ACP'!$C$12="","",'09 Cladding &amp; ACP'!E12)</f>
        <v>PVDF</v>
      </c>
      <c r="G414" s="56" t="str">
        <f aca="false">IF('09 Cladding &amp; ACP'!$C$12="","",'09 Cladding &amp; ACP'!F12)</f>
        <v>Local fabrication</v>
      </c>
      <c r="H414" s="57" t="str">
        <f aca="false">IF('09 Cladding &amp; ACP'!$C$12="","",'09 Cladding &amp; ACP'!G12)</f>
        <v>m2</v>
      </c>
      <c r="I414" s="58" t="n">
        <f aca="false">IF('09 Cladding &amp; ACP'!$C$12="","",'09 Cladding &amp; ACP'!J12)</f>
        <v>418</v>
      </c>
      <c r="J414" s="58" t="n">
        <f aca="false">IF('09 Cladding &amp; ACP'!$C$12="","",'09 Cladding &amp; ACP'!K12)</f>
        <v>501.6</v>
      </c>
      <c r="K414" s="58" t="n">
        <f aca="false">IF('09 Cladding &amp; ACP'!$C$12="","",'09 Cladding &amp; ACP'!L12)</f>
        <v>526.68</v>
      </c>
      <c r="L414" s="57" t="str">
        <f aca="false">IF('09 Cladding &amp; ACP'!$C$12="","",'09 Cladding &amp; ACP'!M12)</f>
        <v>Indicative</v>
      </c>
      <c r="M414" s="59" t="str">
        <f aca="false">IF(D414="","",IF(AND(OR(Search!$C$6="All Categories",A414=Search!$C$6),OR(Search!$P$5="",ISNUMBER(SEARCH(" "&amp;Search!$P$5,N414))),OR(Search!$P$6="",ISNUMBER(SEARCH(" "&amp;Search!$P$6,N414))),OR(Search!$P$7="",ISNUMBER(SEARCH(" "&amp;Search!$P$7,N414))),OR(Search!$P$8="",ISNUMBER(SEARCH(" "&amp;Search!$P$8,N414))),OR(Search!$P$9="",ISNUMBER(SEARCH(" "&amp;Search!$P$9,N414))),OR(Search!$P$10="",ISNUMBER(SEARCH(" "&amp;Search!$P$10,N414)))),ROW(),""))</f>
        <v/>
      </c>
      <c r="N414" s="0" t="str">
        <f aca="false">IF(D414="",""," "&amp;SUBSTITUTE(SUBSTITUTE(SUBSTITUTE(SUBSTITUTE(SUBSTITUTE(SUBSTITUTE(SUBSTITUTE(B414&amp;" "&amp;C414&amp;" "&amp;D414&amp;" "&amp;E414&amp;" "&amp;F414&amp;" "&amp;G414&amp;" "&amp;H414&amp;" "&amp;'09 Cladding &amp; ACP'!R12,"("," "),")"," "),"/"," "),"-"," "),","," "),";"," "),":"," ")&amp;" ")</f>
        <v> CL 008 Solid Aluminium Panels CNC laser cut decorative screen 3.0 mm  custom design PVDF Local fabrication m2 3.0mm aluminum alu </v>
      </c>
    </row>
    <row r="415" customFormat="false" ht="15" hidden="false" customHeight="false" outlineLevel="0" collapsed="false">
      <c r="A415" s="56" t="str">
        <f aca="false">IF('09 Cladding &amp; ACP'!$C$13="","","Cladding, ACP &amp; Facade Panels")</f>
        <v>Cladding, ACP &amp; Facade Panels</v>
      </c>
      <c r="B415" s="57" t="str">
        <f aca="false">IF('09 Cladding &amp; ACP'!$C$13="","",'09 Cladding &amp; ACP'!A13)</f>
        <v>CL-009</v>
      </c>
      <c r="C415" s="56" t="str">
        <f aca="false">IF('09 Cladding &amp; ACP'!$C$13="","",'09 Cladding &amp; ACP'!B13)</f>
        <v>Solid Aluminium Panels</v>
      </c>
      <c r="D415" s="56" t="str">
        <f aca="false">IF('09 Cladding &amp; ACP'!$C$13="","",'09 Cladding &amp; ACP'!C13)</f>
        <v>Aluminium honeycomb panel</v>
      </c>
      <c r="E415" s="56" t="str">
        <f aca="false">IF('09 Cladding &amp; ACP'!$C$13="","",'09 Cladding &amp; ACP'!D13)</f>
        <v>20-25 mm</v>
      </c>
      <c r="F415" s="56" t="str">
        <f aca="false">IF('09 Cladding &amp; ACP'!$C$13="","",'09 Cladding &amp; ACP'!E13)</f>
        <v>PVDF</v>
      </c>
      <c r="G415" s="56" t="str">
        <f aca="false">IF('09 Cladding &amp; ACP'!$C$13="","",'09 Cladding &amp; ACP'!F13)</f>
        <v>Imported</v>
      </c>
      <c r="H415" s="57" t="str">
        <f aca="false">IF('09 Cladding &amp; ACP'!$C$13="","",'09 Cladding &amp; ACP'!G13)</f>
        <v>m2</v>
      </c>
      <c r="I415" s="58" t="n">
        <f aca="false">IF('09 Cladding &amp; ACP'!$C$13="","",'09 Cladding &amp; ACP'!J13)</f>
        <v>495</v>
      </c>
      <c r="J415" s="58" t="n">
        <f aca="false">IF('09 Cladding &amp; ACP'!$C$13="","",'09 Cladding &amp; ACP'!K13)</f>
        <v>594</v>
      </c>
      <c r="K415" s="58" t="n">
        <f aca="false">IF('09 Cladding &amp; ACP'!$C$13="","",'09 Cladding &amp; ACP'!L13)</f>
        <v>623.7</v>
      </c>
      <c r="L415" s="57" t="str">
        <f aca="false">IF('09 Cladding &amp; ACP'!$C$13="","",'09 Cladding &amp; ACP'!M13)</f>
        <v>Indicative</v>
      </c>
      <c r="M415" s="59" t="str">
        <f aca="false">IF(D415="","",IF(AND(OR(Search!$C$6="All Categories",A415=Search!$C$6),OR(Search!$P$5="",ISNUMBER(SEARCH(" "&amp;Search!$P$5,N415))),OR(Search!$P$6="",ISNUMBER(SEARCH(" "&amp;Search!$P$6,N415))),OR(Search!$P$7="",ISNUMBER(SEARCH(" "&amp;Search!$P$7,N415))),OR(Search!$P$8="",ISNUMBER(SEARCH(" "&amp;Search!$P$8,N415))),OR(Search!$P$9="",ISNUMBER(SEARCH(" "&amp;Search!$P$9,N415))),OR(Search!$P$10="",ISNUMBER(SEARCH(" "&amp;Search!$P$10,N415)))),ROW(),""))</f>
        <v/>
      </c>
      <c r="N415" s="0" t="str">
        <f aca="false">IF(D415="",""," "&amp;SUBSTITUTE(SUBSTITUTE(SUBSTITUTE(SUBSTITUTE(SUBSTITUTE(SUBSTITUTE(SUBSTITUTE(B415&amp;" "&amp;C415&amp;" "&amp;D415&amp;" "&amp;E415&amp;" "&amp;F415&amp;" "&amp;G415&amp;" "&amp;H415&amp;" "&amp;'09 Cladding &amp; ACP'!R13,"("," "),")"," "),"/"," "),"-"," "),","," "),";"," "),":"," ")&amp;" ")</f>
        <v> CL 009 Solid Aluminium Panels Aluminium honeycomb panel 20 25 mm PVDF Imported m2 25mm aluminum alu </v>
      </c>
    </row>
    <row r="416" customFormat="false" ht="15" hidden="false" customHeight="false" outlineLevel="0" collapsed="false">
      <c r="A416" s="56" t="str">
        <f aca="false">IF('09 Cladding &amp; ACP'!$C$14="","","Cladding, ACP &amp; Facade Panels")</f>
        <v>Cladding, ACP &amp; Facade Panels</v>
      </c>
      <c r="B416" s="57" t="str">
        <f aca="false">IF('09 Cladding &amp; ACP'!$C$14="","",'09 Cladding &amp; ACP'!A14)</f>
        <v>CL-010</v>
      </c>
      <c r="C416" s="56" t="str">
        <f aca="false">IF('09 Cladding &amp; ACP'!$C$14="","",'09 Cladding &amp; ACP'!B14)</f>
        <v>Solid Aluminium Panels</v>
      </c>
      <c r="D416" s="56" t="str">
        <f aca="false">IF('09 Cladding &amp; ACP'!$C$14="","",'09 Cladding &amp; ACP'!C14)</f>
        <v>Aluminium corrugated / profiled sheet</v>
      </c>
      <c r="E416" s="56" t="str">
        <f aca="false">IF('09 Cladding &amp; ACP'!$C$14="","",'09 Cladding &amp; ACP'!D14)</f>
        <v>0.7 mm</v>
      </c>
      <c r="F416" s="56" t="str">
        <f aca="false">IF('09 Cladding &amp; ACP'!$C$14="","",'09 Cladding &amp; ACP'!E14)</f>
        <v>PC / PVDF</v>
      </c>
      <c r="G416" s="56" t="str">
        <f aca="false">IF('09 Cladding &amp; ACP'!$C$14="","",'09 Cladding &amp; ACP'!F14)</f>
        <v>Local</v>
      </c>
      <c r="H416" s="57" t="str">
        <f aca="false">IF('09 Cladding &amp; ACP'!$C$14="","",'09 Cladding &amp; ACP'!G14)</f>
        <v>m2</v>
      </c>
      <c r="I416" s="58" t="n">
        <f aca="false">IF('09 Cladding &amp; ACP'!$C$14="","",'09 Cladding &amp; ACP'!J14)</f>
        <v>71.5</v>
      </c>
      <c r="J416" s="58" t="n">
        <f aca="false">IF('09 Cladding &amp; ACP'!$C$14="","",'09 Cladding &amp; ACP'!K14)</f>
        <v>85.8</v>
      </c>
      <c r="K416" s="58" t="n">
        <f aca="false">IF('09 Cladding &amp; ACP'!$C$14="","",'09 Cladding &amp; ACP'!L14)</f>
        <v>90.09</v>
      </c>
      <c r="L416" s="57" t="str">
        <f aca="false">IF('09 Cladding &amp; ACP'!$C$14="","",'09 Cladding &amp; ACP'!M14)</f>
        <v>Indicative</v>
      </c>
      <c r="M416" s="59" t="n">
        <f aca="false">IF(D416="","",IF(AND(OR(Search!$C$6="All Categories",A416=Search!$C$6),OR(Search!$P$5="",ISNUMBER(SEARCH(" "&amp;Search!$P$5,N416))),OR(Search!$P$6="",ISNUMBER(SEARCH(" "&amp;Search!$P$6,N416))),OR(Search!$P$7="",ISNUMBER(SEARCH(" "&amp;Search!$P$7,N416))),OR(Search!$P$8="",ISNUMBER(SEARCH(" "&amp;Search!$P$8,N416))),OR(Search!$P$9="",ISNUMBER(SEARCH(" "&amp;Search!$P$9,N416))),OR(Search!$P$10="",ISNUMBER(SEARCH(" "&amp;Search!$P$10,N416)))),ROW(),""))</f>
        <v>416</v>
      </c>
      <c r="N416" s="0" t="str">
        <f aca="false">IF(D416="",""," "&amp;SUBSTITUTE(SUBSTITUTE(SUBSTITUTE(SUBSTITUTE(SUBSTITUTE(SUBSTITUTE(SUBSTITUTE(B416&amp;" "&amp;C416&amp;" "&amp;D416&amp;" "&amp;E416&amp;" "&amp;F416&amp;" "&amp;G416&amp;" "&amp;H416&amp;" "&amp;'09 Cladding &amp; ACP'!R14,"("," "),")"," "),"/"," "),"-"," "),","," "),";"," "),":"," ")&amp;" ")</f>
        <v> CL 010 Solid Aluminium Panels Aluminium corrugated   profiled sheet 0.7 mm PC   PVDF Local m2 0.7mm aluminum alu </v>
      </c>
    </row>
    <row r="417" customFormat="false" ht="15" hidden="false" customHeight="false" outlineLevel="0" collapsed="false">
      <c r="A417" s="56" t="str">
        <f aca="false">IF('09 Cladding &amp; ACP'!$C$15="","","Cladding, ACP &amp; Facade Panels")</f>
        <v>Cladding, ACP &amp; Facade Panels</v>
      </c>
      <c r="B417" s="57" t="str">
        <f aca="false">IF('09 Cladding &amp; ACP'!$C$15="","",'09 Cladding &amp; ACP'!A15)</f>
        <v>CL-011</v>
      </c>
      <c r="C417" s="56" t="str">
        <f aca="false">IF('09 Cladding &amp; ACP'!$C$15="","",'09 Cladding &amp; ACP'!B15)</f>
        <v>Sub-Frame &amp; Accessories</v>
      </c>
      <c r="D417" s="56" t="str">
        <f aca="false">IF('09 Cladding &amp; ACP'!$C$15="","",'09 Cladding &amp; ACP'!C15)</f>
        <v>ACP sub-frame (aluminium angles / tubes)</v>
      </c>
      <c r="E417" s="56" t="str">
        <f aca="false">IF('09 Cladding &amp; ACP'!$C$15="","",'09 Cladding &amp; ACP'!D15)</f>
        <v>Per m2 of cladding</v>
      </c>
      <c r="F417" s="56" t="str">
        <f aca="false">IF('09 Cladding &amp; ACP'!$C$15="","",'09 Cladding &amp; ACP'!E15)</f>
        <v>Mill finish</v>
      </c>
      <c r="G417" s="56" t="str">
        <f aca="false">IF('09 Cladding &amp; ACP'!$C$15="","",'09 Cladding &amp; ACP'!F15)</f>
        <v>Local</v>
      </c>
      <c r="H417" s="57" t="str">
        <f aca="false">IF('09 Cladding &amp; ACP'!$C$15="","",'09 Cladding &amp; ACP'!G15)</f>
        <v>m2</v>
      </c>
      <c r="I417" s="58" t="n">
        <f aca="false">IF('09 Cladding &amp; ACP'!$C$15="","",'09 Cladding &amp; ACP'!J15)</f>
        <v>49.5</v>
      </c>
      <c r="J417" s="58" t="n">
        <f aca="false">IF('09 Cladding &amp; ACP'!$C$15="","",'09 Cladding &amp; ACP'!K15)</f>
        <v>59.4</v>
      </c>
      <c r="K417" s="58" t="n">
        <f aca="false">IF('09 Cladding &amp; ACP'!$C$15="","",'09 Cladding &amp; ACP'!L15)</f>
        <v>62.37</v>
      </c>
      <c r="L417" s="57" t="str">
        <f aca="false">IF('09 Cladding &amp; ACP'!$C$15="","",'09 Cladding &amp; ACP'!M15)</f>
        <v>Indicative</v>
      </c>
      <c r="M417" s="59" t="str">
        <f aca="false">IF(D417="","",IF(AND(OR(Search!$C$6="All Categories",A417=Search!$C$6),OR(Search!$P$5="",ISNUMBER(SEARCH(" "&amp;Search!$P$5,N417))),OR(Search!$P$6="",ISNUMBER(SEARCH(" "&amp;Search!$P$6,N417))),OR(Search!$P$7="",ISNUMBER(SEARCH(" "&amp;Search!$P$7,N417))),OR(Search!$P$8="",ISNUMBER(SEARCH(" "&amp;Search!$P$8,N417))),OR(Search!$P$9="",ISNUMBER(SEARCH(" "&amp;Search!$P$9,N417))),OR(Search!$P$10="",ISNUMBER(SEARCH(" "&amp;Search!$P$10,N417)))),ROW(),""))</f>
        <v/>
      </c>
      <c r="N417" s="0" t="str">
        <f aca="false">IF(D417="",""," "&amp;SUBSTITUTE(SUBSTITUTE(SUBSTITUTE(SUBSTITUTE(SUBSTITUTE(SUBSTITUTE(SUBSTITUTE(B417&amp;" "&amp;C417&amp;" "&amp;D417&amp;" "&amp;E417&amp;" "&amp;F417&amp;" "&amp;G417&amp;" "&amp;H417&amp;" "&amp;'09 Cladding &amp; ACP'!R15,"("," "),")"," "),"/"," "),"-"," "),","," "),";"," "),":"," ")&amp;" ")</f>
        <v> CL 011 Sub Frame &amp; Accessories ACP sub frame  aluminium angles   tubes  Per m2 of cladding Mill finish Local m2 aluminum alu </v>
      </c>
    </row>
    <row r="418" customFormat="false" ht="15" hidden="false" customHeight="false" outlineLevel="0" collapsed="false">
      <c r="A418" s="56" t="str">
        <f aca="false">IF('09 Cladding &amp; ACP'!$C$16="","","Cladding, ACP &amp; Facade Panels")</f>
        <v>Cladding, ACP &amp; Facade Panels</v>
      </c>
      <c r="B418" s="57" t="str">
        <f aca="false">IF('09 Cladding &amp; ACP'!$C$16="","",'09 Cladding &amp; ACP'!A16)</f>
        <v>CL-012</v>
      </c>
      <c r="C418" s="56" t="str">
        <f aca="false">IF('09 Cladding &amp; ACP'!$C$16="","",'09 Cladding &amp; ACP'!B16)</f>
        <v>Sub-Frame &amp; Accessories</v>
      </c>
      <c r="D418" s="56" t="str">
        <f aca="false">IF('09 Cladding &amp; ACP'!$C$16="","",'09 Cladding &amp; ACP'!C16)</f>
        <v>GI sub-frame (Omega / Z channel)</v>
      </c>
      <c r="E418" s="56" t="str">
        <f aca="false">IF('09 Cladding &amp; ACP'!$C$16="","",'09 Cladding &amp; ACP'!D16)</f>
        <v>Per m2 of cladding</v>
      </c>
      <c r="F418" s="56" t="str">
        <f aca="false">IF('09 Cladding &amp; ACP'!$C$16="","",'09 Cladding &amp; ACP'!E16)</f>
        <v>Galvanized</v>
      </c>
      <c r="G418" s="56" t="str">
        <f aca="false">IF('09 Cladding &amp; ACP'!$C$16="","",'09 Cladding &amp; ACP'!F16)</f>
        <v>Local</v>
      </c>
      <c r="H418" s="57" t="str">
        <f aca="false">IF('09 Cladding &amp; ACP'!$C$16="","",'09 Cladding &amp; ACP'!G16)</f>
        <v>m2</v>
      </c>
      <c r="I418" s="58" t="n">
        <f aca="false">IF('09 Cladding &amp; ACP'!$C$16="","",'09 Cladding &amp; ACP'!J16)</f>
        <v>33</v>
      </c>
      <c r="J418" s="58" t="n">
        <f aca="false">IF('09 Cladding &amp; ACP'!$C$16="","",'09 Cladding &amp; ACP'!K16)</f>
        <v>39.6</v>
      </c>
      <c r="K418" s="58" t="n">
        <f aca="false">IF('09 Cladding &amp; ACP'!$C$16="","",'09 Cladding &amp; ACP'!L16)</f>
        <v>41.58</v>
      </c>
      <c r="L418" s="57" t="str">
        <f aca="false">IF('09 Cladding &amp; ACP'!$C$16="","",'09 Cladding &amp; ACP'!M16)</f>
        <v>Indicative</v>
      </c>
      <c r="M418" s="59" t="str">
        <f aca="false">IF(D418="","",IF(AND(OR(Search!$C$6="All Categories",A418=Search!$C$6),OR(Search!$P$5="",ISNUMBER(SEARCH(" "&amp;Search!$P$5,N418))),OR(Search!$P$6="",ISNUMBER(SEARCH(" "&amp;Search!$P$6,N418))),OR(Search!$P$7="",ISNUMBER(SEARCH(" "&amp;Search!$P$7,N418))),OR(Search!$P$8="",ISNUMBER(SEARCH(" "&amp;Search!$P$8,N418))),OR(Search!$P$9="",ISNUMBER(SEARCH(" "&amp;Search!$P$9,N418))),OR(Search!$P$10="",ISNUMBER(SEARCH(" "&amp;Search!$P$10,N418)))),ROW(),""))</f>
        <v/>
      </c>
      <c r="N418" s="0" t="str">
        <f aca="false">IF(D418="",""," "&amp;SUBSTITUTE(SUBSTITUTE(SUBSTITUTE(SUBSTITUTE(SUBSTITUTE(SUBSTITUTE(SUBSTITUTE(B418&amp;" "&amp;C418&amp;" "&amp;D418&amp;" "&amp;E418&amp;" "&amp;F418&amp;" "&amp;G418&amp;" "&amp;H418&amp;" "&amp;'09 Cladding &amp; ACP'!R16,"("," "),")"," "),"/"," "),"-"," "),","," "),";"," "),":"," ")&amp;" ")</f>
        <v> CL 012 Sub Frame &amp; Accessories GI sub frame  Omega   Z channel  Per m2 of cladding Galvanized Local m2 galvanised gi galvanized </v>
      </c>
    </row>
    <row r="419" customFormat="false" ht="15" hidden="false" customHeight="false" outlineLevel="0" collapsed="false">
      <c r="A419" s="56" t="str">
        <f aca="false">IF('09 Cladding &amp; ACP'!$C$17="","","Cladding, ACP &amp; Facade Panels")</f>
        <v>Cladding, ACP &amp; Facade Panels</v>
      </c>
      <c r="B419" s="57" t="str">
        <f aca="false">IF('09 Cladding &amp; ACP'!$C$17="","",'09 Cladding &amp; ACP'!A17)</f>
        <v>CL-013</v>
      </c>
      <c r="C419" s="56" t="str">
        <f aca="false">IF('09 Cladding &amp; ACP'!$C$17="","",'09 Cladding &amp; ACP'!B17)</f>
        <v>Sub-Frame &amp; Accessories</v>
      </c>
      <c r="D419" s="56" t="str">
        <f aca="false">IF('09 Cladding &amp; ACP'!$C$17="","",'09 Cladding &amp; ACP'!C17)</f>
        <v>Rockwool insulation behind cladding</v>
      </c>
      <c r="E419" s="56" t="str">
        <f aca="false">IF('09 Cladding &amp; ACP'!$C$17="","",'09 Cladding &amp; ACP'!D17)</f>
        <v>50 mm, 100 kg/m3, foil faced</v>
      </c>
      <c r="F419" s="56" t="str">
        <f aca="false">IF('09 Cladding &amp; ACP'!$C$17="","",'09 Cladding &amp; ACP'!E17)</f>
        <v>-</v>
      </c>
      <c r="G419" s="56" t="str">
        <f aca="false">IF('09 Cladding &amp; ACP'!$C$17="","",'09 Cladding &amp; ACP'!F17)</f>
        <v>Rockwool / Equiv.</v>
      </c>
      <c r="H419" s="57" t="str">
        <f aca="false">IF('09 Cladding &amp; ACP'!$C$17="","",'09 Cladding &amp; ACP'!G17)</f>
        <v>m2</v>
      </c>
      <c r="I419" s="58" t="n">
        <f aca="false">IF('09 Cladding &amp; ACP'!$C$17="","",'09 Cladding &amp; ACP'!J17)</f>
        <v>30.8</v>
      </c>
      <c r="J419" s="58" t="n">
        <f aca="false">IF('09 Cladding &amp; ACP'!$C$17="","",'09 Cladding &amp; ACP'!K17)</f>
        <v>36.96</v>
      </c>
      <c r="K419" s="58" t="n">
        <f aca="false">IF('09 Cladding &amp; ACP'!$C$17="","",'09 Cladding &amp; ACP'!L17)</f>
        <v>38.81</v>
      </c>
      <c r="L419" s="57" t="str">
        <f aca="false">IF('09 Cladding &amp; ACP'!$C$17="","",'09 Cladding &amp; ACP'!M17)</f>
        <v>Indicative</v>
      </c>
      <c r="M419" s="59" t="str">
        <f aca="false">IF(D419="","",IF(AND(OR(Search!$C$6="All Categories",A419=Search!$C$6),OR(Search!$P$5="",ISNUMBER(SEARCH(" "&amp;Search!$P$5,N419))),OR(Search!$P$6="",ISNUMBER(SEARCH(" "&amp;Search!$P$6,N419))),OR(Search!$P$7="",ISNUMBER(SEARCH(" "&amp;Search!$P$7,N419))),OR(Search!$P$8="",ISNUMBER(SEARCH(" "&amp;Search!$P$8,N419))),OR(Search!$P$9="",ISNUMBER(SEARCH(" "&amp;Search!$P$9,N419))),OR(Search!$P$10="",ISNUMBER(SEARCH(" "&amp;Search!$P$10,N419)))),ROW(),""))</f>
        <v/>
      </c>
      <c r="N419" s="0" t="str">
        <f aca="false">IF(D419="",""," "&amp;SUBSTITUTE(SUBSTITUTE(SUBSTITUTE(SUBSTITUTE(SUBSTITUTE(SUBSTITUTE(SUBSTITUTE(B419&amp;" "&amp;C419&amp;" "&amp;D419&amp;" "&amp;E419&amp;" "&amp;F419&amp;" "&amp;G419&amp;" "&amp;H419&amp;" "&amp;'09 Cladding &amp; ACP'!R17,"("," "),")"," "),"/"," "),"-"," "),","," "),";"," "),":"," ")&amp;" ")</f>
        <v> CL 013 Sub Frame &amp; Accessories Rockwool insulation behind cladding 50 mm  100 kg m3  foil faced   Rockwool   Equiv. m2 50mm insulation </v>
      </c>
    </row>
    <row r="420" customFormat="false" ht="15" hidden="false" customHeight="false" outlineLevel="0" collapsed="false">
      <c r="A420" s="56" t="str">
        <f aca="false">IF('09 Cladding &amp; ACP'!$C$18="","","Cladding, ACP &amp; Facade Panels")</f>
        <v>Cladding, ACP &amp; Facade Panels</v>
      </c>
      <c r="B420" s="57" t="str">
        <f aca="false">IF('09 Cladding &amp; ACP'!$C$18="","",'09 Cladding &amp; ACP'!A18)</f>
        <v>CL-014</v>
      </c>
      <c r="C420" s="56" t="str">
        <f aca="false">IF('09 Cladding &amp; ACP'!$C$18="","",'09 Cladding &amp; ACP'!B18)</f>
        <v>Sub-Frame &amp; Accessories</v>
      </c>
      <c r="D420" s="56" t="str">
        <f aca="false">IF('09 Cladding &amp; ACP'!$C$18="","",'09 Cladding &amp; ACP'!C18)</f>
        <v>Breather / vapour membrane</v>
      </c>
      <c r="E420" s="56" t="str">
        <f aca="false">IF('09 Cladding &amp; ACP'!$C$18="","",'09 Cladding &amp; ACP'!D18)</f>
        <v>Per m2</v>
      </c>
      <c r="F420" s="56" t="str">
        <f aca="false">IF('09 Cladding &amp; ACP'!$C$18="","",'09 Cladding &amp; ACP'!E18)</f>
        <v>-</v>
      </c>
      <c r="G420" s="56" t="str">
        <f aca="false">IF('09 Cladding &amp; ACP'!$C$18="","",'09 Cladding &amp; ACP'!F18)</f>
        <v>Imported</v>
      </c>
      <c r="H420" s="57" t="str">
        <f aca="false">IF('09 Cladding &amp; ACP'!$C$18="","",'09 Cladding &amp; ACP'!G18)</f>
        <v>m2</v>
      </c>
      <c r="I420" s="58" t="n">
        <f aca="false">IF('09 Cladding &amp; ACP'!$C$18="","",'09 Cladding &amp; ACP'!J18)</f>
        <v>13.2</v>
      </c>
      <c r="J420" s="58" t="n">
        <f aca="false">IF('09 Cladding &amp; ACP'!$C$18="","",'09 Cladding &amp; ACP'!K18)</f>
        <v>15.84</v>
      </c>
      <c r="K420" s="58" t="n">
        <f aca="false">IF('09 Cladding &amp; ACP'!$C$18="","",'09 Cladding &amp; ACP'!L18)</f>
        <v>16.63</v>
      </c>
      <c r="L420" s="57" t="str">
        <f aca="false">IF('09 Cladding &amp; ACP'!$C$18="","",'09 Cladding &amp; ACP'!M18)</f>
        <v>Indicative</v>
      </c>
      <c r="M420" s="59" t="str">
        <f aca="false">IF(D420="","",IF(AND(OR(Search!$C$6="All Categories",A420=Search!$C$6),OR(Search!$P$5="",ISNUMBER(SEARCH(" "&amp;Search!$P$5,N420))),OR(Search!$P$6="",ISNUMBER(SEARCH(" "&amp;Search!$P$6,N420))),OR(Search!$P$7="",ISNUMBER(SEARCH(" "&amp;Search!$P$7,N420))),OR(Search!$P$8="",ISNUMBER(SEARCH(" "&amp;Search!$P$8,N420))),OR(Search!$P$9="",ISNUMBER(SEARCH(" "&amp;Search!$P$9,N420))),OR(Search!$P$10="",ISNUMBER(SEARCH(" "&amp;Search!$P$10,N420)))),ROW(),""))</f>
        <v/>
      </c>
      <c r="N420" s="0" t="str">
        <f aca="false">IF(D420="",""," "&amp;SUBSTITUTE(SUBSTITUTE(SUBSTITUTE(SUBSTITUTE(SUBSTITUTE(SUBSTITUTE(SUBSTITUTE(B420&amp;" "&amp;C420&amp;" "&amp;D420&amp;" "&amp;E420&amp;" "&amp;F420&amp;" "&amp;G420&amp;" "&amp;H420&amp;" "&amp;'09 Cladding &amp; ACP'!R18,"("," "),")"," "),"/"," "),"-"," "),","," "),";"," "),":"," ")&amp;" ")</f>
        <v> CL 014 Sub Frame &amp; Accessories Breather   vapour membrane Per m2   Imported m2  </v>
      </c>
    </row>
    <row r="421" customFormat="false" ht="15" hidden="false" customHeight="false" outlineLevel="0" collapsed="false">
      <c r="A421" s="56" t="str">
        <f aca="false">IF('09 Cladding &amp; ACP'!$C$19="","","Cladding, ACP &amp; Facade Panels")</f>
        <v>Cladding, ACP &amp; Facade Panels</v>
      </c>
      <c r="B421" s="57" t="str">
        <f aca="false">IF('09 Cladding &amp; ACP'!$C$19="","",'09 Cladding &amp; ACP'!A19)</f>
        <v>CL-015</v>
      </c>
      <c r="C421" s="56" t="str">
        <f aca="false">IF('09 Cladding &amp; ACP'!$C$19="","",'09 Cladding &amp; ACP'!B19)</f>
        <v>Other Panels</v>
      </c>
      <c r="D421" s="56" t="str">
        <f aca="false">IF('09 Cladding &amp; ACP'!$C$19="","",'09 Cladding &amp; ACP'!C19)</f>
        <v>HPL exterior cladding panel</v>
      </c>
      <c r="E421" s="56" t="str">
        <f aca="false">IF('09 Cladding &amp; ACP'!$C$19="","",'09 Cladding &amp; ACP'!D19)</f>
        <v>8 mm</v>
      </c>
      <c r="F421" s="56" t="str">
        <f aca="false">IF('09 Cladding &amp; ACP'!$C$19="","",'09 Cladding &amp; ACP'!E19)</f>
        <v>Wood / colour</v>
      </c>
      <c r="G421" s="56" t="str">
        <f aca="false">IF('09 Cladding &amp; ACP'!$C$19="","",'09 Cladding &amp; ACP'!F19)</f>
        <v>Trespa / Fundermax / Equiv.</v>
      </c>
      <c r="H421" s="57" t="str">
        <f aca="false">IF('09 Cladding &amp; ACP'!$C$19="","",'09 Cladding &amp; ACP'!G19)</f>
        <v>m2</v>
      </c>
      <c r="I421" s="58" t="n">
        <f aca="false">IF('09 Cladding &amp; ACP'!$C$19="","",'09 Cladding &amp; ACP'!J19)</f>
        <v>352</v>
      </c>
      <c r="J421" s="58" t="n">
        <f aca="false">IF('09 Cladding &amp; ACP'!$C$19="","",'09 Cladding &amp; ACP'!K19)</f>
        <v>422.4</v>
      </c>
      <c r="K421" s="58" t="n">
        <f aca="false">IF('09 Cladding &amp; ACP'!$C$19="","",'09 Cladding &amp; ACP'!L19)</f>
        <v>443.52</v>
      </c>
      <c r="L421" s="57" t="str">
        <f aca="false">IF('09 Cladding &amp; ACP'!$C$19="","",'09 Cladding &amp; ACP'!M19)</f>
        <v>Indicative</v>
      </c>
      <c r="M421" s="59" t="str">
        <f aca="false">IF(D421="","",IF(AND(OR(Search!$C$6="All Categories",A421=Search!$C$6),OR(Search!$P$5="",ISNUMBER(SEARCH(" "&amp;Search!$P$5,N421))),OR(Search!$P$6="",ISNUMBER(SEARCH(" "&amp;Search!$P$6,N421))),OR(Search!$P$7="",ISNUMBER(SEARCH(" "&amp;Search!$P$7,N421))),OR(Search!$P$8="",ISNUMBER(SEARCH(" "&amp;Search!$P$8,N421))),OR(Search!$P$9="",ISNUMBER(SEARCH(" "&amp;Search!$P$9,N421))),OR(Search!$P$10="",ISNUMBER(SEARCH(" "&amp;Search!$P$10,N421)))),ROW(),""))</f>
        <v/>
      </c>
      <c r="N421" s="0" t="str">
        <f aca="false">IF(D421="",""," "&amp;SUBSTITUTE(SUBSTITUTE(SUBSTITUTE(SUBSTITUTE(SUBSTITUTE(SUBSTITUTE(SUBSTITUTE(B421&amp;" "&amp;C421&amp;" "&amp;D421&amp;" "&amp;E421&amp;" "&amp;F421&amp;" "&amp;G421&amp;" "&amp;H421&amp;" "&amp;'09 Cladding &amp; ACP'!R19,"("," "),")"," "),"/"," "),"-"," "),","," "),";"," "),":"," ")&amp;" ")</f>
        <v> CL 015 Other Panels HPL exterior cladding panel 8 mm Wood   colour Trespa   Fundermax   Equiv. m2 8mm </v>
      </c>
    </row>
    <row r="422" customFormat="false" ht="15" hidden="false" customHeight="false" outlineLevel="0" collapsed="false">
      <c r="A422" s="56" t="str">
        <f aca="false">IF('09 Cladding &amp; ACP'!$C$20="","","Cladding, ACP &amp; Facade Panels")</f>
        <v>Cladding, ACP &amp; Facade Panels</v>
      </c>
      <c r="B422" s="57" t="str">
        <f aca="false">IF('09 Cladding &amp; ACP'!$C$20="","",'09 Cladding &amp; ACP'!A20)</f>
        <v>CL-016</v>
      </c>
      <c r="C422" s="56" t="str">
        <f aca="false">IF('09 Cladding &amp; ACP'!$C$20="","",'09 Cladding &amp; ACP'!B20)</f>
        <v>Other Panels</v>
      </c>
      <c r="D422" s="56" t="str">
        <f aca="false">IF('09 Cladding &amp; ACP'!$C$20="","",'09 Cladding &amp; ACP'!C20)</f>
        <v>Fibre cement board</v>
      </c>
      <c r="E422" s="56" t="str">
        <f aca="false">IF('09 Cladding &amp; ACP'!$C$20="","",'09 Cladding &amp; ACP'!D20)</f>
        <v>8-12 mm</v>
      </c>
      <c r="F422" s="56" t="str">
        <f aca="false">IF('09 Cladding &amp; ACP'!$C$20="","",'09 Cladding &amp; ACP'!E20)</f>
        <v>-</v>
      </c>
      <c r="G422" s="56" t="str">
        <f aca="false">IF('09 Cladding &amp; ACP'!$C$20="","",'09 Cladding &amp; ACP'!F20)</f>
        <v>Local / Imported</v>
      </c>
      <c r="H422" s="57" t="str">
        <f aca="false">IF('09 Cladding &amp; ACP'!$C$20="","",'09 Cladding &amp; ACP'!G20)</f>
        <v>m2</v>
      </c>
      <c r="I422" s="58" t="n">
        <f aca="false">IF('09 Cladding &amp; ACP'!$C$20="","",'09 Cladding &amp; ACP'!J20)</f>
        <v>93.5</v>
      </c>
      <c r="J422" s="58" t="n">
        <f aca="false">IF('09 Cladding &amp; ACP'!$C$20="","",'09 Cladding &amp; ACP'!K20)</f>
        <v>112.2</v>
      </c>
      <c r="K422" s="58" t="n">
        <f aca="false">IF('09 Cladding &amp; ACP'!$C$20="","",'09 Cladding &amp; ACP'!L20)</f>
        <v>117.81</v>
      </c>
      <c r="L422" s="57" t="str">
        <f aca="false">IF('09 Cladding &amp; ACP'!$C$20="","",'09 Cladding &amp; ACP'!M20)</f>
        <v>Indicative</v>
      </c>
      <c r="M422" s="59" t="str">
        <f aca="false">IF(D422="","",IF(AND(OR(Search!$C$6="All Categories",A422=Search!$C$6),OR(Search!$P$5="",ISNUMBER(SEARCH(" "&amp;Search!$P$5,N422))),OR(Search!$P$6="",ISNUMBER(SEARCH(" "&amp;Search!$P$6,N422))),OR(Search!$P$7="",ISNUMBER(SEARCH(" "&amp;Search!$P$7,N422))),OR(Search!$P$8="",ISNUMBER(SEARCH(" "&amp;Search!$P$8,N422))),OR(Search!$P$9="",ISNUMBER(SEARCH(" "&amp;Search!$P$9,N422))),OR(Search!$P$10="",ISNUMBER(SEARCH(" "&amp;Search!$P$10,N422)))),ROW(),""))</f>
        <v/>
      </c>
      <c r="N422" s="0" t="str">
        <f aca="false">IF(D422="",""," "&amp;SUBSTITUTE(SUBSTITUTE(SUBSTITUTE(SUBSTITUTE(SUBSTITUTE(SUBSTITUTE(SUBSTITUTE(B422&amp;" "&amp;C422&amp;" "&amp;D422&amp;" "&amp;E422&amp;" "&amp;F422&amp;" "&amp;G422&amp;" "&amp;H422&amp;" "&amp;'09 Cladding &amp; ACP'!R20,"("," "),")"," "),"/"," "),"-"," "),","," "),";"," "),":"," ")&amp;" ")</f>
        <v> CL 016 Other Panels Fibre cement board 8 12 mm   Local   Imported m2 12mm </v>
      </c>
    </row>
    <row r="423" customFormat="false" ht="15" hidden="false" customHeight="false" outlineLevel="0" collapsed="false">
      <c r="A423" s="56" t="str">
        <f aca="false">IF('09 Cladding &amp; ACP'!$C$21="","","Cladding, ACP &amp; Facade Panels")</f>
        <v>Cladding, ACP &amp; Facade Panels</v>
      </c>
      <c r="B423" s="57" t="str">
        <f aca="false">IF('09 Cladding &amp; ACP'!$C$21="","",'09 Cladding &amp; ACP'!A21)</f>
        <v>CL-017</v>
      </c>
      <c r="C423" s="56" t="str">
        <f aca="false">IF('09 Cladding &amp; ACP'!$C$21="","",'09 Cladding &amp; ACP'!B21)</f>
        <v>Other Panels</v>
      </c>
      <c r="D423" s="56" t="str">
        <f aca="false">IF('09 Cladding &amp; ACP'!$C$21="","",'09 Cladding &amp; ACP'!C21)</f>
        <v>Metal mesh / expanded metal facade</v>
      </c>
      <c r="E423" s="56" t="str">
        <f aca="false">IF('09 Cladding &amp; ACP'!$C$21="","",'09 Cladding &amp; ACP'!D21)</f>
        <v>Aluminium / SS</v>
      </c>
      <c r="F423" s="56" t="str">
        <f aca="false">IF('09 Cladding &amp; ACP'!$C$21="","",'09 Cladding &amp; ACP'!E21)</f>
        <v>-</v>
      </c>
      <c r="G423" s="56" t="str">
        <f aca="false">IF('09 Cladding &amp; ACP'!$C$21="","",'09 Cladding &amp; ACP'!F21)</f>
        <v>Imported</v>
      </c>
      <c r="H423" s="57" t="str">
        <f aca="false">IF('09 Cladding &amp; ACP'!$C$21="","",'09 Cladding &amp; ACP'!G21)</f>
        <v>m2</v>
      </c>
      <c r="I423" s="58" t="n">
        <f aca="false">IF('09 Cladding &amp; ACP'!$C$21="","",'09 Cladding &amp; ACP'!J21)</f>
        <v>462</v>
      </c>
      <c r="J423" s="58" t="n">
        <f aca="false">IF('09 Cladding &amp; ACP'!$C$21="","",'09 Cladding &amp; ACP'!K21)</f>
        <v>554.4</v>
      </c>
      <c r="K423" s="58" t="n">
        <f aca="false">IF('09 Cladding &amp; ACP'!$C$21="","",'09 Cladding &amp; ACP'!L21)</f>
        <v>582.12</v>
      </c>
      <c r="L423" s="57" t="str">
        <f aca="false">IF('09 Cladding &amp; ACP'!$C$21="","",'09 Cladding &amp; ACP'!M21)</f>
        <v>Indicative</v>
      </c>
      <c r="M423" s="59" t="str">
        <f aca="false">IF(D423="","",IF(AND(OR(Search!$C$6="All Categories",A423=Search!$C$6),OR(Search!$P$5="",ISNUMBER(SEARCH(" "&amp;Search!$P$5,N423))),OR(Search!$P$6="",ISNUMBER(SEARCH(" "&amp;Search!$P$6,N423))),OR(Search!$P$7="",ISNUMBER(SEARCH(" "&amp;Search!$P$7,N423))),OR(Search!$P$8="",ISNUMBER(SEARCH(" "&amp;Search!$P$8,N423))),OR(Search!$P$9="",ISNUMBER(SEARCH(" "&amp;Search!$P$9,N423))),OR(Search!$P$10="",ISNUMBER(SEARCH(" "&amp;Search!$P$10,N423)))),ROW(),""))</f>
        <v/>
      </c>
      <c r="N423" s="0" t="str">
        <f aca="false">IF(D423="",""," "&amp;SUBSTITUTE(SUBSTITUTE(SUBSTITUTE(SUBSTITUTE(SUBSTITUTE(SUBSTITUTE(SUBSTITUTE(B423&amp;" "&amp;C423&amp;" "&amp;D423&amp;" "&amp;E423&amp;" "&amp;F423&amp;" "&amp;G423&amp;" "&amp;H423&amp;" "&amp;'09 Cladding &amp; ACP'!R21,"("," "),")"," "),"/"," "),"-"," "),","," "),";"," "),":"," ")&amp;" ")</f>
        <v> CL 017 Other Panels Metal mesh   expanded metal facade Aluminium   SS   Imported m2 aluminum alu stainless steel </v>
      </c>
    </row>
    <row r="424" customFormat="false" ht="15" hidden="false" customHeight="false" outlineLevel="0" collapsed="false">
      <c r="A424" s="56" t="str">
        <f aca="false">IF('09 Cladding &amp; ACP'!$C$22="","","Cladding, ACP &amp; Facade Panels")</f>
        <v/>
      </c>
      <c r="B424" s="57" t="str">
        <f aca="false">IF('09 Cladding &amp; ACP'!$C$22="","",'09 Cladding &amp; ACP'!A22)</f>
        <v/>
      </c>
      <c r="C424" s="56" t="str">
        <f aca="false">IF('09 Cladding &amp; ACP'!$C$22="","",'09 Cladding &amp; ACP'!B22)</f>
        <v/>
      </c>
      <c r="D424" s="56" t="str">
        <f aca="false">IF('09 Cladding &amp; ACP'!$C$22="","",'09 Cladding &amp; ACP'!C22)</f>
        <v/>
      </c>
      <c r="E424" s="56" t="str">
        <f aca="false">IF('09 Cladding &amp; ACP'!$C$22="","",'09 Cladding &amp; ACP'!D22)</f>
        <v/>
      </c>
      <c r="F424" s="56" t="str">
        <f aca="false">IF('09 Cladding &amp; ACP'!$C$22="","",'09 Cladding &amp; ACP'!E22)</f>
        <v/>
      </c>
      <c r="G424" s="56" t="str">
        <f aca="false">IF('09 Cladding &amp; ACP'!$C$22="","",'09 Cladding &amp; ACP'!F22)</f>
        <v/>
      </c>
      <c r="H424" s="57" t="str">
        <f aca="false">IF('09 Cladding &amp; ACP'!$C$22="","",'09 Cladding &amp; ACP'!G22)</f>
        <v/>
      </c>
      <c r="I424" s="58" t="str">
        <f aca="false">IF('09 Cladding &amp; ACP'!$C$22="","",'09 Cladding &amp; ACP'!J22)</f>
        <v/>
      </c>
      <c r="J424" s="58" t="str">
        <f aca="false">IF('09 Cladding &amp; ACP'!$C$22="","",'09 Cladding &amp; ACP'!K22)</f>
        <v/>
      </c>
      <c r="K424" s="58" t="str">
        <f aca="false">IF('09 Cladding &amp; ACP'!$C$22="","",'09 Cladding &amp; ACP'!L22)</f>
        <v/>
      </c>
      <c r="L424" s="57" t="str">
        <f aca="false">IF('09 Cladding &amp; ACP'!$C$22="","",'09 Cladding &amp; ACP'!M22)</f>
        <v/>
      </c>
      <c r="M424" s="59" t="str">
        <f aca="false">IF(D424="","",IF(AND(OR(Search!$C$6="All Categories",A424=Search!$C$6),OR(Search!$P$5="",ISNUMBER(SEARCH(" "&amp;Search!$P$5,N424))),OR(Search!$P$6="",ISNUMBER(SEARCH(" "&amp;Search!$P$6,N424))),OR(Search!$P$7="",ISNUMBER(SEARCH(" "&amp;Search!$P$7,N424))),OR(Search!$P$8="",ISNUMBER(SEARCH(" "&amp;Search!$P$8,N424))),OR(Search!$P$9="",ISNUMBER(SEARCH(" "&amp;Search!$P$9,N424))),OR(Search!$P$10="",ISNUMBER(SEARCH(" "&amp;Search!$P$10,N424)))),ROW(),""))</f>
        <v/>
      </c>
      <c r="N424" s="0" t="str">
        <f aca="false">IF(D424="",""," "&amp;SUBSTITUTE(SUBSTITUTE(SUBSTITUTE(SUBSTITUTE(SUBSTITUTE(SUBSTITUTE(SUBSTITUTE(B424&amp;" "&amp;C424&amp;" "&amp;D424&amp;" "&amp;E424&amp;" "&amp;F424&amp;" "&amp;G424&amp;" "&amp;H424&amp;" "&amp;'09 Cladding &amp; ACP'!R22,"("," "),")"," "),"/"," "),"-"," "),","," "),";"," "),":"," ")&amp;" ")</f>
        <v/>
      </c>
    </row>
    <row r="425" customFormat="false" ht="15" hidden="false" customHeight="false" outlineLevel="0" collapsed="false">
      <c r="A425" s="56" t="str">
        <f aca="false">IF('09 Cladding &amp; ACP'!$C$23="","","Cladding, ACP &amp; Facade Panels")</f>
        <v/>
      </c>
      <c r="B425" s="57" t="str">
        <f aca="false">IF('09 Cladding &amp; ACP'!$C$23="","",'09 Cladding &amp; ACP'!A23)</f>
        <v/>
      </c>
      <c r="C425" s="56" t="str">
        <f aca="false">IF('09 Cladding &amp; ACP'!$C$23="","",'09 Cladding &amp; ACP'!B23)</f>
        <v/>
      </c>
      <c r="D425" s="56" t="str">
        <f aca="false">IF('09 Cladding &amp; ACP'!$C$23="","",'09 Cladding &amp; ACP'!C23)</f>
        <v/>
      </c>
      <c r="E425" s="56" t="str">
        <f aca="false">IF('09 Cladding &amp; ACP'!$C$23="","",'09 Cladding &amp; ACP'!D23)</f>
        <v/>
      </c>
      <c r="F425" s="56" t="str">
        <f aca="false">IF('09 Cladding &amp; ACP'!$C$23="","",'09 Cladding &amp; ACP'!E23)</f>
        <v/>
      </c>
      <c r="G425" s="56" t="str">
        <f aca="false">IF('09 Cladding &amp; ACP'!$C$23="","",'09 Cladding &amp; ACP'!F23)</f>
        <v/>
      </c>
      <c r="H425" s="57" t="str">
        <f aca="false">IF('09 Cladding &amp; ACP'!$C$23="","",'09 Cladding &amp; ACP'!G23)</f>
        <v/>
      </c>
      <c r="I425" s="58" t="str">
        <f aca="false">IF('09 Cladding &amp; ACP'!$C$23="","",'09 Cladding &amp; ACP'!J23)</f>
        <v/>
      </c>
      <c r="J425" s="58" t="str">
        <f aca="false">IF('09 Cladding &amp; ACP'!$C$23="","",'09 Cladding &amp; ACP'!K23)</f>
        <v/>
      </c>
      <c r="K425" s="58" t="str">
        <f aca="false">IF('09 Cladding &amp; ACP'!$C$23="","",'09 Cladding &amp; ACP'!L23)</f>
        <v/>
      </c>
      <c r="L425" s="57" t="str">
        <f aca="false">IF('09 Cladding &amp; ACP'!$C$23="","",'09 Cladding &amp; ACP'!M23)</f>
        <v/>
      </c>
      <c r="M425" s="59" t="str">
        <f aca="false">IF(D425="","",IF(AND(OR(Search!$C$6="All Categories",A425=Search!$C$6),OR(Search!$P$5="",ISNUMBER(SEARCH(" "&amp;Search!$P$5,N425))),OR(Search!$P$6="",ISNUMBER(SEARCH(" "&amp;Search!$P$6,N425))),OR(Search!$P$7="",ISNUMBER(SEARCH(" "&amp;Search!$P$7,N425))),OR(Search!$P$8="",ISNUMBER(SEARCH(" "&amp;Search!$P$8,N425))),OR(Search!$P$9="",ISNUMBER(SEARCH(" "&amp;Search!$P$9,N425))),OR(Search!$P$10="",ISNUMBER(SEARCH(" "&amp;Search!$P$10,N425)))),ROW(),""))</f>
        <v/>
      </c>
      <c r="N425" s="0" t="str">
        <f aca="false">IF(D425="",""," "&amp;SUBSTITUTE(SUBSTITUTE(SUBSTITUTE(SUBSTITUTE(SUBSTITUTE(SUBSTITUTE(SUBSTITUTE(B425&amp;" "&amp;C425&amp;" "&amp;D425&amp;" "&amp;E425&amp;" "&amp;F425&amp;" "&amp;G425&amp;" "&amp;H425&amp;" "&amp;'09 Cladding &amp; ACP'!R23,"("," "),")"," "),"/"," "),"-"," "),","," "),";"," "),":"," ")&amp;" ")</f>
        <v/>
      </c>
    </row>
    <row r="426" customFormat="false" ht="15" hidden="false" customHeight="false" outlineLevel="0" collapsed="false">
      <c r="A426" s="56" t="str">
        <f aca="false">IF('09 Cladding &amp; ACP'!$C$24="","","Cladding, ACP &amp; Facade Panels")</f>
        <v/>
      </c>
      <c r="B426" s="57" t="str">
        <f aca="false">IF('09 Cladding &amp; ACP'!$C$24="","",'09 Cladding &amp; ACP'!A24)</f>
        <v/>
      </c>
      <c r="C426" s="56" t="str">
        <f aca="false">IF('09 Cladding &amp; ACP'!$C$24="","",'09 Cladding &amp; ACP'!B24)</f>
        <v/>
      </c>
      <c r="D426" s="56" t="str">
        <f aca="false">IF('09 Cladding &amp; ACP'!$C$24="","",'09 Cladding &amp; ACP'!C24)</f>
        <v/>
      </c>
      <c r="E426" s="56" t="str">
        <f aca="false">IF('09 Cladding &amp; ACP'!$C$24="","",'09 Cladding &amp; ACP'!D24)</f>
        <v/>
      </c>
      <c r="F426" s="56" t="str">
        <f aca="false">IF('09 Cladding &amp; ACP'!$C$24="","",'09 Cladding &amp; ACP'!E24)</f>
        <v/>
      </c>
      <c r="G426" s="56" t="str">
        <f aca="false">IF('09 Cladding &amp; ACP'!$C$24="","",'09 Cladding &amp; ACP'!F24)</f>
        <v/>
      </c>
      <c r="H426" s="57" t="str">
        <f aca="false">IF('09 Cladding &amp; ACP'!$C$24="","",'09 Cladding &amp; ACP'!G24)</f>
        <v/>
      </c>
      <c r="I426" s="58" t="str">
        <f aca="false">IF('09 Cladding &amp; ACP'!$C$24="","",'09 Cladding &amp; ACP'!J24)</f>
        <v/>
      </c>
      <c r="J426" s="58" t="str">
        <f aca="false">IF('09 Cladding &amp; ACP'!$C$24="","",'09 Cladding &amp; ACP'!K24)</f>
        <v/>
      </c>
      <c r="K426" s="58" t="str">
        <f aca="false">IF('09 Cladding &amp; ACP'!$C$24="","",'09 Cladding &amp; ACP'!L24)</f>
        <v/>
      </c>
      <c r="L426" s="57" t="str">
        <f aca="false">IF('09 Cladding &amp; ACP'!$C$24="","",'09 Cladding &amp; ACP'!M24)</f>
        <v/>
      </c>
      <c r="M426" s="59" t="str">
        <f aca="false">IF(D426="","",IF(AND(OR(Search!$C$6="All Categories",A426=Search!$C$6),OR(Search!$P$5="",ISNUMBER(SEARCH(" "&amp;Search!$P$5,N426))),OR(Search!$P$6="",ISNUMBER(SEARCH(" "&amp;Search!$P$6,N426))),OR(Search!$P$7="",ISNUMBER(SEARCH(" "&amp;Search!$P$7,N426))),OR(Search!$P$8="",ISNUMBER(SEARCH(" "&amp;Search!$P$8,N426))),OR(Search!$P$9="",ISNUMBER(SEARCH(" "&amp;Search!$P$9,N426))),OR(Search!$P$10="",ISNUMBER(SEARCH(" "&amp;Search!$P$10,N426)))),ROW(),""))</f>
        <v/>
      </c>
      <c r="N426" s="0" t="str">
        <f aca="false">IF(D426="",""," "&amp;SUBSTITUTE(SUBSTITUTE(SUBSTITUTE(SUBSTITUTE(SUBSTITUTE(SUBSTITUTE(SUBSTITUTE(B426&amp;" "&amp;C426&amp;" "&amp;D426&amp;" "&amp;E426&amp;" "&amp;F426&amp;" "&amp;G426&amp;" "&amp;H426&amp;" "&amp;'09 Cladding &amp; ACP'!R24,"("," "),")"," "),"/"," "),"-"," "),","," "),";"," "),":"," ")&amp;" ")</f>
        <v/>
      </c>
    </row>
    <row r="427" customFormat="false" ht="15" hidden="false" customHeight="false" outlineLevel="0" collapsed="false">
      <c r="A427" s="56" t="str">
        <f aca="false">IF('09 Cladding &amp; ACP'!$C$25="","","Cladding, ACP &amp; Facade Panels")</f>
        <v/>
      </c>
      <c r="B427" s="57" t="str">
        <f aca="false">IF('09 Cladding &amp; ACP'!$C$25="","",'09 Cladding &amp; ACP'!A25)</f>
        <v/>
      </c>
      <c r="C427" s="56" t="str">
        <f aca="false">IF('09 Cladding &amp; ACP'!$C$25="","",'09 Cladding &amp; ACP'!B25)</f>
        <v/>
      </c>
      <c r="D427" s="56" t="str">
        <f aca="false">IF('09 Cladding &amp; ACP'!$C$25="","",'09 Cladding &amp; ACP'!C25)</f>
        <v/>
      </c>
      <c r="E427" s="56" t="str">
        <f aca="false">IF('09 Cladding &amp; ACP'!$C$25="","",'09 Cladding &amp; ACP'!D25)</f>
        <v/>
      </c>
      <c r="F427" s="56" t="str">
        <f aca="false">IF('09 Cladding &amp; ACP'!$C$25="","",'09 Cladding &amp; ACP'!E25)</f>
        <v/>
      </c>
      <c r="G427" s="56" t="str">
        <f aca="false">IF('09 Cladding &amp; ACP'!$C$25="","",'09 Cladding &amp; ACP'!F25)</f>
        <v/>
      </c>
      <c r="H427" s="57" t="str">
        <f aca="false">IF('09 Cladding &amp; ACP'!$C$25="","",'09 Cladding &amp; ACP'!G25)</f>
        <v/>
      </c>
      <c r="I427" s="58" t="str">
        <f aca="false">IF('09 Cladding &amp; ACP'!$C$25="","",'09 Cladding &amp; ACP'!J25)</f>
        <v/>
      </c>
      <c r="J427" s="58" t="str">
        <f aca="false">IF('09 Cladding &amp; ACP'!$C$25="","",'09 Cladding &amp; ACP'!K25)</f>
        <v/>
      </c>
      <c r="K427" s="58" t="str">
        <f aca="false">IF('09 Cladding &amp; ACP'!$C$25="","",'09 Cladding &amp; ACP'!L25)</f>
        <v/>
      </c>
      <c r="L427" s="57" t="str">
        <f aca="false">IF('09 Cladding &amp; ACP'!$C$25="","",'09 Cladding &amp; ACP'!M25)</f>
        <v/>
      </c>
      <c r="M427" s="59" t="str">
        <f aca="false">IF(D427="","",IF(AND(OR(Search!$C$6="All Categories",A427=Search!$C$6),OR(Search!$P$5="",ISNUMBER(SEARCH(" "&amp;Search!$P$5,N427))),OR(Search!$P$6="",ISNUMBER(SEARCH(" "&amp;Search!$P$6,N427))),OR(Search!$P$7="",ISNUMBER(SEARCH(" "&amp;Search!$P$7,N427))),OR(Search!$P$8="",ISNUMBER(SEARCH(" "&amp;Search!$P$8,N427))),OR(Search!$P$9="",ISNUMBER(SEARCH(" "&amp;Search!$P$9,N427))),OR(Search!$P$10="",ISNUMBER(SEARCH(" "&amp;Search!$P$10,N427)))),ROW(),""))</f>
        <v/>
      </c>
      <c r="N427" s="0" t="str">
        <f aca="false">IF(D427="",""," "&amp;SUBSTITUTE(SUBSTITUTE(SUBSTITUTE(SUBSTITUTE(SUBSTITUTE(SUBSTITUTE(SUBSTITUTE(B427&amp;" "&amp;C427&amp;" "&amp;D427&amp;" "&amp;E427&amp;" "&amp;F427&amp;" "&amp;G427&amp;" "&amp;H427&amp;" "&amp;'09 Cladding &amp; ACP'!R25,"("," "),")"," "),"/"," "),"-"," "),","," "),";"," "),":"," ")&amp;" ")</f>
        <v/>
      </c>
    </row>
    <row r="428" customFormat="false" ht="15" hidden="false" customHeight="false" outlineLevel="0" collapsed="false">
      <c r="A428" s="56" t="str">
        <f aca="false">IF('09 Cladding &amp; ACP'!$C$26="","","Cladding, ACP &amp; Facade Panels")</f>
        <v/>
      </c>
      <c r="B428" s="57" t="str">
        <f aca="false">IF('09 Cladding &amp; ACP'!$C$26="","",'09 Cladding &amp; ACP'!A26)</f>
        <v/>
      </c>
      <c r="C428" s="56" t="str">
        <f aca="false">IF('09 Cladding &amp; ACP'!$C$26="","",'09 Cladding &amp; ACP'!B26)</f>
        <v/>
      </c>
      <c r="D428" s="56" t="str">
        <f aca="false">IF('09 Cladding &amp; ACP'!$C$26="","",'09 Cladding &amp; ACP'!C26)</f>
        <v/>
      </c>
      <c r="E428" s="56" t="str">
        <f aca="false">IF('09 Cladding &amp; ACP'!$C$26="","",'09 Cladding &amp; ACP'!D26)</f>
        <v/>
      </c>
      <c r="F428" s="56" t="str">
        <f aca="false">IF('09 Cladding &amp; ACP'!$C$26="","",'09 Cladding &amp; ACP'!E26)</f>
        <v/>
      </c>
      <c r="G428" s="56" t="str">
        <f aca="false">IF('09 Cladding &amp; ACP'!$C$26="","",'09 Cladding &amp; ACP'!F26)</f>
        <v/>
      </c>
      <c r="H428" s="57" t="str">
        <f aca="false">IF('09 Cladding &amp; ACP'!$C$26="","",'09 Cladding &amp; ACP'!G26)</f>
        <v/>
      </c>
      <c r="I428" s="58" t="str">
        <f aca="false">IF('09 Cladding &amp; ACP'!$C$26="","",'09 Cladding &amp; ACP'!J26)</f>
        <v/>
      </c>
      <c r="J428" s="58" t="str">
        <f aca="false">IF('09 Cladding &amp; ACP'!$C$26="","",'09 Cladding &amp; ACP'!K26)</f>
        <v/>
      </c>
      <c r="K428" s="58" t="str">
        <f aca="false">IF('09 Cladding &amp; ACP'!$C$26="","",'09 Cladding &amp; ACP'!L26)</f>
        <v/>
      </c>
      <c r="L428" s="57" t="str">
        <f aca="false">IF('09 Cladding &amp; ACP'!$C$26="","",'09 Cladding &amp; ACP'!M26)</f>
        <v/>
      </c>
      <c r="M428" s="59" t="str">
        <f aca="false">IF(D428="","",IF(AND(OR(Search!$C$6="All Categories",A428=Search!$C$6),OR(Search!$P$5="",ISNUMBER(SEARCH(" "&amp;Search!$P$5,N428))),OR(Search!$P$6="",ISNUMBER(SEARCH(" "&amp;Search!$P$6,N428))),OR(Search!$P$7="",ISNUMBER(SEARCH(" "&amp;Search!$P$7,N428))),OR(Search!$P$8="",ISNUMBER(SEARCH(" "&amp;Search!$P$8,N428))),OR(Search!$P$9="",ISNUMBER(SEARCH(" "&amp;Search!$P$9,N428))),OR(Search!$P$10="",ISNUMBER(SEARCH(" "&amp;Search!$P$10,N428)))),ROW(),""))</f>
        <v/>
      </c>
      <c r="N428" s="0" t="str">
        <f aca="false">IF(D428="",""," "&amp;SUBSTITUTE(SUBSTITUTE(SUBSTITUTE(SUBSTITUTE(SUBSTITUTE(SUBSTITUTE(SUBSTITUTE(B428&amp;" "&amp;C428&amp;" "&amp;D428&amp;" "&amp;E428&amp;" "&amp;F428&amp;" "&amp;G428&amp;" "&amp;H428&amp;" "&amp;'09 Cladding &amp; ACP'!R26,"("," "),")"," "),"/"," "),"-"," "),","," "),";"," "),":"," ")&amp;" ")</f>
        <v/>
      </c>
    </row>
    <row r="429" customFormat="false" ht="15" hidden="false" customHeight="false" outlineLevel="0" collapsed="false">
      <c r="A429" s="56" t="str">
        <f aca="false">IF('09 Cladding &amp; ACP'!$C$27="","","Cladding, ACP &amp; Facade Panels")</f>
        <v/>
      </c>
      <c r="B429" s="57" t="str">
        <f aca="false">IF('09 Cladding &amp; ACP'!$C$27="","",'09 Cladding &amp; ACP'!A27)</f>
        <v/>
      </c>
      <c r="C429" s="56" t="str">
        <f aca="false">IF('09 Cladding &amp; ACP'!$C$27="","",'09 Cladding &amp; ACP'!B27)</f>
        <v/>
      </c>
      <c r="D429" s="56" t="str">
        <f aca="false">IF('09 Cladding &amp; ACP'!$C$27="","",'09 Cladding &amp; ACP'!C27)</f>
        <v/>
      </c>
      <c r="E429" s="56" t="str">
        <f aca="false">IF('09 Cladding &amp; ACP'!$C$27="","",'09 Cladding &amp; ACP'!D27)</f>
        <v/>
      </c>
      <c r="F429" s="56" t="str">
        <f aca="false">IF('09 Cladding &amp; ACP'!$C$27="","",'09 Cladding &amp; ACP'!E27)</f>
        <v/>
      </c>
      <c r="G429" s="56" t="str">
        <f aca="false">IF('09 Cladding &amp; ACP'!$C$27="","",'09 Cladding &amp; ACP'!F27)</f>
        <v/>
      </c>
      <c r="H429" s="57" t="str">
        <f aca="false">IF('09 Cladding &amp; ACP'!$C$27="","",'09 Cladding &amp; ACP'!G27)</f>
        <v/>
      </c>
      <c r="I429" s="58" t="str">
        <f aca="false">IF('09 Cladding &amp; ACP'!$C$27="","",'09 Cladding &amp; ACP'!J27)</f>
        <v/>
      </c>
      <c r="J429" s="58" t="str">
        <f aca="false">IF('09 Cladding &amp; ACP'!$C$27="","",'09 Cladding &amp; ACP'!K27)</f>
        <v/>
      </c>
      <c r="K429" s="58" t="str">
        <f aca="false">IF('09 Cladding &amp; ACP'!$C$27="","",'09 Cladding &amp; ACP'!L27)</f>
        <v/>
      </c>
      <c r="L429" s="57" t="str">
        <f aca="false">IF('09 Cladding &amp; ACP'!$C$27="","",'09 Cladding &amp; ACP'!M27)</f>
        <v/>
      </c>
      <c r="M429" s="59" t="str">
        <f aca="false">IF(D429="","",IF(AND(OR(Search!$C$6="All Categories",A429=Search!$C$6),OR(Search!$P$5="",ISNUMBER(SEARCH(" "&amp;Search!$P$5,N429))),OR(Search!$P$6="",ISNUMBER(SEARCH(" "&amp;Search!$P$6,N429))),OR(Search!$P$7="",ISNUMBER(SEARCH(" "&amp;Search!$P$7,N429))),OR(Search!$P$8="",ISNUMBER(SEARCH(" "&amp;Search!$P$8,N429))),OR(Search!$P$9="",ISNUMBER(SEARCH(" "&amp;Search!$P$9,N429))),OR(Search!$P$10="",ISNUMBER(SEARCH(" "&amp;Search!$P$10,N429)))),ROW(),""))</f>
        <v/>
      </c>
      <c r="N429" s="0" t="str">
        <f aca="false">IF(D429="",""," "&amp;SUBSTITUTE(SUBSTITUTE(SUBSTITUTE(SUBSTITUTE(SUBSTITUTE(SUBSTITUTE(SUBSTITUTE(B429&amp;" "&amp;C429&amp;" "&amp;D429&amp;" "&amp;E429&amp;" "&amp;F429&amp;" "&amp;G429&amp;" "&amp;H429&amp;" "&amp;'09 Cladding &amp; ACP'!R27,"("," "),")"," "),"/"," "),"-"," "),","," "),";"," "),":"," ")&amp;" ")</f>
        <v/>
      </c>
    </row>
    <row r="430" customFormat="false" ht="15" hidden="false" customHeight="false" outlineLevel="0" collapsed="false">
      <c r="A430" s="56" t="str">
        <f aca="false">IF('09 Cladding &amp; ACP'!$C$28="","","Cladding, ACP &amp; Facade Panels")</f>
        <v/>
      </c>
      <c r="B430" s="57" t="str">
        <f aca="false">IF('09 Cladding &amp; ACP'!$C$28="","",'09 Cladding &amp; ACP'!A28)</f>
        <v/>
      </c>
      <c r="C430" s="56" t="str">
        <f aca="false">IF('09 Cladding &amp; ACP'!$C$28="","",'09 Cladding &amp; ACP'!B28)</f>
        <v/>
      </c>
      <c r="D430" s="56" t="str">
        <f aca="false">IF('09 Cladding &amp; ACP'!$C$28="","",'09 Cladding &amp; ACP'!C28)</f>
        <v/>
      </c>
      <c r="E430" s="56" t="str">
        <f aca="false">IF('09 Cladding &amp; ACP'!$C$28="","",'09 Cladding &amp; ACP'!D28)</f>
        <v/>
      </c>
      <c r="F430" s="56" t="str">
        <f aca="false">IF('09 Cladding &amp; ACP'!$C$28="","",'09 Cladding &amp; ACP'!E28)</f>
        <v/>
      </c>
      <c r="G430" s="56" t="str">
        <f aca="false">IF('09 Cladding &amp; ACP'!$C$28="","",'09 Cladding &amp; ACP'!F28)</f>
        <v/>
      </c>
      <c r="H430" s="57" t="str">
        <f aca="false">IF('09 Cladding &amp; ACP'!$C$28="","",'09 Cladding &amp; ACP'!G28)</f>
        <v/>
      </c>
      <c r="I430" s="58" t="str">
        <f aca="false">IF('09 Cladding &amp; ACP'!$C$28="","",'09 Cladding &amp; ACP'!J28)</f>
        <v/>
      </c>
      <c r="J430" s="58" t="str">
        <f aca="false">IF('09 Cladding &amp; ACP'!$C$28="","",'09 Cladding &amp; ACP'!K28)</f>
        <v/>
      </c>
      <c r="K430" s="58" t="str">
        <f aca="false">IF('09 Cladding &amp; ACP'!$C$28="","",'09 Cladding &amp; ACP'!L28)</f>
        <v/>
      </c>
      <c r="L430" s="57" t="str">
        <f aca="false">IF('09 Cladding &amp; ACP'!$C$28="","",'09 Cladding &amp; ACP'!M28)</f>
        <v/>
      </c>
      <c r="M430" s="59" t="str">
        <f aca="false">IF(D430="","",IF(AND(OR(Search!$C$6="All Categories",A430=Search!$C$6),OR(Search!$P$5="",ISNUMBER(SEARCH(" "&amp;Search!$P$5,N430))),OR(Search!$P$6="",ISNUMBER(SEARCH(" "&amp;Search!$P$6,N430))),OR(Search!$P$7="",ISNUMBER(SEARCH(" "&amp;Search!$P$7,N430))),OR(Search!$P$8="",ISNUMBER(SEARCH(" "&amp;Search!$P$8,N430))),OR(Search!$P$9="",ISNUMBER(SEARCH(" "&amp;Search!$P$9,N430))),OR(Search!$P$10="",ISNUMBER(SEARCH(" "&amp;Search!$P$10,N430)))),ROW(),""))</f>
        <v/>
      </c>
      <c r="N430" s="0" t="str">
        <f aca="false">IF(D430="",""," "&amp;SUBSTITUTE(SUBSTITUTE(SUBSTITUTE(SUBSTITUTE(SUBSTITUTE(SUBSTITUTE(SUBSTITUTE(B430&amp;" "&amp;C430&amp;" "&amp;D430&amp;" "&amp;E430&amp;" "&amp;F430&amp;" "&amp;G430&amp;" "&amp;H430&amp;" "&amp;'09 Cladding &amp; ACP'!R28,"("," "),")"," "),"/"," "),"-"," "),","," "),";"," "),":"," ")&amp;" ")</f>
        <v/>
      </c>
    </row>
    <row r="431" customFormat="false" ht="15" hidden="false" customHeight="false" outlineLevel="0" collapsed="false">
      <c r="A431" s="56" t="str">
        <f aca="false">IF('09 Cladding &amp; ACP'!$C$29="","","Cladding, ACP &amp; Facade Panels")</f>
        <v/>
      </c>
      <c r="B431" s="57" t="str">
        <f aca="false">IF('09 Cladding &amp; ACP'!$C$29="","",'09 Cladding &amp; ACP'!A29)</f>
        <v/>
      </c>
      <c r="C431" s="56" t="str">
        <f aca="false">IF('09 Cladding &amp; ACP'!$C$29="","",'09 Cladding &amp; ACP'!B29)</f>
        <v/>
      </c>
      <c r="D431" s="56" t="str">
        <f aca="false">IF('09 Cladding &amp; ACP'!$C$29="","",'09 Cladding &amp; ACP'!C29)</f>
        <v/>
      </c>
      <c r="E431" s="56" t="str">
        <f aca="false">IF('09 Cladding &amp; ACP'!$C$29="","",'09 Cladding &amp; ACP'!D29)</f>
        <v/>
      </c>
      <c r="F431" s="56" t="str">
        <f aca="false">IF('09 Cladding &amp; ACP'!$C$29="","",'09 Cladding &amp; ACP'!E29)</f>
        <v/>
      </c>
      <c r="G431" s="56" t="str">
        <f aca="false">IF('09 Cladding &amp; ACP'!$C$29="","",'09 Cladding &amp; ACP'!F29)</f>
        <v/>
      </c>
      <c r="H431" s="57" t="str">
        <f aca="false">IF('09 Cladding &amp; ACP'!$C$29="","",'09 Cladding &amp; ACP'!G29)</f>
        <v/>
      </c>
      <c r="I431" s="58" t="str">
        <f aca="false">IF('09 Cladding &amp; ACP'!$C$29="","",'09 Cladding &amp; ACP'!J29)</f>
        <v/>
      </c>
      <c r="J431" s="58" t="str">
        <f aca="false">IF('09 Cladding &amp; ACP'!$C$29="","",'09 Cladding &amp; ACP'!K29)</f>
        <v/>
      </c>
      <c r="K431" s="58" t="str">
        <f aca="false">IF('09 Cladding &amp; ACP'!$C$29="","",'09 Cladding &amp; ACP'!L29)</f>
        <v/>
      </c>
      <c r="L431" s="57" t="str">
        <f aca="false">IF('09 Cladding &amp; ACP'!$C$29="","",'09 Cladding &amp; ACP'!M29)</f>
        <v/>
      </c>
      <c r="M431" s="59" t="str">
        <f aca="false">IF(D431="","",IF(AND(OR(Search!$C$6="All Categories",A431=Search!$C$6),OR(Search!$P$5="",ISNUMBER(SEARCH(" "&amp;Search!$P$5,N431))),OR(Search!$P$6="",ISNUMBER(SEARCH(" "&amp;Search!$P$6,N431))),OR(Search!$P$7="",ISNUMBER(SEARCH(" "&amp;Search!$P$7,N431))),OR(Search!$P$8="",ISNUMBER(SEARCH(" "&amp;Search!$P$8,N431))),OR(Search!$P$9="",ISNUMBER(SEARCH(" "&amp;Search!$P$9,N431))),OR(Search!$P$10="",ISNUMBER(SEARCH(" "&amp;Search!$P$10,N431)))),ROW(),""))</f>
        <v/>
      </c>
      <c r="N431" s="0" t="str">
        <f aca="false">IF(D431="",""," "&amp;SUBSTITUTE(SUBSTITUTE(SUBSTITUTE(SUBSTITUTE(SUBSTITUTE(SUBSTITUTE(SUBSTITUTE(B431&amp;" "&amp;C431&amp;" "&amp;D431&amp;" "&amp;E431&amp;" "&amp;F431&amp;" "&amp;G431&amp;" "&amp;H431&amp;" "&amp;'09 Cladding &amp; ACP'!R29,"("," "),")"," "),"/"," "),"-"," "),","," "),";"," "),":"," ")&amp;" ")</f>
        <v/>
      </c>
    </row>
    <row r="432" customFormat="false" ht="15" hidden="false" customHeight="false" outlineLevel="0" collapsed="false">
      <c r="A432" s="56" t="str">
        <f aca="false">IF('09 Cladding &amp; ACP'!$C$30="","","Cladding, ACP &amp; Facade Panels")</f>
        <v/>
      </c>
      <c r="B432" s="57" t="str">
        <f aca="false">IF('09 Cladding &amp; ACP'!$C$30="","",'09 Cladding &amp; ACP'!A30)</f>
        <v/>
      </c>
      <c r="C432" s="56" t="str">
        <f aca="false">IF('09 Cladding &amp; ACP'!$C$30="","",'09 Cladding &amp; ACP'!B30)</f>
        <v/>
      </c>
      <c r="D432" s="56" t="str">
        <f aca="false">IF('09 Cladding &amp; ACP'!$C$30="","",'09 Cladding &amp; ACP'!C30)</f>
        <v/>
      </c>
      <c r="E432" s="56" t="str">
        <f aca="false">IF('09 Cladding &amp; ACP'!$C$30="","",'09 Cladding &amp; ACP'!D30)</f>
        <v/>
      </c>
      <c r="F432" s="56" t="str">
        <f aca="false">IF('09 Cladding &amp; ACP'!$C$30="","",'09 Cladding &amp; ACP'!E30)</f>
        <v/>
      </c>
      <c r="G432" s="56" t="str">
        <f aca="false">IF('09 Cladding &amp; ACP'!$C$30="","",'09 Cladding &amp; ACP'!F30)</f>
        <v/>
      </c>
      <c r="H432" s="57" t="str">
        <f aca="false">IF('09 Cladding &amp; ACP'!$C$30="","",'09 Cladding &amp; ACP'!G30)</f>
        <v/>
      </c>
      <c r="I432" s="58" t="str">
        <f aca="false">IF('09 Cladding &amp; ACP'!$C$30="","",'09 Cladding &amp; ACP'!J30)</f>
        <v/>
      </c>
      <c r="J432" s="58" t="str">
        <f aca="false">IF('09 Cladding &amp; ACP'!$C$30="","",'09 Cladding &amp; ACP'!K30)</f>
        <v/>
      </c>
      <c r="K432" s="58" t="str">
        <f aca="false">IF('09 Cladding &amp; ACP'!$C$30="","",'09 Cladding &amp; ACP'!L30)</f>
        <v/>
      </c>
      <c r="L432" s="57" t="str">
        <f aca="false">IF('09 Cladding &amp; ACP'!$C$30="","",'09 Cladding &amp; ACP'!M30)</f>
        <v/>
      </c>
      <c r="M432" s="59" t="str">
        <f aca="false">IF(D432="","",IF(AND(OR(Search!$C$6="All Categories",A432=Search!$C$6),OR(Search!$P$5="",ISNUMBER(SEARCH(" "&amp;Search!$P$5,N432))),OR(Search!$P$6="",ISNUMBER(SEARCH(" "&amp;Search!$P$6,N432))),OR(Search!$P$7="",ISNUMBER(SEARCH(" "&amp;Search!$P$7,N432))),OR(Search!$P$8="",ISNUMBER(SEARCH(" "&amp;Search!$P$8,N432))),OR(Search!$P$9="",ISNUMBER(SEARCH(" "&amp;Search!$P$9,N432))),OR(Search!$P$10="",ISNUMBER(SEARCH(" "&amp;Search!$P$10,N432)))),ROW(),""))</f>
        <v/>
      </c>
      <c r="N432" s="0" t="str">
        <f aca="false">IF(D432="",""," "&amp;SUBSTITUTE(SUBSTITUTE(SUBSTITUTE(SUBSTITUTE(SUBSTITUTE(SUBSTITUTE(SUBSTITUTE(B432&amp;" "&amp;C432&amp;" "&amp;D432&amp;" "&amp;E432&amp;" "&amp;F432&amp;" "&amp;G432&amp;" "&amp;H432&amp;" "&amp;'09 Cladding &amp; ACP'!R30,"("," "),")"," "),"/"," "),"-"," "),","," "),";"," "),":"," ")&amp;" ")</f>
        <v/>
      </c>
    </row>
    <row r="433" customFormat="false" ht="15" hidden="false" customHeight="false" outlineLevel="0" collapsed="false">
      <c r="A433" s="56" t="str">
        <f aca="false">IF('09 Cladding &amp; ACP'!$C$31="","","Cladding, ACP &amp; Facade Panels")</f>
        <v/>
      </c>
      <c r="B433" s="57" t="str">
        <f aca="false">IF('09 Cladding &amp; ACP'!$C$31="","",'09 Cladding &amp; ACP'!A31)</f>
        <v/>
      </c>
      <c r="C433" s="56" t="str">
        <f aca="false">IF('09 Cladding &amp; ACP'!$C$31="","",'09 Cladding &amp; ACP'!B31)</f>
        <v/>
      </c>
      <c r="D433" s="56" t="str">
        <f aca="false">IF('09 Cladding &amp; ACP'!$C$31="","",'09 Cladding &amp; ACP'!C31)</f>
        <v/>
      </c>
      <c r="E433" s="56" t="str">
        <f aca="false">IF('09 Cladding &amp; ACP'!$C$31="","",'09 Cladding &amp; ACP'!D31)</f>
        <v/>
      </c>
      <c r="F433" s="56" t="str">
        <f aca="false">IF('09 Cladding &amp; ACP'!$C$31="","",'09 Cladding &amp; ACP'!E31)</f>
        <v/>
      </c>
      <c r="G433" s="56" t="str">
        <f aca="false">IF('09 Cladding &amp; ACP'!$C$31="","",'09 Cladding &amp; ACP'!F31)</f>
        <v/>
      </c>
      <c r="H433" s="57" t="str">
        <f aca="false">IF('09 Cladding &amp; ACP'!$C$31="","",'09 Cladding &amp; ACP'!G31)</f>
        <v/>
      </c>
      <c r="I433" s="58" t="str">
        <f aca="false">IF('09 Cladding &amp; ACP'!$C$31="","",'09 Cladding &amp; ACP'!J31)</f>
        <v/>
      </c>
      <c r="J433" s="58" t="str">
        <f aca="false">IF('09 Cladding &amp; ACP'!$C$31="","",'09 Cladding &amp; ACP'!K31)</f>
        <v/>
      </c>
      <c r="K433" s="58" t="str">
        <f aca="false">IF('09 Cladding &amp; ACP'!$C$31="","",'09 Cladding &amp; ACP'!L31)</f>
        <v/>
      </c>
      <c r="L433" s="57" t="str">
        <f aca="false">IF('09 Cladding &amp; ACP'!$C$31="","",'09 Cladding &amp; ACP'!M31)</f>
        <v/>
      </c>
      <c r="M433" s="59" t="str">
        <f aca="false">IF(D433="","",IF(AND(OR(Search!$C$6="All Categories",A433=Search!$C$6),OR(Search!$P$5="",ISNUMBER(SEARCH(" "&amp;Search!$P$5,N433))),OR(Search!$P$6="",ISNUMBER(SEARCH(" "&amp;Search!$P$6,N433))),OR(Search!$P$7="",ISNUMBER(SEARCH(" "&amp;Search!$P$7,N433))),OR(Search!$P$8="",ISNUMBER(SEARCH(" "&amp;Search!$P$8,N433))),OR(Search!$P$9="",ISNUMBER(SEARCH(" "&amp;Search!$P$9,N433))),OR(Search!$P$10="",ISNUMBER(SEARCH(" "&amp;Search!$P$10,N433)))),ROW(),""))</f>
        <v/>
      </c>
      <c r="N433" s="0" t="str">
        <f aca="false">IF(D433="",""," "&amp;SUBSTITUTE(SUBSTITUTE(SUBSTITUTE(SUBSTITUTE(SUBSTITUTE(SUBSTITUTE(SUBSTITUTE(B433&amp;" "&amp;C433&amp;" "&amp;D433&amp;" "&amp;E433&amp;" "&amp;F433&amp;" "&amp;G433&amp;" "&amp;H433&amp;" "&amp;'09 Cladding &amp; ACP'!R31,"("," "),")"," "),"/"," "),"-"," "),","," "),";"," "),":"," ")&amp;" ")</f>
        <v/>
      </c>
    </row>
    <row r="434" customFormat="false" ht="15" hidden="false" customHeight="false" outlineLevel="0" collapsed="false">
      <c r="A434" s="56" t="str">
        <f aca="false">IF('09 Cladding &amp; ACP'!$C$32="","","Cladding, ACP &amp; Facade Panels")</f>
        <v/>
      </c>
      <c r="B434" s="57" t="str">
        <f aca="false">IF('09 Cladding &amp; ACP'!$C$32="","",'09 Cladding &amp; ACP'!A32)</f>
        <v/>
      </c>
      <c r="C434" s="56" t="str">
        <f aca="false">IF('09 Cladding &amp; ACP'!$C$32="","",'09 Cladding &amp; ACP'!B32)</f>
        <v/>
      </c>
      <c r="D434" s="56" t="str">
        <f aca="false">IF('09 Cladding &amp; ACP'!$C$32="","",'09 Cladding &amp; ACP'!C32)</f>
        <v/>
      </c>
      <c r="E434" s="56" t="str">
        <f aca="false">IF('09 Cladding &amp; ACP'!$C$32="","",'09 Cladding &amp; ACP'!D32)</f>
        <v/>
      </c>
      <c r="F434" s="56" t="str">
        <f aca="false">IF('09 Cladding &amp; ACP'!$C$32="","",'09 Cladding &amp; ACP'!E32)</f>
        <v/>
      </c>
      <c r="G434" s="56" t="str">
        <f aca="false">IF('09 Cladding &amp; ACP'!$C$32="","",'09 Cladding &amp; ACP'!F32)</f>
        <v/>
      </c>
      <c r="H434" s="57" t="str">
        <f aca="false">IF('09 Cladding &amp; ACP'!$C$32="","",'09 Cladding &amp; ACP'!G32)</f>
        <v/>
      </c>
      <c r="I434" s="58" t="str">
        <f aca="false">IF('09 Cladding &amp; ACP'!$C$32="","",'09 Cladding &amp; ACP'!J32)</f>
        <v/>
      </c>
      <c r="J434" s="58" t="str">
        <f aca="false">IF('09 Cladding &amp; ACP'!$C$32="","",'09 Cladding &amp; ACP'!K32)</f>
        <v/>
      </c>
      <c r="K434" s="58" t="str">
        <f aca="false">IF('09 Cladding &amp; ACP'!$C$32="","",'09 Cladding &amp; ACP'!L32)</f>
        <v/>
      </c>
      <c r="L434" s="57" t="str">
        <f aca="false">IF('09 Cladding &amp; ACP'!$C$32="","",'09 Cladding &amp; ACP'!M32)</f>
        <v/>
      </c>
      <c r="M434" s="59" t="str">
        <f aca="false">IF(D434="","",IF(AND(OR(Search!$C$6="All Categories",A434=Search!$C$6),OR(Search!$P$5="",ISNUMBER(SEARCH(" "&amp;Search!$P$5,N434))),OR(Search!$P$6="",ISNUMBER(SEARCH(" "&amp;Search!$P$6,N434))),OR(Search!$P$7="",ISNUMBER(SEARCH(" "&amp;Search!$P$7,N434))),OR(Search!$P$8="",ISNUMBER(SEARCH(" "&amp;Search!$P$8,N434))),OR(Search!$P$9="",ISNUMBER(SEARCH(" "&amp;Search!$P$9,N434))),OR(Search!$P$10="",ISNUMBER(SEARCH(" "&amp;Search!$P$10,N434)))),ROW(),""))</f>
        <v/>
      </c>
      <c r="N434" s="0" t="str">
        <f aca="false">IF(D434="",""," "&amp;SUBSTITUTE(SUBSTITUTE(SUBSTITUTE(SUBSTITUTE(SUBSTITUTE(SUBSTITUTE(SUBSTITUTE(B434&amp;" "&amp;C434&amp;" "&amp;D434&amp;" "&amp;E434&amp;" "&amp;F434&amp;" "&amp;G434&amp;" "&amp;H434&amp;" "&amp;'09 Cladding &amp; ACP'!R32,"("," "),")"," "),"/"," "),"-"," "),","," "),";"," "),":"," ")&amp;" ")</f>
        <v/>
      </c>
    </row>
    <row r="435" customFormat="false" ht="15" hidden="false" customHeight="false" outlineLevel="0" collapsed="false">
      <c r="A435" s="56" t="str">
        <f aca="false">IF('09 Cladding &amp; ACP'!$C$33="","","Cladding, ACP &amp; Facade Panels")</f>
        <v/>
      </c>
      <c r="B435" s="57" t="str">
        <f aca="false">IF('09 Cladding &amp; ACP'!$C$33="","",'09 Cladding &amp; ACP'!A33)</f>
        <v/>
      </c>
      <c r="C435" s="56" t="str">
        <f aca="false">IF('09 Cladding &amp; ACP'!$C$33="","",'09 Cladding &amp; ACP'!B33)</f>
        <v/>
      </c>
      <c r="D435" s="56" t="str">
        <f aca="false">IF('09 Cladding &amp; ACP'!$C$33="","",'09 Cladding &amp; ACP'!C33)</f>
        <v/>
      </c>
      <c r="E435" s="56" t="str">
        <f aca="false">IF('09 Cladding &amp; ACP'!$C$33="","",'09 Cladding &amp; ACP'!D33)</f>
        <v/>
      </c>
      <c r="F435" s="56" t="str">
        <f aca="false">IF('09 Cladding &amp; ACP'!$C$33="","",'09 Cladding &amp; ACP'!E33)</f>
        <v/>
      </c>
      <c r="G435" s="56" t="str">
        <f aca="false">IF('09 Cladding &amp; ACP'!$C$33="","",'09 Cladding &amp; ACP'!F33)</f>
        <v/>
      </c>
      <c r="H435" s="57" t="str">
        <f aca="false">IF('09 Cladding &amp; ACP'!$C$33="","",'09 Cladding &amp; ACP'!G33)</f>
        <v/>
      </c>
      <c r="I435" s="58" t="str">
        <f aca="false">IF('09 Cladding &amp; ACP'!$C$33="","",'09 Cladding &amp; ACP'!J33)</f>
        <v/>
      </c>
      <c r="J435" s="58" t="str">
        <f aca="false">IF('09 Cladding &amp; ACP'!$C$33="","",'09 Cladding &amp; ACP'!K33)</f>
        <v/>
      </c>
      <c r="K435" s="58" t="str">
        <f aca="false">IF('09 Cladding &amp; ACP'!$C$33="","",'09 Cladding &amp; ACP'!L33)</f>
        <v/>
      </c>
      <c r="L435" s="57" t="str">
        <f aca="false">IF('09 Cladding &amp; ACP'!$C$33="","",'09 Cladding &amp; ACP'!M33)</f>
        <v/>
      </c>
      <c r="M435" s="59" t="str">
        <f aca="false">IF(D435="","",IF(AND(OR(Search!$C$6="All Categories",A435=Search!$C$6),OR(Search!$P$5="",ISNUMBER(SEARCH(" "&amp;Search!$P$5,N435))),OR(Search!$P$6="",ISNUMBER(SEARCH(" "&amp;Search!$P$6,N435))),OR(Search!$P$7="",ISNUMBER(SEARCH(" "&amp;Search!$P$7,N435))),OR(Search!$P$8="",ISNUMBER(SEARCH(" "&amp;Search!$P$8,N435))),OR(Search!$P$9="",ISNUMBER(SEARCH(" "&amp;Search!$P$9,N435))),OR(Search!$P$10="",ISNUMBER(SEARCH(" "&amp;Search!$P$10,N435)))),ROW(),""))</f>
        <v/>
      </c>
      <c r="N435" s="0" t="str">
        <f aca="false">IF(D435="",""," "&amp;SUBSTITUTE(SUBSTITUTE(SUBSTITUTE(SUBSTITUTE(SUBSTITUTE(SUBSTITUTE(SUBSTITUTE(B435&amp;" "&amp;C435&amp;" "&amp;D435&amp;" "&amp;E435&amp;" "&amp;F435&amp;" "&amp;G435&amp;" "&amp;H435&amp;" "&amp;'09 Cladding &amp; ACP'!R33,"("," "),")"," "),"/"," "),"-"," "),","," "),";"," "),":"," ")&amp;" ")</f>
        <v/>
      </c>
    </row>
    <row r="436" customFormat="false" ht="15" hidden="false" customHeight="false" outlineLevel="0" collapsed="false">
      <c r="A436" s="56" t="str">
        <f aca="false">IF('09 Cladding &amp; ACP'!$C$34="","","Cladding, ACP &amp; Facade Panels")</f>
        <v/>
      </c>
      <c r="B436" s="57" t="str">
        <f aca="false">IF('09 Cladding &amp; ACP'!$C$34="","",'09 Cladding &amp; ACP'!A34)</f>
        <v/>
      </c>
      <c r="C436" s="56" t="str">
        <f aca="false">IF('09 Cladding &amp; ACP'!$C$34="","",'09 Cladding &amp; ACP'!B34)</f>
        <v/>
      </c>
      <c r="D436" s="56" t="str">
        <f aca="false">IF('09 Cladding &amp; ACP'!$C$34="","",'09 Cladding &amp; ACP'!C34)</f>
        <v/>
      </c>
      <c r="E436" s="56" t="str">
        <f aca="false">IF('09 Cladding &amp; ACP'!$C$34="","",'09 Cladding &amp; ACP'!D34)</f>
        <v/>
      </c>
      <c r="F436" s="56" t="str">
        <f aca="false">IF('09 Cladding &amp; ACP'!$C$34="","",'09 Cladding &amp; ACP'!E34)</f>
        <v/>
      </c>
      <c r="G436" s="56" t="str">
        <f aca="false">IF('09 Cladding &amp; ACP'!$C$34="","",'09 Cladding &amp; ACP'!F34)</f>
        <v/>
      </c>
      <c r="H436" s="57" t="str">
        <f aca="false">IF('09 Cladding &amp; ACP'!$C$34="","",'09 Cladding &amp; ACP'!G34)</f>
        <v/>
      </c>
      <c r="I436" s="58" t="str">
        <f aca="false">IF('09 Cladding &amp; ACP'!$C$34="","",'09 Cladding &amp; ACP'!J34)</f>
        <v/>
      </c>
      <c r="J436" s="58" t="str">
        <f aca="false">IF('09 Cladding &amp; ACP'!$C$34="","",'09 Cladding &amp; ACP'!K34)</f>
        <v/>
      </c>
      <c r="K436" s="58" t="str">
        <f aca="false">IF('09 Cladding &amp; ACP'!$C$34="","",'09 Cladding &amp; ACP'!L34)</f>
        <v/>
      </c>
      <c r="L436" s="57" t="str">
        <f aca="false">IF('09 Cladding &amp; ACP'!$C$34="","",'09 Cladding &amp; ACP'!M34)</f>
        <v/>
      </c>
      <c r="M436" s="59" t="str">
        <f aca="false">IF(D436="","",IF(AND(OR(Search!$C$6="All Categories",A436=Search!$C$6),OR(Search!$P$5="",ISNUMBER(SEARCH(" "&amp;Search!$P$5,N436))),OR(Search!$P$6="",ISNUMBER(SEARCH(" "&amp;Search!$P$6,N436))),OR(Search!$P$7="",ISNUMBER(SEARCH(" "&amp;Search!$P$7,N436))),OR(Search!$P$8="",ISNUMBER(SEARCH(" "&amp;Search!$P$8,N436))),OR(Search!$P$9="",ISNUMBER(SEARCH(" "&amp;Search!$P$9,N436))),OR(Search!$P$10="",ISNUMBER(SEARCH(" "&amp;Search!$P$10,N436)))),ROW(),""))</f>
        <v/>
      </c>
      <c r="N436" s="0" t="str">
        <f aca="false">IF(D436="",""," "&amp;SUBSTITUTE(SUBSTITUTE(SUBSTITUTE(SUBSTITUTE(SUBSTITUTE(SUBSTITUTE(SUBSTITUTE(B436&amp;" "&amp;C436&amp;" "&amp;D436&amp;" "&amp;E436&amp;" "&amp;F436&amp;" "&amp;G436&amp;" "&amp;H436&amp;" "&amp;'09 Cladding &amp; ACP'!R34,"("," "),")"," "),"/"," "),"-"," "),","," "),";"," "),":"," ")&amp;" ")</f>
        <v/>
      </c>
    </row>
    <row r="437" customFormat="false" ht="15" hidden="false" customHeight="false" outlineLevel="0" collapsed="false">
      <c r="A437" s="56" t="str">
        <f aca="false">IF('09 Cladding &amp; ACP'!$C$35="","","Cladding, ACP &amp; Facade Panels")</f>
        <v/>
      </c>
      <c r="B437" s="57" t="str">
        <f aca="false">IF('09 Cladding &amp; ACP'!$C$35="","",'09 Cladding &amp; ACP'!A35)</f>
        <v/>
      </c>
      <c r="C437" s="56" t="str">
        <f aca="false">IF('09 Cladding &amp; ACP'!$C$35="","",'09 Cladding &amp; ACP'!B35)</f>
        <v/>
      </c>
      <c r="D437" s="56" t="str">
        <f aca="false">IF('09 Cladding &amp; ACP'!$C$35="","",'09 Cladding &amp; ACP'!C35)</f>
        <v/>
      </c>
      <c r="E437" s="56" t="str">
        <f aca="false">IF('09 Cladding &amp; ACP'!$C$35="","",'09 Cladding &amp; ACP'!D35)</f>
        <v/>
      </c>
      <c r="F437" s="56" t="str">
        <f aca="false">IF('09 Cladding &amp; ACP'!$C$35="","",'09 Cladding &amp; ACP'!E35)</f>
        <v/>
      </c>
      <c r="G437" s="56" t="str">
        <f aca="false">IF('09 Cladding &amp; ACP'!$C$35="","",'09 Cladding &amp; ACP'!F35)</f>
        <v/>
      </c>
      <c r="H437" s="57" t="str">
        <f aca="false">IF('09 Cladding &amp; ACP'!$C$35="","",'09 Cladding &amp; ACP'!G35)</f>
        <v/>
      </c>
      <c r="I437" s="58" t="str">
        <f aca="false">IF('09 Cladding &amp; ACP'!$C$35="","",'09 Cladding &amp; ACP'!J35)</f>
        <v/>
      </c>
      <c r="J437" s="58" t="str">
        <f aca="false">IF('09 Cladding &amp; ACP'!$C$35="","",'09 Cladding &amp; ACP'!K35)</f>
        <v/>
      </c>
      <c r="K437" s="58" t="str">
        <f aca="false">IF('09 Cladding &amp; ACP'!$C$35="","",'09 Cladding &amp; ACP'!L35)</f>
        <v/>
      </c>
      <c r="L437" s="57" t="str">
        <f aca="false">IF('09 Cladding &amp; ACP'!$C$35="","",'09 Cladding &amp; ACP'!M35)</f>
        <v/>
      </c>
      <c r="M437" s="59" t="str">
        <f aca="false">IF(D437="","",IF(AND(OR(Search!$C$6="All Categories",A437=Search!$C$6),OR(Search!$P$5="",ISNUMBER(SEARCH(" "&amp;Search!$P$5,N437))),OR(Search!$P$6="",ISNUMBER(SEARCH(" "&amp;Search!$P$6,N437))),OR(Search!$P$7="",ISNUMBER(SEARCH(" "&amp;Search!$P$7,N437))),OR(Search!$P$8="",ISNUMBER(SEARCH(" "&amp;Search!$P$8,N437))),OR(Search!$P$9="",ISNUMBER(SEARCH(" "&amp;Search!$P$9,N437))),OR(Search!$P$10="",ISNUMBER(SEARCH(" "&amp;Search!$P$10,N437)))),ROW(),""))</f>
        <v/>
      </c>
      <c r="N437" s="0" t="str">
        <f aca="false">IF(D437="",""," "&amp;SUBSTITUTE(SUBSTITUTE(SUBSTITUTE(SUBSTITUTE(SUBSTITUTE(SUBSTITUTE(SUBSTITUTE(B437&amp;" "&amp;C437&amp;" "&amp;D437&amp;" "&amp;E437&amp;" "&amp;F437&amp;" "&amp;G437&amp;" "&amp;H437&amp;" "&amp;'09 Cladding &amp; ACP'!R35,"("," "),")"," "),"/"," "),"-"," "),","," "),";"," "),":"," ")&amp;" ")</f>
        <v/>
      </c>
    </row>
    <row r="438" customFormat="false" ht="15" hidden="false" customHeight="false" outlineLevel="0" collapsed="false">
      <c r="A438" s="56" t="str">
        <f aca="false">IF('09 Cladding &amp; ACP'!$C$36="","","Cladding, ACP &amp; Facade Panels")</f>
        <v/>
      </c>
      <c r="B438" s="57" t="str">
        <f aca="false">IF('09 Cladding &amp; ACP'!$C$36="","",'09 Cladding &amp; ACP'!A36)</f>
        <v/>
      </c>
      <c r="C438" s="56" t="str">
        <f aca="false">IF('09 Cladding &amp; ACP'!$C$36="","",'09 Cladding &amp; ACP'!B36)</f>
        <v/>
      </c>
      <c r="D438" s="56" t="str">
        <f aca="false">IF('09 Cladding &amp; ACP'!$C$36="","",'09 Cladding &amp; ACP'!C36)</f>
        <v/>
      </c>
      <c r="E438" s="56" t="str">
        <f aca="false">IF('09 Cladding &amp; ACP'!$C$36="","",'09 Cladding &amp; ACP'!D36)</f>
        <v/>
      </c>
      <c r="F438" s="56" t="str">
        <f aca="false">IF('09 Cladding &amp; ACP'!$C$36="","",'09 Cladding &amp; ACP'!E36)</f>
        <v/>
      </c>
      <c r="G438" s="56" t="str">
        <f aca="false">IF('09 Cladding &amp; ACP'!$C$36="","",'09 Cladding &amp; ACP'!F36)</f>
        <v/>
      </c>
      <c r="H438" s="57" t="str">
        <f aca="false">IF('09 Cladding &amp; ACP'!$C$36="","",'09 Cladding &amp; ACP'!G36)</f>
        <v/>
      </c>
      <c r="I438" s="58" t="str">
        <f aca="false">IF('09 Cladding &amp; ACP'!$C$36="","",'09 Cladding &amp; ACP'!J36)</f>
        <v/>
      </c>
      <c r="J438" s="58" t="str">
        <f aca="false">IF('09 Cladding &amp; ACP'!$C$36="","",'09 Cladding &amp; ACP'!K36)</f>
        <v/>
      </c>
      <c r="K438" s="58" t="str">
        <f aca="false">IF('09 Cladding &amp; ACP'!$C$36="","",'09 Cladding &amp; ACP'!L36)</f>
        <v/>
      </c>
      <c r="L438" s="57" t="str">
        <f aca="false">IF('09 Cladding &amp; ACP'!$C$36="","",'09 Cladding &amp; ACP'!M36)</f>
        <v/>
      </c>
      <c r="M438" s="59" t="str">
        <f aca="false">IF(D438="","",IF(AND(OR(Search!$C$6="All Categories",A438=Search!$C$6),OR(Search!$P$5="",ISNUMBER(SEARCH(" "&amp;Search!$P$5,N438))),OR(Search!$P$6="",ISNUMBER(SEARCH(" "&amp;Search!$P$6,N438))),OR(Search!$P$7="",ISNUMBER(SEARCH(" "&amp;Search!$P$7,N438))),OR(Search!$P$8="",ISNUMBER(SEARCH(" "&amp;Search!$P$8,N438))),OR(Search!$P$9="",ISNUMBER(SEARCH(" "&amp;Search!$P$9,N438))),OR(Search!$P$10="",ISNUMBER(SEARCH(" "&amp;Search!$P$10,N438)))),ROW(),""))</f>
        <v/>
      </c>
      <c r="N438" s="0" t="str">
        <f aca="false">IF(D438="",""," "&amp;SUBSTITUTE(SUBSTITUTE(SUBSTITUTE(SUBSTITUTE(SUBSTITUTE(SUBSTITUTE(SUBSTITUTE(B438&amp;" "&amp;C438&amp;" "&amp;D438&amp;" "&amp;E438&amp;" "&amp;F438&amp;" "&amp;G438&amp;" "&amp;H438&amp;" "&amp;'09 Cladding &amp; ACP'!R36,"("," "),")"," "),"/"," "),"-"," "),","," "),";"," "),":"," ")&amp;" ")</f>
        <v/>
      </c>
    </row>
    <row r="439" customFormat="false" ht="22.35" hidden="false" customHeight="false" outlineLevel="0" collapsed="false">
      <c r="A439" s="56" t="str">
        <f aca="false">IF('10 Mild Steel'!$C$5="","","Mild Steel (MS) - Sections, Plates &amp; Sheets")</f>
        <v>Mild Steel (MS) - Sections, Plates &amp; Sheets</v>
      </c>
      <c r="B439" s="57" t="str">
        <f aca="false">IF('10 Mild Steel'!$C$5="","",'10 Mild Steel'!A5)</f>
        <v>MS-001</v>
      </c>
      <c r="C439" s="56" t="str">
        <f aca="false">IF('10 Mild Steel'!$C$5="","",'10 Mild Steel'!B5)</f>
        <v>SHS (Square Hollow)</v>
      </c>
      <c r="D439" s="56" t="str">
        <f aca="false">IF('10 Mild Steel'!$C$5="","",'10 Mild Steel'!C5)</f>
        <v>MS square hollow section</v>
      </c>
      <c r="E439" s="56" t="str">
        <f aca="false">IF('10 Mild Steel'!$C$5="","",'10 Mild Steel'!D5)</f>
        <v>25 x 25 x 1.5 mm (1.06 kg/m)</v>
      </c>
      <c r="F439" s="56" t="str">
        <f aca="false">IF('10 Mild Steel'!$C$5="","",'10 Mild Steel'!E5)</f>
        <v>Black</v>
      </c>
      <c r="G439" s="56" t="str">
        <f aca="false">IF('10 Mild Steel'!$C$5="","",'10 Mild Steel'!F5)</f>
        <v>Local</v>
      </c>
      <c r="H439" s="57" t="str">
        <f aca="false">IF('10 Mild Steel'!$C$5="","",'10 Mild Steel'!G5)</f>
        <v>lm</v>
      </c>
      <c r="I439" s="58" t="n">
        <f aca="false">IF('10 Mild Steel'!$C$5="","",'10 Mild Steel'!J5)</f>
        <v>4.09</v>
      </c>
      <c r="J439" s="58" t="n">
        <f aca="false">IF('10 Mild Steel'!$C$5="","",'10 Mild Steel'!K5)</f>
        <v>4.91</v>
      </c>
      <c r="K439" s="58" t="n">
        <f aca="false">IF('10 Mild Steel'!$C$5="","",'10 Mild Steel'!L5)</f>
        <v>5.16</v>
      </c>
      <c r="L439" s="57" t="str">
        <f aca="false">IF('10 Mild Steel'!$C$5="","",'10 Mild Steel'!M5)</f>
        <v>Indicative</v>
      </c>
      <c r="M439" s="59" t="str">
        <f aca="false">IF(D439="","",IF(AND(OR(Search!$C$6="All Categories",A439=Search!$C$6),OR(Search!$P$5="",ISNUMBER(SEARCH(" "&amp;Search!$P$5,N439))),OR(Search!$P$6="",ISNUMBER(SEARCH(" "&amp;Search!$P$6,N439))),OR(Search!$P$7="",ISNUMBER(SEARCH(" "&amp;Search!$P$7,N439))),OR(Search!$P$8="",ISNUMBER(SEARCH(" "&amp;Search!$P$8,N439))),OR(Search!$P$9="",ISNUMBER(SEARCH(" "&amp;Search!$P$9,N439))),OR(Search!$P$10="",ISNUMBER(SEARCH(" "&amp;Search!$P$10,N439)))),ROW(),""))</f>
        <v/>
      </c>
      <c r="N439" s="0" t="str">
        <f aca="false">IF(D439="",""," "&amp;SUBSTITUTE(SUBSTITUTE(SUBSTITUTE(SUBSTITUTE(SUBSTITUTE(SUBSTITUTE(SUBSTITUTE(B439&amp;" "&amp;C439&amp;" "&amp;D439&amp;" "&amp;E439&amp;" "&amp;F439&amp;" "&amp;G439&amp;" "&amp;H439&amp;" "&amp;'10 Mild Steel'!R5,"("," "),")"," "),"/"," "),"-"," "),","," "),";"," "),":"," ")&amp;" ")</f>
        <v> MS 001 SHS  Square Hollow  MS square hollow section 25 x 25 x 1.5 mm  1.06 kg m  Black Local lm 25x25 25x25x1.5 1.5mm shs tube pipe box mild steel </v>
      </c>
    </row>
    <row r="440" customFormat="false" ht="22.35" hidden="false" customHeight="false" outlineLevel="0" collapsed="false">
      <c r="A440" s="56" t="str">
        <f aca="false">IF('10 Mild Steel'!$C$6="","","Mild Steel (MS) - Sections, Plates &amp; Sheets")</f>
        <v>Mild Steel (MS) - Sections, Plates &amp; Sheets</v>
      </c>
      <c r="B440" s="57" t="str">
        <f aca="false">IF('10 Mild Steel'!$C$6="","",'10 Mild Steel'!A6)</f>
        <v>MS-002</v>
      </c>
      <c r="C440" s="56" t="str">
        <f aca="false">IF('10 Mild Steel'!$C$6="","",'10 Mild Steel'!B6)</f>
        <v>SHS (Square Hollow)</v>
      </c>
      <c r="D440" s="56" t="str">
        <f aca="false">IF('10 Mild Steel'!$C$6="","",'10 Mild Steel'!C6)</f>
        <v>MS square hollow section</v>
      </c>
      <c r="E440" s="56" t="str">
        <f aca="false">IF('10 Mild Steel'!$C$6="","",'10 Mild Steel'!D6)</f>
        <v>40 x 40 x 2.0 mm (2.31 kg/m)</v>
      </c>
      <c r="F440" s="56" t="str">
        <f aca="false">IF('10 Mild Steel'!$C$6="","",'10 Mild Steel'!E6)</f>
        <v>Black</v>
      </c>
      <c r="G440" s="56" t="str">
        <f aca="false">IF('10 Mild Steel'!$C$6="","",'10 Mild Steel'!F6)</f>
        <v>Local</v>
      </c>
      <c r="H440" s="57" t="str">
        <f aca="false">IF('10 Mild Steel'!$C$6="","",'10 Mild Steel'!G6)</f>
        <v>lm</v>
      </c>
      <c r="I440" s="58" t="n">
        <f aca="false">IF('10 Mild Steel'!$C$6="","",'10 Mild Steel'!J6)</f>
        <v>8.9</v>
      </c>
      <c r="J440" s="58" t="n">
        <f aca="false">IF('10 Mild Steel'!$C$6="","",'10 Mild Steel'!K6)</f>
        <v>10.68</v>
      </c>
      <c r="K440" s="58" t="n">
        <f aca="false">IF('10 Mild Steel'!$C$6="","",'10 Mild Steel'!L6)</f>
        <v>11.21</v>
      </c>
      <c r="L440" s="57" t="str">
        <f aca="false">IF('10 Mild Steel'!$C$6="","",'10 Mild Steel'!M6)</f>
        <v>Indicative</v>
      </c>
      <c r="M440" s="59" t="str">
        <f aca="false">IF(D440="","",IF(AND(OR(Search!$C$6="All Categories",A440=Search!$C$6),OR(Search!$P$5="",ISNUMBER(SEARCH(" "&amp;Search!$P$5,N440))),OR(Search!$P$6="",ISNUMBER(SEARCH(" "&amp;Search!$P$6,N440))),OR(Search!$P$7="",ISNUMBER(SEARCH(" "&amp;Search!$P$7,N440))),OR(Search!$P$8="",ISNUMBER(SEARCH(" "&amp;Search!$P$8,N440))),OR(Search!$P$9="",ISNUMBER(SEARCH(" "&amp;Search!$P$9,N440))),OR(Search!$P$10="",ISNUMBER(SEARCH(" "&amp;Search!$P$10,N440)))),ROW(),""))</f>
        <v/>
      </c>
      <c r="N440" s="0" t="str">
        <f aca="false">IF(D440="",""," "&amp;SUBSTITUTE(SUBSTITUTE(SUBSTITUTE(SUBSTITUTE(SUBSTITUTE(SUBSTITUTE(SUBSTITUTE(B440&amp;" "&amp;C440&amp;" "&amp;D440&amp;" "&amp;E440&amp;" "&amp;F440&amp;" "&amp;G440&amp;" "&amp;H440&amp;" "&amp;'10 Mild Steel'!R6,"("," "),")"," "),"/"," "),"-"," "),","," "),";"," "),":"," ")&amp;" ")</f>
        <v> MS 002 SHS  Square Hollow  MS square hollow section 40 x 40 x 2.0 mm  2.31 kg m  Black Local lm 40x40 40x40x2.0 40x40x2 2.0mm shs tube pipe box mild steel </v>
      </c>
    </row>
    <row r="441" customFormat="false" ht="22.35" hidden="false" customHeight="false" outlineLevel="0" collapsed="false">
      <c r="A441" s="56" t="str">
        <f aca="false">IF('10 Mild Steel'!$C$7="","","Mild Steel (MS) - Sections, Plates &amp; Sheets")</f>
        <v>Mild Steel (MS) - Sections, Plates &amp; Sheets</v>
      </c>
      <c r="B441" s="57" t="str">
        <f aca="false">IF('10 Mild Steel'!$C$7="","",'10 Mild Steel'!A7)</f>
        <v>MS-003</v>
      </c>
      <c r="C441" s="56" t="str">
        <f aca="false">IF('10 Mild Steel'!$C$7="","",'10 Mild Steel'!B7)</f>
        <v>SHS (Square Hollow)</v>
      </c>
      <c r="D441" s="56" t="str">
        <f aca="false">IF('10 Mild Steel'!$C$7="","",'10 Mild Steel'!C7)</f>
        <v>MS square hollow section</v>
      </c>
      <c r="E441" s="56" t="str">
        <f aca="false">IF('10 Mild Steel'!$C$7="","",'10 Mild Steel'!D7)</f>
        <v>50 x 50 x 3.0 mm (4.25 kg/m)</v>
      </c>
      <c r="F441" s="56" t="str">
        <f aca="false">IF('10 Mild Steel'!$C$7="","",'10 Mild Steel'!E7)</f>
        <v>Black</v>
      </c>
      <c r="G441" s="56" t="str">
        <f aca="false">IF('10 Mild Steel'!$C$7="","",'10 Mild Steel'!F7)</f>
        <v>Local</v>
      </c>
      <c r="H441" s="57" t="str">
        <f aca="false">IF('10 Mild Steel'!$C$7="","",'10 Mild Steel'!G7)</f>
        <v>lm</v>
      </c>
      <c r="I441" s="58" t="n">
        <f aca="false">IF('10 Mild Steel'!$C$7="","",'10 Mild Steel'!J7)</f>
        <v>16.37</v>
      </c>
      <c r="J441" s="58" t="n">
        <f aca="false">IF('10 Mild Steel'!$C$7="","",'10 Mild Steel'!K7)</f>
        <v>19.64</v>
      </c>
      <c r="K441" s="58" t="n">
        <f aca="false">IF('10 Mild Steel'!$C$7="","",'10 Mild Steel'!L7)</f>
        <v>20.62</v>
      </c>
      <c r="L441" s="57" t="str">
        <f aca="false">IF('10 Mild Steel'!$C$7="","",'10 Mild Steel'!M7)</f>
        <v>Indicative</v>
      </c>
      <c r="M441" s="59" t="str">
        <f aca="false">IF(D441="","",IF(AND(OR(Search!$C$6="All Categories",A441=Search!$C$6),OR(Search!$P$5="",ISNUMBER(SEARCH(" "&amp;Search!$P$5,N441))),OR(Search!$P$6="",ISNUMBER(SEARCH(" "&amp;Search!$P$6,N441))),OR(Search!$P$7="",ISNUMBER(SEARCH(" "&amp;Search!$P$7,N441))),OR(Search!$P$8="",ISNUMBER(SEARCH(" "&amp;Search!$P$8,N441))),OR(Search!$P$9="",ISNUMBER(SEARCH(" "&amp;Search!$P$9,N441))),OR(Search!$P$10="",ISNUMBER(SEARCH(" "&amp;Search!$P$10,N441)))),ROW(),""))</f>
        <v/>
      </c>
      <c r="N441" s="0" t="str">
        <f aca="false">IF(D441="",""," "&amp;SUBSTITUTE(SUBSTITUTE(SUBSTITUTE(SUBSTITUTE(SUBSTITUTE(SUBSTITUTE(SUBSTITUTE(B441&amp;" "&amp;C441&amp;" "&amp;D441&amp;" "&amp;E441&amp;" "&amp;F441&amp;" "&amp;G441&amp;" "&amp;H441&amp;" "&amp;'10 Mild Steel'!R7,"("," "),")"," "),"/"," "),"-"," "),","," "),";"," "),":"," ")&amp;" ")</f>
        <v> MS 003 SHS  Square Hollow  MS square hollow section 50 x 50 x 3.0 mm  4.25 kg m  Black Local lm 50x50 50x50x3.0 50x50x3 3.0mm shs tube pipe box mild steel </v>
      </c>
    </row>
    <row r="442" customFormat="false" ht="22.35" hidden="false" customHeight="false" outlineLevel="0" collapsed="false">
      <c r="A442" s="56" t="str">
        <f aca="false">IF('10 Mild Steel'!$C$8="","","Mild Steel (MS) - Sections, Plates &amp; Sheets")</f>
        <v>Mild Steel (MS) - Sections, Plates &amp; Sheets</v>
      </c>
      <c r="B442" s="57" t="str">
        <f aca="false">IF('10 Mild Steel'!$C$8="","",'10 Mild Steel'!A8)</f>
        <v>MS-004</v>
      </c>
      <c r="C442" s="56" t="str">
        <f aca="false">IF('10 Mild Steel'!$C$8="","",'10 Mild Steel'!B8)</f>
        <v>SHS (Square Hollow)</v>
      </c>
      <c r="D442" s="56" t="str">
        <f aca="false">IF('10 Mild Steel'!$C$8="","",'10 Mild Steel'!C8)</f>
        <v>MS square hollow section</v>
      </c>
      <c r="E442" s="56" t="str">
        <f aca="false">IF('10 Mild Steel'!$C$8="","",'10 Mild Steel'!D8)</f>
        <v>60 x 60 x 3.0 mm (5.19 kg/m)</v>
      </c>
      <c r="F442" s="56" t="str">
        <f aca="false">IF('10 Mild Steel'!$C$8="","",'10 Mild Steel'!E8)</f>
        <v>Black</v>
      </c>
      <c r="G442" s="56" t="str">
        <f aca="false">IF('10 Mild Steel'!$C$8="","",'10 Mild Steel'!F8)</f>
        <v>Local</v>
      </c>
      <c r="H442" s="57" t="str">
        <f aca="false">IF('10 Mild Steel'!$C$8="","",'10 Mild Steel'!G8)</f>
        <v>lm</v>
      </c>
      <c r="I442" s="58" t="n">
        <f aca="false">IF('10 Mild Steel'!$C$8="","",'10 Mild Steel'!J8)</f>
        <v>19.99</v>
      </c>
      <c r="J442" s="58" t="n">
        <f aca="false">IF('10 Mild Steel'!$C$8="","",'10 Mild Steel'!K8)</f>
        <v>23.99</v>
      </c>
      <c r="K442" s="58" t="n">
        <f aca="false">IF('10 Mild Steel'!$C$8="","",'10 Mild Steel'!L8)</f>
        <v>25.19</v>
      </c>
      <c r="L442" s="57" t="str">
        <f aca="false">IF('10 Mild Steel'!$C$8="","",'10 Mild Steel'!M8)</f>
        <v>Indicative</v>
      </c>
      <c r="M442" s="59" t="str">
        <f aca="false">IF(D442="","",IF(AND(OR(Search!$C$6="All Categories",A442=Search!$C$6),OR(Search!$P$5="",ISNUMBER(SEARCH(" "&amp;Search!$P$5,N442))),OR(Search!$P$6="",ISNUMBER(SEARCH(" "&amp;Search!$P$6,N442))),OR(Search!$P$7="",ISNUMBER(SEARCH(" "&amp;Search!$P$7,N442))),OR(Search!$P$8="",ISNUMBER(SEARCH(" "&amp;Search!$P$8,N442))),OR(Search!$P$9="",ISNUMBER(SEARCH(" "&amp;Search!$P$9,N442))),OR(Search!$P$10="",ISNUMBER(SEARCH(" "&amp;Search!$P$10,N442)))),ROW(),""))</f>
        <v/>
      </c>
      <c r="N442" s="0" t="str">
        <f aca="false">IF(D442="",""," "&amp;SUBSTITUTE(SUBSTITUTE(SUBSTITUTE(SUBSTITUTE(SUBSTITUTE(SUBSTITUTE(SUBSTITUTE(B442&amp;" "&amp;C442&amp;" "&amp;D442&amp;" "&amp;E442&amp;" "&amp;F442&amp;" "&amp;G442&amp;" "&amp;H442&amp;" "&amp;'10 Mild Steel'!R8,"("," "),")"," "),"/"," "),"-"," "),","," "),";"," "),":"," ")&amp;" ")</f>
        <v> MS 004 SHS  Square Hollow  MS square hollow section 60 x 60 x 3.0 mm  5.19 kg m  Black Local lm 60x60 60x60x3.0 60x60x3 3.0mm shs tube pipe box mild steel </v>
      </c>
    </row>
    <row r="443" customFormat="false" ht="22.35" hidden="false" customHeight="false" outlineLevel="0" collapsed="false">
      <c r="A443" s="56" t="str">
        <f aca="false">IF('10 Mild Steel'!$C$9="","","Mild Steel (MS) - Sections, Plates &amp; Sheets")</f>
        <v>Mild Steel (MS) - Sections, Plates &amp; Sheets</v>
      </c>
      <c r="B443" s="57" t="str">
        <f aca="false">IF('10 Mild Steel'!$C$9="","",'10 Mild Steel'!A9)</f>
        <v>MS-005</v>
      </c>
      <c r="C443" s="56" t="str">
        <f aca="false">IF('10 Mild Steel'!$C$9="","",'10 Mild Steel'!B9)</f>
        <v>SHS (Square Hollow)</v>
      </c>
      <c r="D443" s="56" t="str">
        <f aca="false">IF('10 Mild Steel'!$C$9="","",'10 Mild Steel'!C9)</f>
        <v>MS square hollow section</v>
      </c>
      <c r="E443" s="56" t="str">
        <f aca="false">IF('10 Mild Steel'!$C$9="","",'10 Mild Steel'!D9)</f>
        <v>75 x 75 x 3.0 mm (6.71 kg/m)</v>
      </c>
      <c r="F443" s="56" t="str">
        <f aca="false">IF('10 Mild Steel'!$C$9="","",'10 Mild Steel'!E9)</f>
        <v>Black</v>
      </c>
      <c r="G443" s="56" t="str">
        <f aca="false">IF('10 Mild Steel'!$C$9="","",'10 Mild Steel'!F9)</f>
        <v>Local</v>
      </c>
      <c r="H443" s="57" t="str">
        <f aca="false">IF('10 Mild Steel'!$C$9="","",'10 Mild Steel'!G9)</f>
        <v>lm</v>
      </c>
      <c r="I443" s="58" t="n">
        <f aca="false">IF('10 Mild Steel'!$C$9="","",'10 Mild Steel'!J9)</f>
        <v>25.85</v>
      </c>
      <c r="J443" s="58" t="n">
        <f aca="false">IF('10 Mild Steel'!$C$9="","",'10 Mild Steel'!K9)</f>
        <v>31.02</v>
      </c>
      <c r="K443" s="58" t="n">
        <f aca="false">IF('10 Mild Steel'!$C$9="","",'10 Mild Steel'!L9)</f>
        <v>32.57</v>
      </c>
      <c r="L443" s="57" t="str">
        <f aca="false">IF('10 Mild Steel'!$C$9="","",'10 Mild Steel'!M9)</f>
        <v>Indicative</v>
      </c>
      <c r="M443" s="59" t="str">
        <f aca="false">IF(D443="","",IF(AND(OR(Search!$C$6="All Categories",A443=Search!$C$6),OR(Search!$P$5="",ISNUMBER(SEARCH(" "&amp;Search!$P$5,N443))),OR(Search!$P$6="",ISNUMBER(SEARCH(" "&amp;Search!$P$6,N443))),OR(Search!$P$7="",ISNUMBER(SEARCH(" "&amp;Search!$P$7,N443))),OR(Search!$P$8="",ISNUMBER(SEARCH(" "&amp;Search!$P$8,N443))),OR(Search!$P$9="",ISNUMBER(SEARCH(" "&amp;Search!$P$9,N443))),OR(Search!$P$10="",ISNUMBER(SEARCH(" "&amp;Search!$P$10,N443)))),ROW(),""))</f>
        <v/>
      </c>
      <c r="N443" s="0" t="str">
        <f aca="false">IF(D443="",""," "&amp;SUBSTITUTE(SUBSTITUTE(SUBSTITUTE(SUBSTITUTE(SUBSTITUTE(SUBSTITUTE(SUBSTITUTE(B443&amp;" "&amp;C443&amp;" "&amp;D443&amp;" "&amp;E443&amp;" "&amp;F443&amp;" "&amp;G443&amp;" "&amp;H443&amp;" "&amp;'10 Mild Steel'!R9,"("," "),")"," "),"/"," "),"-"," "),","," "),";"," "),":"," ")&amp;" ")</f>
        <v> MS 005 SHS  Square Hollow  MS square hollow section 75 x 75 x 3.0 mm  6.71 kg m  Black Local lm 75x75 75x75x3.0 75x75x3 3.0mm shs tube pipe box mild steel </v>
      </c>
    </row>
    <row r="444" customFormat="false" ht="22.35" hidden="false" customHeight="false" outlineLevel="0" collapsed="false">
      <c r="A444" s="56" t="str">
        <f aca="false">IF('10 Mild Steel'!$C$10="","","Mild Steel (MS) - Sections, Plates &amp; Sheets")</f>
        <v>Mild Steel (MS) - Sections, Plates &amp; Sheets</v>
      </c>
      <c r="B444" s="57" t="str">
        <f aca="false">IF('10 Mild Steel'!$C$10="","",'10 Mild Steel'!A10)</f>
        <v>MS-006</v>
      </c>
      <c r="C444" s="56" t="str">
        <f aca="false">IF('10 Mild Steel'!$C$10="","",'10 Mild Steel'!B10)</f>
        <v>SHS (Square Hollow)</v>
      </c>
      <c r="D444" s="56" t="str">
        <f aca="false">IF('10 Mild Steel'!$C$10="","",'10 Mild Steel'!C10)</f>
        <v>MS square hollow section</v>
      </c>
      <c r="E444" s="56" t="str">
        <f aca="false">IF('10 Mild Steel'!$C$10="","",'10 Mild Steel'!D10)</f>
        <v>100 x 100 x 4.0 mm (11.70 kg/m)</v>
      </c>
      <c r="F444" s="56" t="str">
        <f aca="false">IF('10 Mild Steel'!$C$10="","",'10 Mild Steel'!E10)</f>
        <v>Black</v>
      </c>
      <c r="G444" s="56" t="str">
        <f aca="false">IF('10 Mild Steel'!$C$10="","",'10 Mild Steel'!F10)</f>
        <v>Local</v>
      </c>
      <c r="H444" s="57" t="str">
        <f aca="false">IF('10 Mild Steel'!$C$10="","",'10 Mild Steel'!G10)</f>
        <v>lm</v>
      </c>
      <c r="I444" s="58" t="n">
        <f aca="false">IF('10 Mild Steel'!$C$10="","",'10 Mild Steel'!J10)</f>
        <v>45.07</v>
      </c>
      <c r="J444" s="58" t="n">
        <f aca="false">IF('10 Mild Steel'!$C$10="","",'10 Mild Steel'!K10)</f>
        <v>54.08</v>
      </c>
      <c r="K444" s="58" t="n">
        <f aca="false">IF('10 Mild Steel'!$C$10="","",'10 Mild Steel'!L10)</f>
        <v>56.78</v>
      </c>
      <c r="L444" s="57" t="str">
        <f aca="false">IF('10 Mild Steel'!$C$10="","",'10 Mild Steel'!M10)</f>
        <v>Indicative</v>
      </c>
      <c r="M444" s="59" t="str">
        <f aca="false">IF(D444="","",IF(AND(OR(Search!$C$6="All Categories",A444=Search!$C$6),OR(Search!$P$5="",ISNUMBER(SEARCH(" "&amp;Search!$P$5,N444))),OR(Search!$P$6="",ISNUMBER(SEARCH(" "&amp;Search!$P$6,N444))),OR(Search!$P$7="",ISNUMBER(SEARCH(" "&amp;Search!$P$7,N444))),OR(Search!$P$8="",ISNUMBER(SEARCH(" "&amp;Search!$P$8,N444))),OR(Search!$P$9="",ISNUMBER(SEARCH(" "&amp;Search!$P$9,N444))),OR(Search!$P$10="",ISNUMBER(SEARCH(" "&amp;Search!$P$10,N444)))),ROW(),""))</f>
        <v/>
      </c>
      <c r="N444" s="0" t="str">
        <f aca="false">IF(D444="",""," "&amp;SUBSTITUTE(SUBSTITUTE(SUBSTITUTE(SUBSTITUTE(SUBSTITUTE(SUBSTITUTE(SUBSTITUTE(B444&amp;" "&amp;C444&amp;" "&amp;D444&amp;" "&amp;E444&amp;" "&amp;F444&amp;" "&amp;G444&amp;" "&amp;H444&amp;" "&amp;'10 Mild Steel'!R10,"("," "),")"," "),"/"," "),"-"," "),","," "),";"," "),":"," ")&amp;" ")</f>
        <v> MS 006 SHS  Square Hollow  MS square hollow section 100 x 100 x 4.0 mm  11.70 kg m  Black Local lm 100x100 100x100x4.0 100x100x4 4.0mm shs tube pipe box mild steel </v>
      </c>
    </row>
    <row r="445" customFormat="false" ht="22.35" hidden="false" customHeight="false" outlineLevel="0" collapsed="false">
      <c r="A445" s="56" t="str">
        <f aca="false">IF('10 Mild Steel'!$C$11="","","Mild Steel (MS) - Sections, Plates &amp; Sheets")</f>
        <v>Mild Steel (MS) - Sections, Plates &amp; Sheets</v>
      </c>
      <c r="B445" s="57" t="str">
        <f aca="false">IF('10 Mild Steel'!$C$11="","",'10 Mild Steel'!A11)</f>
        <v>MS-007</v>
      </c>
      <c r="C445" s="56" t="str">
        <f aca="false">IF('10 Mild Steel'!$C$11="","",'10 Mild Steel'!B11)</f>
        <v>SHS (Square Hollow)</v>
      </c>
      <c r="D445" s="56" t="str">
        <f aca="false">IF('10 Mild Steel'!$C$11="","",'10 Mild Steel'!C11)</f>
        <v>MS square hollow section</v>
      </c>
      <c r="E445" s="56" t="str">
        <f aca="false">IF('10 Mild Steel'!$C$11="","",'10 Mild Steel'!D11)</f>
        <v>100 x 100 x 5.0 mm (14.40 kg/m)</v>
      </c>
      <c r="F445" s="56" t="str">
        <f aca="false">IF('10 Mild Steel'!$C$11="","",'10 Mild Steel'!E11)</f>
        <v>Black</v>
      </c>
      <c r="G445" s="56" t="str">
        <f aca="false">IF('10 Mild Steel'!$C$11="","",'10 Mild Steel'!F11)</f>
        <v>Local</v>
      </c>
      <c r="H445" s="57" t="str">
        <f aca="false">IF('10 Mild Steel'!$C$11="","",'10 Mild Steel'!G11)</f>
        <v>lm</v>
      </c>
      <c r="I445" s="58" t="n">
        <f aca="false">IF('10 Mild Steel'!$C$11="","",'10 Mild Steel'!J11)</f>
        <v>55.47</v>
      </c>
      <c r="J445" s="58" t="n">
        <f aca="false">IF('10 Mild Steel'!$C$11="","",'10 Mild Steel'!K11)</f>
        <v>66.56</v>
      </c>
      <c r="K445" s="58" t="n">
        <f aca="false">IF('10 Mild Steel'!$C$11="","",'10 Mild Steel'!L11)</f>
        <v>69.89</v>
      </c>
      <c r="L445" s="57" t="str">
        <f aca="false">IF('10 Mild Steel'!$C$11="","",'10 Mild Steel'!M11)</f>
        <v>Indicative</v>
      </c>
      <c r="M445" s="59" t="str">
        <f aca="false">IF(D445="","",IF(AND(OR(Search!$C$6="All Categories",A445=Search!$C$6),OR(Search!$P$5="",ISNUMBER(SEARCH(" "&amp;Search!$P$5,N445))),OR(Search!$P$6="",ISNUMBER(SEARCH(" "&amp;Search!$P$6,N445))),OR(Search!$P$7="",ISNUMBER(SEARCH(" "&amp;Search!$P$7,N445))),OR(Search!$P$8="",ISNUMBER(SEARCH(" "&amp;Search!$P$8,N445))),OR(Search!$P$9="",ISNUMBER(SEARCH(" "&amp;Search!$P$9,N445))),OR(Search!$P$10="",ISNUMBER(SEARCH(" "&amp;Search!$P$10,N445)))),ROW(),""))</f>
        <v/>
      </c>
      <c r="N445" s="0" t="str">
        <f aca="false">IF(D445="",""," "&amp;SUBSTITUTE(SUBSTITUTE(SUBSTITUTE(SUBSTITUTE(SUBSTITUTE(SUBSTITUTE(SUBSTITUTE(B445&amp;" "&amp;C445&amp;" "&amp;D445&amp;" "&amp;E445&amp;" "&amp;F445&amp;" "&amp;G445&amp;" "&amp;H445&amp;" "&amp;'10 Mild Steel'!R11,"("," "),")"," "),"/"," "),"-"," "),","," "),";"," "),":"," ")&amp;" ")</f>
        <v> MS 007 SHS  Square Hollow  MS square hollow section 100 x 100 x 5.0 mm  14.40 kg m  Black Local lm 100x100 100x100x5.0 100x100x5 5.0mm shs tube pipe box mild steel </v>
      </c>
    </row>
    <row r="446" customFormat="false" ht="22.35" hidden="false" customHeight="false" outlineLevel="0" collapsed="false">
      <c r="A446" s="56" t="str">
        <f aca="false">IF('10 Mild Steel'!$C$12="","","Mild Steel (MS) - Sections, Plates &amp; Sheets")</f>
        <v>Mild Steel (MS) - Sections, Plates &amp; Sheets</v>
      </c>
      <c r="B446" s="57" t="str">
        <f aca="false">IF('10 Mild Steel'!$C$12="","",'10 Mild Steel'!A12)</f>
        <v>MS-008</v>
      </c>
      <c r="C446" s="56" t="str">
        <f aca="false">IF('10 Mild Steel'!$C$12="","",'10 Mild Steel'!B12)</f>
        <v>SHS (Square Hollow)</v>
      </c>
      <c r="D446" s="56" t="str">
        <f aca="false">IF('10 Mild Steel'!$C$12="","",'10 Mild Steel'!C12)</f>
        <v>MS square hollow section</v>
      </c>
      <c r="E446" s="56" t="str">
        <f aca="false">IF('10 Mild Steel'!$C$12="","",'10 Mild Steel'!D12)</f>
        <v>150 x 150 x 6.0 mm (26.40 kg/m)</v>
      </c>
      <c r="F446" s="56" t="str">
        <f aca="false">IF('10 Mild Steel'!$C$12="","",'10 Mild Steel'!E12)</f>
        <v>Black</v>
      </c>
      <c r="G446" s="56" t="str">
        <f aca="false">IF('10 Mild Steel'!$C$12="","",'10 Mild Steel'!F12)</f>
        <v>Local</v>
      </c>
      <c r="H446" s="57" t="str">
        <f aca="false">IF('10 Mild Steel'!$C$12="","",'10 Mild Steel'!G12)</f>
        <v>lm</v>
      </c>
      <c r="I446" s="58" t="n">
        <f aca="false">IF('10 Mild Steel'!$C$12="","",'10 Mild Steel'!J12)</f>
        <v>101.69</v>
      </c>
      <c r="J446" s="58" t="n">
        <f aca="false">IF('10 Mild Steel'!$C$12="","",'10 Mild Steel'!K12)</f>
        <v>122.03</v>
      </c>
      <c r="K446" s="58" t="n">
        <f aca="false">IF('10 Mild Steel'!$C$12="","",'10 Mild Steel'!L12)</f>
        <v>128.13</v>
      </c>
      <c r="L446" s="57" t="str">
        <f aca="false">IF('10 Mild Steel'!$C$12="","",'10 Mild Steel'!M12)</f>
        <v>Indicative</v>
      </c>
      <c r="M446" s="59" t="str">
        <f aca="false">IF(D446="","",IF(AND(OR(Search!$C$6="All Categories",A446=Search!$C$6),OR(Search!$P$5="",ISNUMBER(SEARCH(" "&amp;Search!$P$5,N446))),OR(Search!$P$6="",ISNUMBER(SEARCH(" "&amp;Search!$P$6,N446))),OR(Search!$P$7="",ISNUMBER(SEARCH(" "&amp;Search!$P$7,N446))),OR(Search!$P$8="",ISNUMBER(SEARCH(" "&amp;Search!$P$8,N446))),OR(Search!$P$9="",ISNUMBER(SEARCH(" "&amp;Search!$P$9,N446))),OR(Search!$P$10="",ISNUMBER(SEARCH(" "&amp;Search!$P$10,N446)))),ROW(),""))</f>
        <v/>
      </c>
      <c r="N446" s="0" t="str">
        <f aca="false">IF(D446="",""," "&amp;SUBSTITUTE(SUBSTITUTE(SUBSTITUTE(SUBSTITUTE(SUBSTITUTE(SUBSTITUTE(SUBSTITUTE(B446&amp;" "&amp;C446&amp;" "&amp;D446&amp;" "&amp;E446&amp;" "&amp;F446&amp;" "&amp;G446&amp;" "&amp;H446&amp;" "&amp;'10 Mild Steel'!R12,"("," "),")"," "),"/"," "),"-"," "),","," "),";"," "),":"," ")&amp;" ")</f>
        <v> MS 008 SHS  Square Hollow  MS square hollow section 150 x 150 x 6.0 mm  26.40 kg m  Black Local lm 150x150 150x150x6.0 150x150x6 6.0mm shs tube pipe box mild steel </v>
      </c>
    </row>
    <row r="447" customFormat="false" ht="22.35" hidden="false" customHeight="false" outlineLevel="0" collapsed="false">
      <c r="A447" s="56" t="str">
        <f aca="false">IF('10 Mild Steel'!$C$13="","","Mild Steel (MS) - Sections, Plates &amp; Sheets")</f>
        <v>Mild Steel (MS) - Sections, Plates &amp; Sheets</v>
      </c>
      <c r="B447" s="57" t="str">
        <f aca="false">IF('10 Mild Steel'!$C$13="","",'10 Mild Steel'!A13)</f>
        <v>MS-009</v>
      </c>
      <c r="C447" s="56" t="str">
        <f aca="false">IF('10 Mild Steel'!$C$13="","",'10 Mild Steel'!B13)</f>
        <v>RHS (Rectangular Hollow)</v>
      </c>
      <c r="D447" s="56" t="str">
        <f aca="false">IF('10 Mild Steel'!$C$13="","",'10 Mild Steel'!C13)</f>
        <v>MS rectangular hollow section</v>
      </c>
      <c r="E447" s="56" t="str">
        <f aca="false">IF('10 Mild Steel'!$C$13="","",'10 Mild Steel'!D13)</f>
        <v>50 x 25 x 2.0 mm (2.15 kg/m)</v>
      </c>
      <c r="F447" s="56" t="str">
        <f aca="false">IF('10 Mild Steel'!$C$13="","",'10 Mild Steel'!E13)</f>
        <v>Black</v>
      </c>
      <c r="G447" s="56" t="str">
        <f aca="false">IF('10 Mild Steel'!$C$13="","",'10 Mild Steel'!F13)</f>
        <v>Local</v>
      </c>
      <c r="H447" s="57" t="str">
        <f aca="false">IF('10 Mild Steel'!$C$13="","",'10 Mild Steel'!G13)</f>
        <v>lm</v>
      </c>
      <c r="I447" s="58" t="n">
        <f aca="false">IF('10 Mild Steel'!$C$13="","",'10 Mild Steel'!J13)</f>
        <v>8.28</v>
      </c>
      <c r="J447" s="58" t="n">
        <f aca="false">IF('10 Mild Steel'!$C$13="","",'10 Mild Steel'!K13)</f>
        <v>9.94</v>
      </c>
      <c r="K447" s="58" t="n">
        <f aca="false">IF('10 Mild Steel'!$C$13="","",'10 Mild Steel'!L13)</f>
        <v>10.44</v>
      </c>
      <c r="L447" s="57" t="str">
        <f aca="false">IF('10 Mild Steel'!$C$13="","",'10 Mild Steel'!M13)</f>
        <v>Indicative</v>
      </c>
      <c r="M447" s="59" t="str">
        <f aca="false">IF(D447="","",IF(AND(OR(Search!$C$6="All Categories",A447=Search!$C$6),OR(Search!$P$5="",ISNUMBER(SEARCH(" "&amp;Search!$P$5,N447))),OR(Search!$P$6="",ISNUMBER(SEARCH(" "&amp;Search!$P$6,N447))),OR(Search!$P$7="",ISNUMBER(SEARCH(" "&amp;Search!$P$7,N447))),OR(Search!$P$8="",ISNUMBER(SEARCH(" "&amp;Search!$P$8,N447))),OR(Search!$P$9="",ISNUMBER(SEARCH(" "&amp;Search!$P$9,N447))),OR(Search!$P$10="",ISNUMBER(SEARCH(" "&amp;Search!$P$10,N447)))),ROW(),""))</f>
        <v/>
      </c>
      <c r="N447" s="0" t="str">
        <f aca="false">IF(D447="",""," "&amp;SUBSTITUTE(SUBSTITUTE(SUBSTITUTE(SUBSTITUTE(SUBSTITUTE(SUBSTITUTE(SUBSTITUTE(B447&amp;" "&amp;C447&amp;" "&amp;D447&amp;" "&amp;E447&amp;" "&amp;F447&amp;" "&amp;G447&amp;" "&amp;H447&amp;" "&amp;'10 Mild Steel'!R13,"("," "),")"," "),"/"," "),"-"," "),","," "),";"," "),":"," ")&amp;" ")</f>
        <v> MS 009 RHS  Rectangular Hollow  MS rectangular hollow section 50 x 25 x 2.0 mm  2.15 kg m  Black Local lm 50x25 50x25x2.0 50x25x2 2.0mm rhs tube pipe box mild steel </v>
      </c>
    </row>
    <row r="448" customFormat="false" ht="22.35" hidden="false" customHeight="false" outlineLevel="0" collapsed="false">
      <c r="A448" s="56" t="str">
        <f aca="false">IF('10 Mild Steel'!$C$14="","","Mild Steel (MS) - Sections, Plates &amp; Sheets")</f>
        <v>Mild Steel (MS) - Sections, Plates &amp; Sheets</v>
      </c>
      <c r="B448" s="57" t="str">
        <f aca="false">IF('10 Mild Steel'!$C$14="","",'10 Mild Steel'!A14)</f>
        <v>MS-010</v>
      </c>
      <c r="C448" s="56" t="str">
        <f aca="false">IF('10 Mild Steel'!$C$14="","",'10 Mild Steel'!B14)</f>
        <v>RHS (Rectangular Hollow)</v>
      </c>
      <c r="D448" s="56" t="str">
        <f aca="false">IF('10 Mild Steel'!$C$14="","",'10 Mild Steel'!C14)</f>
        <v>MS rectangular hollow section</v>
      </c>
      <c r="E448" s="56" t="str">
        <f aca="false">IF('10 Mild Steel'!$C$14="","",'10 Mild Steel'!D14)</f>
        <v>80 x 40 x 3.0 mm (5.19 kg/m)</v>
      </c>
      <c r="F448" s="56" t="str">
        <f aca="false">IF('10 Mild Steel'!$C$14="","",'10 Mild Steel'!E14)</f>
        <v>Black</v>
      </c>
      <c r="G448" s="56" t="str">
        <f aca="false">IF('10 Mild Steel'!$C$14="","",'10 Mild Steel'!F14)</f>
        <v>Local</v>
      </c>
      <c r="H448" s="57" t="str">
        <f aca="false">IF('10 Mild Steel'!$C$14="","",'10 Mild Steel'!G14)</f>
        <v>lm</v>
      </c>
      <c r="I448" s="58" t="n">
        <f aca="false">IF('10 Mild Steel'!$C$14="","",'10 Mild Steel'!J14)</f>
        <v>19.99</v>
      </c>
      <c r="J448" s="58" t="n">
        <f aca="false">IF('10 Mild Steel'!$C$14="","",'10 Mild Steel'!K14)</f>
        <v>23.99</v>
      </c>
      <c r="K448" s="58" t="n">
        <f aca="false">IF('10 Mild Steel'!$C$14="","",'10 Mild Steel'!L14)</f>
        <v>25.19</v>
      </c>
      <c r="L448" s="57" t="str">
        <f aca="false">IF('10 Mild Steel'!$C$14="","",'10 Mild Steel'!M14)</f>
        <v>Indicative</v>
      </c>
      <c r="M448" s="59" t="str">
        <f aca="false">IF(D448="","",IF(AND(OR(Search!$C$6="All Categories",A448=Search!$C$6),OR(Search!$P$5="",ISNUMBER(SEARCH(" "&amp;Search!$P$5,N448))),OR(Search!$P$6="",ISNUMBER(SEARCH(" "&amp;Search!$P$6,N448))),OR(Search!$P$7="",ISNUMBER(SEARCH(" "&amp;Search!$P$7,N448))),OR(Search!$P$8="",ISNUMBER(SEARCH(" "&amp;Search!$P$8,N448))),OR(Search!$P$9="",ISNUMBER(SEARCH(" "&amp;Search!$P$9,N448))),OR(Search!$P$10="",ISNUMBER(SEARCH(" "&amp;Search!$P$10,N448)))),ROW(),""))</f>
        <v/>
      </c>
      <c r="N448" s="0" t="str">
        <f aca="false">IF(D448="",""," "&amp;SUBSTITUTE(SUBSTITUTE(SUBSTITUTE(SUBSTITUTE(SUBSTITUTE(SUBSTITUTE(SUBSTITUTE(B448&amp;" "&amp;C448&amp;" "&amp;D448&amp;" "&amp;E448&amp;" "&amp;F448&amp;" "&amp;G448&amp;" "&amp;H448&amp;" "&amp;'10 Mild Steel'!R14,"("," "),")"," "),"/"," "),"-"," "),","," "),";"," "),":"," ")&amp;" ")</f>
        <v> MS 010 RHS  Rectangular Hollow  MS rectangular hollow section 80 x 40 x 3.0 mm  5.19 kg m  Black Local lm 80x40 80x40x3.0 80x40x3 3.0mm rhs tube pipe box mild steel </v>
      </c>
    </row>
    <row r="449" customFormat="false" ht="22.35" hidden="false" customHeight="false" outlineLevel="0" collapsed="false">
      <c r="A449" s="56" t="str">
        <f aca="false">IF('10 Mild Steel'!$C$15="","","Mild Steel (MS) - Sections, Plates &amp; Sheets")</f>
        <v>Mild Steel (MS) - Sections, Plates &amp; Sheets</v>
      </c>
      <c r="B449" s="57" t="str">
        <f aca="false">IF('10 Mild Steel'!$C$15="","",'10 Mild Steel'!A15)</f>
        <v>MS-011</v>
      </c>
      <c r="C449" s="56" t="str">
        <f aca="false">IF('10 Mild Steel'!$C$15="","",'10 Mild Steel'!B15)</f>
        <v>RHS (Rectangular Hollow)</v>
      </c>
      <c r="D449" s="56" t="str">
        <f aca="false">IF('10 Mild Steel'!$C$15="","",'10 Mild Steel'!C15)</f>
        <v>MS rectangular hollow section</v>
      </c>
      <c r="E449" s="56" t="str">
        <f aca="false">IF('10 Mild Steel'!$C$15="","",'10 Mild Steel'!D15)</f>
        <v>100 x 50 x 3.0 mm (6.71 kg/m)</v>
      </c>
      <c r="F449" s="56" t="str">
        <f aca="false">IF('10 Mild Steel'!$C$15="","",'10 Mild Steel'!E15)</f>
        <v>Black</v>
      </c>
      <c r="G449" s="56" t="str">
        <f aca="false">IF('10 Mild Steel'!$C$15="","",'10 Mild Steel'!F15)</f>
        <v>Local</v>
      </c>
      <c r="H449" s="57" t="str">
        <f aca="false">IF('10 Mild Steel'!$C$15="","",'10 Mild Steel'!G15)</f>
        <v>lm</v>
      </c>
      <c r="I449" s="58" t="n">
        <f aca="false">IF('10 Mild Steel'!$C$15="","",'10 Mild Steel'!J15)</f>
        <v>25.85</v>
      </c>
      <c r="J449" s="58" t="n">
        <f aca="false">IF('10 Mild Steel'!$C$15="","",'10 Mild Steel'!K15)</f>
        <v>31.02</v>
      </c>
      <c r="K449" s="58" t="n">
        <f aca="false">IF('10 Mild Steel'!$C$15="","",'10 Mild Steel'!L15)</f>
        <v>32.57</v>
      </c>
      <c r="L449" s="57" t="str">
        <f aca="false">IF('10 Mild Steel'!$C$15="","",'10 Mild Steel'!M15)</f>
        <v>Indicative</v>
      </c>
      <c r="M449" s="59" t="str">
        <f aca="false">IF(D449="","",IF(AND(OR(Search!$C$6="All Categories",A449=Search!$C$6),OR(Search!$P$5="",ISNUMBER(SEARCH(" "&amp;Search!$P$5,N449))),OR(Search!$P$6="",ISNUMBER(SEARCH(" "&amp;Search!$P$6,N449))),OR(Search!$P$7="",ISNUMBER(SEARCH(" "&amp;Search!$P$7,N449))),OR(Search!$P$8="",ISNUMBER(SEARCH(" "&amp;Search!$P$8,N449))),OR(Search!$P$9="",ISNUMBER(SEARCH(" "&amp;Search!$P$9,N449))),OR(Search!$P$10="",ISNUMBER(SEARCH(" "&amp;Search!$P$10,N449)))),ROW(),""))</f>
        <v/>
      </c>
      <c r="N449" s="0" t="str">
        <f aca="false">IF(D449="",""," "&amp;SUBSTITUTE(SUBSTITUTE(SUBSTITUTE(SUBSTITUTE(SUBSTITUTE(SUBSTITUTE(SUBSTITUTE(B449&amp;" "&amp;C449&amp;" "&amp;D449&amp;" "&amp;E449&amp;" "&amp;F449&amp;" "&amp;G449&amp;" "&amp;H449&amp;" "&amp;'10 Mild Steel'!R15,"("," "),")"," "),"/"," "),"-"," "),","," "),";"," "),":"," ")&amp;" ")</f>
        <v> MS 011 RHS  Rectangular Hollow  MS rectangular hollow section 100 x 50 x 3.0 mm  6.71 kg m  Black Local lm 100x50 100x50x3.0 100x50x3 3.0mm rhs tube pipe box mild steel </v>
      </c>
    </row>
    <row r="450" customFormat="false" ht="22.35" hidden="false" customHeight="false" outlineLevel="0" collapsed="false">
      <c r="A450" s="56" t="str">
        <f aca="false">IF('10 Mild Steel'!$C$16="","","Mild Steel (MS) - Sections, Plates &amp; Sheets")</f>
        <v>Mild Steel (MS) - Sections, Plates &amp; Sheets</v>
      </c>
      <c r="B450" s="57" t="str">
        <f aca="false">IF('10 Mild Steel'!$C$16="","",'10 Mild Steel'!A16)</f>
        <v>MS-012</v>
      </c>
      <c r="C450" s="56" t="str">
        <f aca="false">IF('10 Mild Steel'!$C$16="","",'10 Mild Steel'!B16)</f>
        <v>RHS (Rectangular Hollow)</v>
      </c>
      <c r="D450" s="56" t="str">
        <f aca="false">IF('10 Mild Steel'!$C$16="","",'10 Mild Steel'!C16)</f>
        <v>MS rectangular hollow section</v>
      </c>
      <c r="E450" s="56" t="str">
        <f aca="false">IF('10 Mild Steel'!$C$16="","",'10 Mild Steel'!D16)</f>
        <v>100 x 50 x 4.0 mm (8.59 kg/m)</v>
      </c>
      <c r="F450" s="56" t="str">
        <f aca="false">IF('10 Mild Steel'!$C$16="","",'10 Mild Steel'!E16)</f>
        <v>Black</v>
      </c>
      <c r="G450" s="56" t="str">
        <f aca="false">IF('10 Mild Steel'!$C$16="","",'10 Mild Steel'!F16)</f>
        <v>Local</v>
      </c>
      <c r="H450" s="57" t="str">
        <f aca="false">IF('10 Mild Steel'!$C$16="","",'10 Mild Steel'!G16)</f>
        <v>lm</v>
      </c>
      <c r="I450" s="58" t="n">
        <f aca="false">IF('10 Mild Steel'!$C$16="","",'10 Mild Steel'!J16)</f>
        <v>33.08</v>
      </c>
      <c r="J450" s="58" t="n">
        <f aca="false">IF('10 Mild Steel'!$C$16="","",'10 Mild Steel'!K16)</f>
        <v>39.7</v>
      </c>
      <c r="K450" s="58" t="n">
        <f aca="false">IF('10 Mild Steel'!$C$16="","",'10 Mild Steel'!L16)</f>
        <v>41.69</v>
      </c>
      <c r="L450" s="57" t="str">
        <f aca="false">IF('10 Mild Steel'!$C$16="","",'10 Mild Steel'!M16)</f>
        <v>Indicative</v>
      </c>
      <c r="M450" s="59" t="str">
        <f aca="false">IF(D450="","",IF(AND(OR(Search!$C$6="All Categories",A450=Search!$C$6),OR(Search!$P$5="",ISNUMBER(SEARCH(" "&amp;Search!$P$5,N450))),OR(Search!$P$6="",ISNUMBER(SEARCH(" "&amp;Search!$P$6,N450))),OR(Search!$P$7="",ISNUMBER(SEARCH(" "&amp;Search!$P$7,N450))),OR(Search!$P$8="",ISNUMBER(SEARCH(" "&amp;Search!$P$8,N450))),OR(Search!$P$9="",ISNUMBER(SEARCH(" "&amp;Search!$P$9,N450))),OR(Search!$P$10="",ISNUMBER(SEARCH(" "&amp;Search!$P$10,N450)))),ROW(),""))</f>
        <v/>
      </c>
      <c r="N450" s="0" t="str">
        <f aca="false">IF(D450="",""," "&amp;SUBSTITUTE(SUBSTITUTE(SUBSTITUTE(SUBSTITUTE(SUBSTITUTE(SUBSTITUTE(SUBSTITUTE(B450&amp;" "&amp;C450&amp;" "&amp;D450&amp;" "&amp;E450&amp;" "&amp;F450&amp;" "&amp;G450&amp;" "&amp;H450&amp;" "&amp;'10 Mild Steel'!R16,"("," "),")"," "),"/"," "),"-"," "),","," "),";"," "),":"," ")&amp;" ")</f>
        <v> MS 012 RHS  Rectangular Hollow  MS rectangular hollow section 100 x 50 x 4.0 mm  8.59 kg m  Black Local lm 100x50 100x50x4.0 100x50x4 4.0mm rhs tube pipe box mild steel </v>
      </c>
    </row>
    <row r="451" customFormat="false" ht="22.35" hidden="false" customHeight="false" outlineLevel="0" collapsed="false">
      <c r="A451" s="56" t="str">
        <f aca="false">IF('10 Mild Steel'!$C$17="","","Mild Steel (MS) - Sections, Plates &amp; Sheets")</f>
        <v>Mild Steel (MS) - Sections, Plates &amp; Sheets</v>
      </c>
      <c r="B451" s="57" t="str">
        <f aca="false">IF('10 Mild Steel'!$C$17="","",'10 Mild Steel'!A17)</f>
        <v>MS-013</v>
      </c>
      <c r="C451" s="56" t="str">
        <f aca="false">IF('10 Mild Steel'!$C$17="","",'10 Mild Steel'!B17)</f>
        <v>RHS (Rectangular Hollow)</v>
      </c>
      <c r="D451" s="56" t="str">
        <f aca="false">IF('10 Mild Steel'!$C$17="","",'10 Mild Steel'!C17)</f>
        <v>MS rectangular hollow section</v>
      </c>
      <c r="E451" s="56" t="str">
        <f aca="false">IF('10 Mild Steel'!$C$17="","",'10 Mild Steel'!D17)</f>
        <v>150 x 100 x 5.0 mm (18.70 kg/m)</v>
      </c>
      <c r="F451" s="56" t="str">
        <f aca="false">IF('10 Mild Steel'!$C$17="","",'10 Mild Steel'!E17)</f>
        <v>Black</v>
      </c>
      <c r="G451" s="56" t="str">
        <f aca="false">IF('10 Mild Steel'!$C$17="","",'10 Mild Steel'!F17)</f>
        <v>Local</v>
      </c>
      <c r="H451" s="57" t="str">
        <f aca="false">IF('10 Mild Steel'!$C$17="","",'10 Mild Steel'!G17)</f>
        <v>lm</v>
      </c>
      <c r="I451" s="58" t="n">
        <f aca="false">IF('10 Mild Steel'!$C$17="","",'10 Mild Steel'!J17)</f>
        <v>72.03</v>
      </c>
      <c r="J451" s="58" t="n">
        <f aca="false">IF('10 Mild Steel'!$C$17="","",'10 Mild Steel'!K17)</f>
        <v>86.44</v>
      </c>
      <c r="K451" s="58" t="n">
        <f aca="false">IF('10 Mild Steel'!$C$17="","",'10 Mild Steel'!L17)</f>
        <v>90.76</v>
      </c>
      <c r="L451" s="57" t="str">
        <f aca="false">IF('10 Mild Steel'!$C$17="","",'10 Mild Steel'!M17)</f>
        <v>Indicative</v>
      </c>
      <c r="M451" s="59" t="str">
        <f aca="false">IF(D451="","",IF(AND(OR(Search!$C$6="All Categories",A451=Search!$C$6),OR(Search!$P$5="",ISNUMBER(SEARCH(" "&amp;Search!$P$5,N451))),OR(Search!$P$6="",ISNUMBER(SEARCH(" "&amp;Search!$P$6,N451))),OR(Search!$P$7="",ISNUMBER(SEARCH(" "&amp;Search!$P$7,N451))),OR(Search!$P$8="",ISNUMBER(SEARCH(" "&amp;Search!$P$8,N451))),OR(Search!$P$9="",ISNUMBER(SEARCH(" "&amp;Search!$P$9,N451))),OR(Search!$P$10="",ISNUMBER(SEARCH(" "&amp;Search!$P$10,N451)))),ROW(),""))</f>
        <v/>
      </c>
      <c r="N451" s="0" t="str">
        <f aca="false">IF(D451="",""," "&amp;SUBSTITUTE(SUBSTITUTE(SUBSTITUTE(SUBSTITUTE(SUBSTITUTE(SUBSTITUTE(SUBSTITUTE(B451&amp;" "&amp;C451&amp;" "&amp;D451&amp;" "&amp;E451&amp;" "&amp;F451&amp;" "&amp;G451&amp;" "&amp;H451&amp;" "&amp;'10 Mild Steel'!R17,"("," "),")"," "),"/"," "),"-"," "),","," "),";"," "),":"," ")&amp;" ")</f>
        <v> MS 013 RHS  Rectangular Hollow  MS rectangular hollow section 150 x 100 x 5.0 mm  18.70 kg m  Black Local lm 150x100 150x100x5.0 150x100x5 5.0mm rhs tube pipe box mild steel </v>
      </c>
    </row>
    <row r="452" customFormat="false" ht="22.35" hidden="false" customHeight="false" outlineLevel="0" collapsed="false">
      <c r="A452" s="56" t="str">
        <f aca="false">IF('10 Mild Steel'!$C$18="","","Mild Steel (MS) - Sections, Plates &amp; Sheets")</f>
        <v>Mild Steel (MS) - Sections, Plates &amp; Sheets</v>
      </c>
      <c r="B452" s="57" t="str">
        <f aca="false">IF('10 Mild Steel'!$C$18="","",'10 Mild Steel'!A18)</f>
        <v>MS-014</v>
      </c>
      <c r="C452" s="56" t="str">
        <f aca="false">IF('10 Mild Steel'!$C$18="","",'10 Mild Steel'!B18)</f>
        <v>RHS (Rectangular Hollow)</v>
      </c>
      <c r="D452" s="56" t="str">
        <f aca="false">IF('10 Mild Steel'!$C$18="","",'10 Mild Steel'!C18)</f>
        <v>MS rectangular hollow section</v>
      </c>
      <c r="E452" s="56" t="str">
        <f aca="false">IF('10 Mild Steel'!$C$18="","",'10 Mild Steel'!D18)</f>
        <v>200 x 100 x 6.0 mm (27.30 kg/m)</v>
      </c>
      <c r="F452" s="56" t="str">
        <f aca="false">IF('10 Mild Steel'!$C$18="","",'10 Mild Steel'!E18)</f>
        <v>Black</v>
      </c>
      <c r="G452" s="56" t="str">
        <f aca="false">IF('10 Mild Steel'!$C$18="","",'10 Mild Steel'!F18)</f>
        <v>Local</v>
      </c>
      <c r="H452" s="57" t="str">
        <f aca="false">IF('10 Mild Steel'!$C$18="","",'10 Mild Steel'!G18)</f>
        <v>lm</v>
      </c>
      <c r="I452" s="58" t="n">
        <f aca="false">IF('10 Mild Steel'!$C$18="","",'10 Mild Steel'!J18)</f>
        <v>105.16</v>
      </c>
      <c r="J452" s="58" t="n">
        <f aca="false">IF('10 Mild Steel'!$C$18="","",'10 Mild Steel'!K18)</f>
        <v>126.19</v>
      </c>
      <c r="K452" s="58" t="n">
        <f aca="false">IF('10 Mild Steel'!$C$18="","",'10 Mild Steel'!L18)</f>
        <v>132.5</v>
      </c>
      <c r="L452" s="57" t="str">
        <f aca="false">IF('10 Mild Steel'!$C$18="","",'10 Mild Steel'!M18)</f>
        <v>Indicative</v>
      </c>
      <c r="M452" s="59" t="str">
        <f aca="false">IF(D452="","",IF(AND(OR(Search!$C$6="All Categories",A452=Search!$C$6),OR(Search!$P$5="",ISNUMBER(SEARCH(" "&amp;Search!$P$5,N452))),OR(Search!$P$6="",ISNUMBER(SEARCH(" "&amp;Search!$P$6,N452))),OR(Search!$P$7="",ISNUMBER(SEARCH(" "&amp;Search!$P$7,N452))),OR(Search!$P$8="",ISNUMBER(SEARCH(" "&amp;Search!$P$8,N452))),OR(Search!$P$9="",ISNUMBER(SEARCH(" "&amp;Search!$P$9,N452))),OR(Search!$P$10="",ISNUMBER(SEARCH(" "&amp;Search!$P$10,N452)))),ROW(),""))</f>
        <v/>
      </c>
      <c r="N452" s="0" t="str">
        <f aca="false">IF(D452="",""," "&amp;SUBSTITUTE(SUBSTITUTE(SUBSTITUTE(SUBSTITUTE(SUBSTITUTE(SUBSTITUTE(SUBSTITUTE(B452&amp;" "&amp;C452&amp;" "&amp;D452&amp;" "&amp;E452&amp;" "&amp;F452&amp;" "&amp;G452&amp;" "&amp;H452&amp;" "&amp;'10 Mild Steel'!R18,"("," "),")"," "),"/"," "),"-"," "),","," "),";"," "),":"," ")&amp;" ")</f>
        <v> MS 014 RHS  Rectangular Hollow  MS rectangular hollow section 200 x 100 x 6.0 mm  27.30 kg m  Black Local lm 200x100 200x100x6.0 200x100x6 6.0mm rhs tube pipe box mild steel </v>
      </c>
    </row>
    <row r="453" customFormat="false" ht="22.35" hidden="false" customHeight="false" outlineLevel="0" collapsed="false">
      <c r="A453" s="56" t="str">
        <f aca="false">IF('10 Mild Steel'!$C$19="","","Mild Steel (MS) - Sections, Plates &amp; Sheets")</f>
        <v>Mild Steel (MS) - Sections, Plates &amp; Sheets</v>
      </c>
      <c r="B453" s="57" t="str">
        <f aca="false">IF('10 Mild Steel'!$C$19="","",'10 Mild Steel'!A19)</f>
        <v>MS-015</v>
      </c>
      <c r="C453" s="56" t="str">
        <f aca="false">IF('10 Mild Steel'!$C$19="","",'10 Mild Steel'!B19)</f>
        <v>Angles</v>
      </c>
      <c r="D453" s="56" t="str">
        <f aca="false">IF('10 Mild Steel'!$C$19="","",'10 Mild Steel'!C19)</f>
        <v>MS equal angle</v>
      </c>
      <c r="E453" s="56" t="str">
        <f aca="false">IF('10 Mild Steel'!$C$19="","",'10 Mild Steel'!D19)</f>
        <v>40 x 40 x 4 mm (2.42 kg/m)</v>
      </c>
      <c r="F453" s="56" t="str">
        <f aca="false">IF('10 Mild Steel'!$C$19="","",'10 Mild Steel'!E19)</f>
        <v>Black</v>
      </c>
      <c r="G453" s="56" t="str">
        <f aca="false">IF('10 Mild Steel'!$C$19="","",'10 Mild Steel'!F19)</f>
        <v>Local</v>
      </c>
      <c r="H453" s="57" t="str">
        <f aca="false">IF('10 Mild Steel'!$C$19="","",'10 Mild Steel'!G19)</f>
        <v>lm</v>
      </c>
      <c r="I453" s="58" t="n">
        <f aca="false">IF('10 Mild Steel'!$C$19="","",'10 Mild Steel'!J19)</f>
        <v>9.32</v>
      </c>
      <c r="J453" s="58" t="n">
        <f aca="false">IF('10 Mild Steel'!$C$19="","",'10 Mild Steel'!K19)</f>
        <v>11.18</v>
      </c>
      <c r="K453" s="58" t="n">
        <f aca="false">IF('10 Mild Steel'!$C$19="","",'10 Mild Steel'!L19)</f>
        <v>11.74</v>
      </c>
      <c r="L453" s="57" t="str">
        <f aca="false">IF('10 Mild Steel'!$C$19="","",'10 Mild Steel'!M19)</f>
        <v>Indicative</v>
      </c>
      <c r="M453" s="59" t="str">
        <f aca="false">IF(D453="","",IF(AND(OR(Search!$C$6="All Categories",A453=Search!$C$6),OR(Search!$P$5="",ISNUMBER(SEARCH(" "&amp;Search!$P$5,N453))),OR(Search!$P$6="",ISNUMBER(SEARCH(" "&amp;Search!$P$6,N453))),OR(Search!$P$7="",ISNUMBER(SEARCH(" "&amp;Search!$P$7,N453))),OR(Search!$P$8="",ISNUMBER(SEARCH(" "&amp;Search!$P$8,N453))),OR(Search!$P$9="",ISNUMBER(SEARCH(" "&amp;Search!$P$9,N453))),OR(Search!$P$10="",ISNUMBER(SEARCH(" "&amp;Search!$P$10,N453)))),ROW(),""))</f>
        <v/>
      </c>
      <c r="N453" s="0" t="str">
        <f aca="false">IF(D453="",""," "&amp;SUBSTITUTE(SUBSTITUTE(SUBSTITUTE(SUBSTITUTE(SUBSTITUTE(SUBSTITUTE(SUBSTITUTE(B453&amp;" "&amp;C453&amp;" "&amp;D453&amp;" "&amp;E453&amp;" "&amp;F453&amp;" "&amp;G453&amp;" "&amp;H453&amp;" "&amp;'10 Mild Steel'!R19,"("," "),")"," "),"/"," "),"-"," "),","," "),";"," "),":"," ")&amp;" ")</f>
        <v> MS 015 Angles MS equal angle 40 x 40 x 4 mm  2.42 kg m  Black Local lm 40x40 40x40x4 4mm angle l mild steel </v>
      </c>
    </row>
    <row r="454" customFormat="false" ht="22.35" hidden="false" customHeight="false" outlineLevel="0" collapsed="false">
      <c r="A454" s="56" t="str">
        <f aca="false">IF('10 Mild Steel'!$C$20="","","Mild Steel (MS) - Sections, Plates &amp; Sheets")</f>
        <v>Mild Steel (MS) - Sections, Plates &amp; Sheets</v>
      </c>
      <c r="B454" s="57" t="str">
        <f aca="false">IF('10 Mild Steel'!$C$20="","",'10 Mild Steel'!A20)</f>
        <v>MS-016</v>
      </c>
      <c r="C454" s="56" t="str">
        <f aca="false">IF('10 Mild Steel'!$C$20="","",'10 Mild Steel'!B20)</f>
        <v>Angles</v>
      </c>
      <c r="D454" s="56" t="str">
        <f aca="false">IF('10 Mild Steel'!$C$20="","",'10 Mild Steel'!C20)</f>
        <v>MS equal angle</v>
      </c>
      <c r="E454" s="56" t="str">
        <f aca="false">IF('10 Mild Steel'!$C$20="","",'10 Mild Steel'!D20)</f>
        <v>50 x 50 x 5 mm (3.77 kg/m)</v>
      </c>
      <c r="F454" s="56" t="str">
        <f aca="false">IF('10 Mild Steel'!$C$20="","",'10 Mild Steel'!E20)</f>
        <v>Black</v>
      </c>
      <c r="G454" s="56" t="str">
        <f aca="false">IF('10 Mild Steel'!$C$20="","",'10 Mild Steel'!F20)</f>
        <v>Local</v>
      </c>
      <c r="H454" s="57" t="str">
        <f aca="false">IF('10 Mild Steel'!$C$20="","",'10 Mild Steel'!G20)</f>
        <v>lm</v>
      </c>
      <c r="I454" s="58" t="n">
        <f aca="false">IF('10 Mild Steel'!$C$20="","",'10 Mild Steel'!J20)</f>
        <v>14.52</v>
      </c>
      <c r="J454" s="58" t="n">
        <f aca="false">IF('10 Mild Steel'!$C$20="","",'10 Mild Steel'!K20)</f>
        <v>17.42</v>
      </c>
      <c r="K454" s="58" t="n">
        <f aca="false">IF('10 Mild Steel'!$C$20="","",'10 Mild Steel'!L20)</f>
        <v>18.29</v>
      </c>
      <c r="L454" s="57" t="str">
        <f aca="false">IF('10 Mild Steel'!$C$20="","",'10 Mild Steel'!M20)</f>
        <v>Indicative</v>
      </c>
      <c r="M454" s="59" t="str">
        <f aca="false">IF(D454="","",IF(AND(OR(Search!$C$6="All Categories",A454=Search!$C$6),OR(Search!$P$5="",ISNUMBER(SEARCH(" "&amp;Search!$P$5,N454))),OR(Search!$P$6="",ISNUMBER(SEARCH(" "&amp;Search!$P$6,N454))),OR(Search!$P$7="",ISNUMBER(SEARCH(" "&amp;Search!$P$7,N454))),OR(Search!$P$8="",ISNUMBER(SEARCH(" "&amp;Search!$P$8,N454))),OR(Search!$P$9="",ISNUMBER(SEARCH(" "&amp;Search!$P$9,N454))),OR(Search!$P$10="",ISNUMBER(SEARCH(" "&amp;Search!$P$10,N454)))),ROW(),""))</f>
        <v/>
      </c>
      <c r="N454" s="0" t="str">
        <f aca="false">IF(D454="",""," "&amp;SUBSTITUTE(SUBSTITUTE(SUBSTITUTE(SUBSTITUTE(SUBSTITUTE(SUBSTITUTE(SUBSTITUTE(B454&amp;" "&amp;C454&amp;" "&amp;D454&amp;" "&amp;E454&amp;" "&amp;F454&amp;" "&amp;G454&amp;" "&amp;H454&amp;" "&amp;'10 Mild Steel'!R20,"("," "),")"," "),"/"," "),"-"," "),","," "),";"," "),":"," ")&amp;" ")</f>
        <v> MS 016 Angles MS equal angle 50 x 50 x 5 mm  3.77 kg m  Black Local lm 50x50 50x50x5 5mm angle l mild steel </v>
      </c>
    </row>
    <row r="455" customFormat="false" ht="22.35" hidden="false" customHeight="false" outlineLevel="0" collapsed="false">
      <c r="A455" s="56" t="str">
        <f aca="false">IF('10 Mild Steel'!$C$21="","","Mild Steel (MS) - Sections, Plates &amp; Sheets")</f>
        <v>Mild Steel (MS) - Sections, Plates &amp; Sheets</v>
      </c>
      <c r="B455" s="57" t="str">
        <f aca="false">IF('10 Mild Steel'!$C$21="","",'10 Mild Steel'!A21)</f>
        <v>MS-017</v>
      </c>
      <c r="C455" s="56" t="str">
        <f aca="false">IF('10 Mild Steel'!$C$21="","",'10 Mild Steel'!B21)</f>
        <v>Angles</v>
      </c>
      <c r="D455" s="56" t="str">
        <f aca="false">IF('10 Mild Steel'!$C$21="","",'10 Mild Steel'!C21)</f>
        <v>MS equal angle</v>
      </c>
      <c r="E455" s="56" t="str">
        <f aca="false">IF('10 Mild Steel'!$C$21="","",'10 Mild Steel'!D21)</f>
        <v>65 x 65 x 6 mm (5.91 kg/m)</v>
      </c>
      <c r="F455" s="56" t="str">
        <f aca="false">IF('10 Mild Steel'!$C$21="","",'10 Mild Steel'!E21)</f>
        <v>Black</v>
      </c>
      <c r="G455" s="56" t="str">
        <f aca="false">IF('10 Mild Steel'!$C$21="","",'10 Mild Steel'!F21)</f>
        <v>Local</v>
      </c>
      <c r="H455" s="57" t="str">
        <f aca="false">IF('10 Mild Steel'!$C$21="","",'10 Mild Steel'!G21)</f>
        <v>lm</v>
      </c>
      <c r="I455" s="58" t="n">
        <f aca="false">IF('10 Mild Steel'!$C$21="","",'10 Mild Steel'!J21)</f>
        <v>22.77</v>
      </c>
      <c r="J455" s="58" t="n">
        <f aca="false">IF('10 Mild Steel'!$C$21="","",'10 Mild Steel'!K21)</f>
        <v>27.32</v>
      </c>
      <c r="K455" s="58" t="n">
        <f aca="false">IF('10 Mild Steel'!$C$21="","",'10 Mild Steel'!L21)</f>
        <v>28.69</v>
      </c>
      <c r="L455" s="57" t="str">
        <f aca="false">IF('10 Mild Steel'!$C$21="","",'10 Mild Steel'!M21)</f>
        <v>Indicative</v>
      </c>
      <c r="M455" s="59" t="str">
        <f aca="false">IF(D455="","",IF(AND(OR(Search!$C$6="All Categories",A455=Search!$C$6),OR(Search!$P$5="",ISNUMBER(SEARCH(" "&amp;Search!$P$5,N455))),OR(Search!$P$6="",ISNUMBER(SEARCH(" "&amp;Search!$P$6,N455))),OR(Search!$P$7="",ISNUMBER(SEARCH(" "&amp;Search!$P$7,N455))),OR(Search!$P$8="",ISNUMBER(SEARCH(" "&amp;Search!$P$8,N455))),OR(Search!$P$9="",ISNUMBER(SEARCH(" "&amp;Search!$P$9,N455))),OR(Search!$P$10="",ISNUMBER(SEARCH(" "&amp;Search!$P$10,N455)))),ROW(),""))</f>
        <v/>
      </c>
      <c r="N455" s="0" t="str">
        <f aca="false">IF(D455="",""," "&amp;SUBSTITUTE(SUBSTITUTE(SUBSTITUTE(SUBSTITUTE(SUBSTITUTE(SUBSTITUTE(SUBSTITUTE(B455&amp;" "&amp;C455&amp;" "&amp;D455&amp;" "&amp;E455&amp;" "&amp;F455&amp;" "&amp;G455&amp;" "&amp;H455&amp;" "&amp;'10 Mild Steel'!R21,"("," "),")"," "),"/"," "),"-"," "),","," "),";"," "),":"," ")&amp;" ")</f>
        <v> MS 017 Angles MS equal angle 65 x 65 x 6 mm  5.91 kg m  Black Local lm 65x65 65x65x6 6mm angle l mild steel </v>
      </c>
    </row>
    <row r="456" customFormat="false" ht="22.35" hidden="false" customHeight="false" outlineLevel="0" collapsed="false">
      <c r="A456" s="56" t="str">
        <f aca="false">IF('10 Mild Steel'!$C$22="","","Mild Steel (MS) - Sections, Plates &amp; Sheets")</f>
        <v>Mild Steel (MS) - Sections, Plates &amp; Sheets</v>
      </c>
      <c r="B456" s="57" t="str">
        <f aca="false">IF('10 Mild Steel'!$C$22="","",'10 Mild Steel'!A22)</f>
        <v>MS-018</v>
      </c>
      <c r="C456" s="56" t="str">
        <f aca="false">IF('10 Mild Steel'!$C$22="","",'10 Mild Steel'!B22)</f>
        <v>Angles</v>
      </c>
      <c r="D456" s="56" t="str">
        <f aca="false">IF('10 Mild Steel'!$C$22="","",'10 Mild Steel'!C22)</f>
        <v>MS equal angle</v>
      </c>
      <c r="E456" s="56" t="str">
        <f aca="false">IF('10 Mild Steel'!$C$22="","",'10 Mild Steel'!D22)</f>
        <v>75 x 75 x 6 mm (6.85 kg/m)</v>
      </c>
      <c r="F456" s="56" t="str">
        <f aca="false">IF('10 Mild Steel'!$C$22="","",'10 Mild Steel'!E22)</f>
        <v>Black</v>
      </c>
      <c r="G456" s="56" t="str">
        <f aca="false">IF('10 Mild Steel'!$C$22="","",'10 Mild Steel'!F22)</f>
        <v>Local</v>
      </c>
      <c r="H456" s="57" t="str">
        <f aca="false">IF('10 Mild Steel'!$C$22="","",'10 Mild Steel'!G22)</f>
        <v>lm</v>
      </c>
      <c r="I456" s="58" t="n">
        <f aca="false">IF('10 Mild Steel'!$C$22="","",'10 Mild Steel'!J22)</f>
        <v>26.39</v>
      </c>
      <c r="J456" s="58" t="n">
        <f aca="false">IF('10 Mild Steel'!$C$22="","",'10 Mild Steel'!K22)</f>
        <v>31.67</v>
      </c>
      <c r="K456" s="58" t="n">
        <f aca="false">IF('10 Mild Steel'!$C$22="","",'10 Mild Steel'!L22)</f>
        <v>33.25</v>
      </c>
      <c r="L456" s="57" t="str">
        <f aca="false">IF('10 Mild Steel'!$C$22="","",'10 Mild Steel'!M22)</f>
        <v>Indicative</v>
      </c>
      <c r="M456" s="59" t="str">
        <f aca="false">IF(D456="","",IF(AND(OR(Search!$C$6="All Categories",A456=Search!$C$6),OR(Search!$P$5="",ISNUMBER(SEARCH(" "&amp;Search!$P$5,N456))),OR(Search!$P$6="",ISNUMBER(SEARCH(" "&amp;Search!$P$6,N456))),OR(Search!$P$7="",ISNUMBER(SEARCH(" "&amp;Search!$P$7,N456))),OR(Search!$P$8="",ISNUMBER(SEARCH(" "&amp;Search!$P$8,N456))),OR(Search!$P$9="",ISNUMBER(SEARCH(" "&amp;Search!$P$9,N456))),OR(Search!$P$10="",ISNUMBER(SEARCH(" "&amp;Search!$P$10,N456)))),ROW(),""))</f>
        <v/>
      </c>
      <c r="N456" s="0" t="str">
        <f aca="false">IF(D456="",""," "&amp;SUBSTITUTE(SUBSTITUTE(SUBSTITUTE(SUBSTITUTE(SUBSTITUTE(SUBSTITUTE(SUBSTITUTE(B456&amp;" "&amp;C456&amp;" "&amp;D456&amp;" "&amp;E456&amp;" "&amp;F456&amp;" "&amp;G456&amp;" "&amp;H456&amp;" "&amp;'10 Mild Steel'!R22,"("," "),")"," "),"/"," "),"-"," "),","," "),";"," "),":"," ")&amp;" ")</f>
        <v> MS 018 Angles MS equal angle 75 x 75 x 6 mm  6.85 kg m  Black Local lm 75x75 75x75x6 6mm angle l mild steel </v>
      </c>
    </row>
    <row r="457" customFormat="false" ht="22.35" hidden="false" customHeight="false" outlineLevel="0" collapsed="false">
      <c r="A457" s="56" t="str">
        <f aca="false">IF('10 Mild Steel'!$C$23="","","Mild Steel (MS) - Sections, Plates &amp; Sheets")</f>
        <v>Mild Steel (MS) - Sections, Plates &amp; Sheets</v>
      </c>
      <c r="B457" s="57" t="str">
        <f aca="false">IF('10 Mild Steel'!$C$23="","",'10 Mild Steel'!A23)</f>
        <v>MS-019</v>
      </c>
      <c r="C457" s="56" t="str">
        <f aca="false">IF('10 Mild Steel'!$C$23="","",'10 Mild Steel'!B23)</f>
        <v>Angles</v>
      </c>
      <c r="D457" s="56" t="str">
        <f aca="false">IF('10 Mild Steel'!$C$23="","",'10 Mild Steel'!C23)</f>
        <v>MS equal angle</v>
      </c>
      <c r="E457" s="56" t="str">
        <f aca="false">IF('10 Mild Steel'!$C$23="","",'10 Mild Steel'!D23)</f>
        <v>100 x 100 x 8 mm (12.20 kg/m)</v>
      </c>
      <c r="F457" s="56" t="str">
        <f aca="false">IF('10 Mild Steel'!$C$23="","",'10 Mild Steel'!E23)</f>
        <v>Black</v>
      </c>
      <c r="G457" s="56" t="str">
        <f aca="false">IF('10 Mild Steel'!$C$23="","",'10 Mild Steel'!F23)</f>
        <v>Local</v>
      </c>
      <c r="H457" s="57" t="str">
        <f aca="false">IF('10 Mild Steel'!$C$23="","",'10 Mild Steel'!G23)</f>
        <v>lm</v>
      </c>
      <c r="I457" s="58" t="n">
        <f aca="false">IF('10 Mild Steel'!$C$23="","",'10 Mild Steel'!J23)</f>
        <v>46.99</v>
      </c>
      <c r="J457" s="58" t="n">
        <f aca="false">IF('10 Mild Steel'!$C$23="","",'10 Mild Steel'!K23)</f>
        <v>56.39</v>
      </c>
      <c r="K457" s="58" t="n">
        <f aca="false">IF('10 Mild Steel'!$C$23="","",'10 Mild Steel'!L23)</f>
        <v>59.21</v>
      </c>
      <c r="L457" s="57" t="str">
        <f aca="false">IF('10 Mild Steel'!$C$23="","",'10 Mild Steel'!M23)</f>
        <v>Indicative</v>
      </c>
      <c r="M457" s="59" t="str">
        <f aca="false">IF(D457="","",IF(AND(OR(Search!$C$6="All Categories",A457=Search!$C$6),OR(Search!$P$5="",ISNUMBER(SEARCH(" "&amp;Search!$P$5,N457))),OR(Search!$P$6="",ISNUMBER(SEARCH(" "&amp;Search!$P$6,N457))),OR(Search!$P$7="",ISNUMBER(SEARCH(" "&amp;Search!$P$7,N457))),OR(Search!$P$8="",ISNUMBER(SEARCH(" "&amp;Search!$P$8,N457))),OR(Search!$P$9="",ISNUMBER(SEARCH(" "&amp;Search!$P$9,N457))),OR(Search!$P$10="",ISNUMBER(SEARCH(" "&amp;Search!$P$10,N457)))),ROW(),""))</f>
        <v/>
      </c>
      <c r="N457" s="0" t="str">
        <f aca="false">IF(D457="",""," "&amp;SUBSTITUTE(SUBSTITUTE(SUBSTITUTE(SUBSTITUTE(SUBSTITUTE(SUBSTITUTE(SUBSTITUTE(B457&amp;" "&amp;C457&amp;" "&amp;D457&amp;" "&amp;E457&amp;" "&amp;F457&amp;" "&amp;G457&amp;" "&amp;H457&amp;" "&amp;'10 Mild Steel'!R23,"("," "),")"," "),"/"," "),"-"," "),","," "),";"," "),":"," ")&amp;" ")</f>
        <v> MS 019 Angles MS equal angle 100 x 100 x 8 mm  12.20 kg m  Black Local lm 100x100 100x100x8 8mm angle l mild steel </v>
      </c>
    </row>
    <row r="458" customFormat="false" ht="22.35" hidden="false" customHeight="false" outlineLevel="0" collapsed="false">
      <c r="A458" s="56" t="str">
        <f aca="false">IF('10 Mild Steel'!$C$24="","","Mild Steel (MS) - Sections, Plates &amp; Sheets")</f>
        <v>Mild Steel (MS) - Sections, Plates &amp; Sheets</v>
      </c>
      <c r="B458" s="57" t="str">
        <f aca="false">IF('10 Mild Steel'!$C$24="","",'10 Mild Steel'!A24)</f>
        <v>MS-020</v>
      </c>
      <c r="C458" s="56" t="str">
        <f aca="false">IF('10 Mild Steel'!$C$24="","",'10 Mild Steel'!B24)</f>
        <v>Channels &amp; Beams</v>
      </c>
      <c r="D458" s="56" t="str">
        <f aca="false">IF('10 Mild Steel'!$C$24="","",'10 Mild Steel'!C24)</f>
        <v>MS parallel flange channel (PFC)</v>
      </c>
      <c r="E458" s="56" t="str">
        <f aca="false">IF('10 Mild Steel'!$C$24="","",'10 Mild Steel'!D24)</f>
        <v>100 x 50 mm (10.20 kg/m)</v>
      </c>
      <c r="F458" s="56" t="str">
        <f aca="false">IF('10 Mild Steel'!$C$24="","",'10 Mild Steel'!E24)</f>
        <v>Black</v>
      </c>
      <c r="G458" s="56" t="str">
        <f aca="false">IF('10 Mild Steel'!$C$24="","",'10 Mild Steel'!F24)</f>
        <v>Local / Imported</v>
      </c>
      <c r="H458" s="57" t="str">
        <f aca="false">IF('10 Mild Steel'!$C$24="","",'10 Mild Steel'!G24)</f>
        <v>lm</v>
      </c>
      <c r="I458" s="58" t="n">
        <f aca="false">IF('10 Mild Steel'!$C$24="","",'10 Mild Steel'!J24)</f>
        <v>39.29</v>
      </c>
      <c r="J458" s="58" t="n">
        <f aca="false">IF('10 Mild Steel'!$C$24="","",'10 Mild Steel'!K24)</f>
        <v>47.15</v>
      </c>
      <c r="K458" s="58" t="n">
        <f aca="false">IF('10 Mild Steel'!$C$24="","",'10 Mild Steel'!L24)</f>
        <v>49.51</v>
      </c>
      <c r="L458" s="57" t="str">
        <f aca="false">IF('10 Mild Steel'!$C$24="","",'10 Mild Steel'!M24)</f>
        <v>Indicative</v>
      </c>
      <c r="M458" s="59" t="str">
        <f aca="false">IF(D458="","",IF(AND(OR(Search!$C$6="All Categories",A458=Search!$C$6),OR(Search!$P$5="",ISNUMBER(SEARCH(" "&amp;Search!$P$5,N458))),OR(Search!$P$6="",ISNUMBER(SEARCH(" "&amp;Search!$P$6,N458))),OR(Search!$P$7="",ISNUMBER(SEARCH(" "&amp;Search!$P$7,N458))),OR(Search!$P$8="",ISNUMBER(SEARCH(" "&amp;Search!$P$8,N458))),OR(Search!$P$9="",ISNUMBER(SEARCH(" "&amp;Search!$P$9,N458))),OR(Search!$P$10="",ISNUMBER(SEARCH(" "&amp;Search!$P$10,N458)))),ROW(),""))</f>
        <v/>
      </c>
      <c r="N458" s="0" t="str">
        <f aca="false">IF(D458="",""," "&amp;SUBSTITUTE(SUBSTITUTE(SUBSTITUTE(SUBSTITUTE(SUBSTITUTE(SUBSTITUTE(SUBSTITUTE(B458&amp;" "&amp;C458&amp;" "&amp;D458&amp;" "&amp;E458&amp;" "&amp;F458&amp;" "&amp;G458&amp;" "&amp;H458&amp;" "&amp;'10 Mild Steel'!R24,"("," "),")"," "),"/"," "),"-"," "),","," "),";"," "),":"," ")&amp;" ")</f>
        <v> MS 020 Channels &amp; Beams MS parallel flange channel  PFC  100 x 50 mm  10.20 kg m  Black Local   Imported lm 100x50 50mm pfc channel c mild steel </v>
      </c>
    </row>
    <row r="459" customFormat="false" ht="22.35" hidden="false" customHeight="false" outlineLevel="0" collapsed="false">
      <c r="A459" s="56" t="str">
        <f aca="false">IF('10 Mild Steel'!$C$25="","","Mild Steel (MS) - Sections, Plates &amp; Sheets")</f>
        <v>Mild Steel (MS) - Sections, Plates &amp; Sheets</v>
      </c>
      <c r="B459" s="57" t="str">
        <f aca="false">IF('10 Mild Steel'!$C$25="","",'10 Mild Steel'!A25)</f>
        <v>MS-021</v>
      </c>
      <c r="C459" s="56" t="str">
        <f aca="false">IF('10 Mild Steel'!$C$25="","",'10 Mild Steel'!B25)</f>
        <v>Channels &amp; Beams</v>
      </c>
      <c r="D459" s="56" t="str">
        <f aca="false">IF('10 Mild Steel'!$C$25="","",'10 Mild Steel'!C25)</f>
        <v>MS parallel flange channel (PFC)</v>
      </c>
      <c r="E459" s="56" t="str">
        <f aca="false">IF('10 Mild Steel'!$C$25="","",'10 Mild Steel'!D25)</f>
        <v>150 x 75 mm (17.90 kg/m)</v>
      </c>
      <c r="F459" s="56" t="str">
        <f aca="false">IF('10 Mild Steel'!$C$25="","",'10 Mild Steel'!E25)</f>
        <v>Black</v>
      </c>
      <c r="G459" s="56" t="str">
        <f aca="false">IF('10 Mild Steel'!$C$25="","",'10 Mild Steel'!F25)</f>
        <v>Local / Imported</v>
      </c>
      <c r="H459" s="57" t="str">
        <f aca="false">IF('10 Mild Steel'!$C$25="","",'10 Mild Steel'!G25)</f>
        <v>lm</v>
      </c>
      <c r="I459" s="58" t="n">
        <f aca="false">IF('10 Mild Steel'!$C$25="","",'10 Mild Steel'!J25)</f>
        <v>68.95</v>
      </c>
      <c r="J459" s="58" t="n">
        <f aca="false">IF('10 Mild Steel'!$C$25="","",'10 Mild Steel'!K25)</f>
        <v>82.74</v>
      </c>
      <c r="K459" s="58" t="n">
        <f aca="false">IF('10 Mild Steel'!$C$25="","",'10 Mild Steel'!L25)</f>
        <v>86.88</v>
      </c>
      <c r="L459" s="57" t="str">
        <f aca="false">IF('10 Mild Steel'!$C$25="","",'10 Mild Steel'!M25)</f>
        <v>Indicative</v>
      </c>
      <c r="M459" s="59" t="str">
        <f aca="false">IF(D459="","",IF(AND(OR(Search!$C$6="All Categories",A459=Search!$C$6),OR(Search!$P$5="",ISNUMBER(SEARCH(" "&amp;Search!$P$5,N459))),OR(Search!$P$6="",ISNUMBER(SEARCH(" "&amp;Search!$P$6,N459))),OR(Search!$P$7="",ISNUMBER(SEARCH(" "&amp;Search!$P$7,N459))),OR(Search!$P$8="",ISNUMBER(SEARCH(" "&amp;Search!$P$8,N459))),OR(Search!$P$9="",ISNUMBER(SEARCH(" "&amp;Search!$P$9,N459))),OR(Search!$P$10="",ISNUMBER(SEARCH(" "&amp;Search!$P$10,N459)))),ROW(),""))</f>
        <v/>
      </c>
      <c r="N459" s="0" t="str">
        <f aca="false">IF(D459="",""," "&amp;SUBSTITUTE(SUBSTITUTE(SUBSTITUTE(SUBSTITUTE(SUBSTITUTE(SUBSTITUTE(SUBSTITUTE(B459&amp;" "&amp;C459&amp;" "&amp;D459&amp;" "&amp;E459&amp;" "&amp;F459&amp;" "&amp;G459&amp;" "&amp;H459&amp;" "&amp;'10 Mild Steel'!R25,"("," "),")"," "),"/"," "),"-"," "),","," "),";"," "),":"," ")&amp;" ")</f>
        <v> MS 021 Channels &amp; Beams MS parallel flange channel  PFC  150 x 75 mm  17.90 kg m  Black Local   Imported lm 150x75 75mm pfc channel c mild steel </v>
      </c>
    </row>
    <row r="460" customFormat="false" ht="22.35" hidden="false" customHeight="false" outlineLevel="0" collapsed="false">
      <c r="A460" s="56" t="str">
        <f aca="false">IF('10 Mild Steel'!$C$26="","","Mild Steel (MS) - Sections, Plates &amp; Sheets")</f>
        <v>Mild Steel (MS) - Sections, Plates &amp; Sheets</v>
      </c>
      <c r="B460" s="57" t="str">
        <f aca="false">IF('10 Mild Steel'!$C$26="","",'10 Mild Steel'!A26)</f>
        <v>MS-022</v>
      </c>
      <c r="C460" s="56" t="str">
        <f aca="false">IF('10 Mild Steel'!$C$26="","",'10 Mild Steel'!B26)</f>
        <v>Channels &amp; Beams</v>
      </c>
      <c r="D460" s="56" t="str">
        <f aca="false">IF('10 Mild Steel'!$C$26="","",'10 Mild Steel'!C26)</f>
        <v>MS parallel flange channel (PFC)</v>
      </c>
      <c r="E460" s="56" t="str">
        <f aca="false">IF('10 Mild Steel'!$C$26="","",'10 Mild Steel'!D26)</f>
        <v>200 x 75 mm (23.40 kg/m)</v>
      </c>
      <c r="F460" s="56" t="str">
        <f aca="false">IF('10 Mild Steel'!$C$26="","",'10 Mild Steel'!E26)</f>
        <v>Black</v>
      </c>
      <c r="G460" s="56" t="str">
        <f aca="false">IF('10 Mild Steel'!$C$26="","",'10 Mild Steel'!F26)</f>
        <v>Local / Imported</v>
      </c>
      <c r="H460" s="57" t="str">
        <f aca="false">IF('10 Mild Steel'!$C$26="","",'10 Mild Steel'!G26)</f>
        <v>lm</v>
      </c>
      <c r="I460" s="58" t="n">
        <f aca="false">IF('10 Mild Steel'!$C$26="","",'10 Mild Steel'!J26)</f>
        <v>90.14</v>
      </c>
      <c r="J460" s="58" t="n">
        <f aca="false">IF('10 Mild Steel'!$C$26="","",'10 Mild Steel'!K26)</f>
        <v>108.17</v>
      </c>
      <c r="K460" s="58" t="n">
        <f aca="false">IF('10 Mild Steel'!$C$26="","",'10 Mild Steel'!L26)</f>
        <v>113.58</v>
      </c>
      <c r="L460" s="57" t="str">
        <f aca="false">IF('10 Mild Steel'!$C$26="","",'10 Mild Steel'!M26)</f>
        <v>Indicative</v>
      </c>
      <c r="M460" s="59" t="str">
        <f aca="false">IF(D460="","",IF(AND(OR(Search!$C$6="All Categories",A460=Search!$C$6),OR(Search!$P$5="",ISNUMBER(SEARCH(" "&amp;Search!$P$5,N460))),OR(Search!$P$6="",ISNUMBER(SEARCH(" "&amp;Search!$P$6,N460))),OR(Search!$P$7="",ISNUMBER(SEARCH(" "&amp;Search!$P$7,N460))),OR(Search!$P$8="",ISNUMBER(SEARCH(" "&amp;Search!$P$8,N460))),OR(Search!$P$9="",ISNUMBER(SEARCH(" "&amp;Search!$P$9,N460))),OR(Search!$P$10="",ISNUMBER(SEARCH(" "&amp;Search!$P$10,N460)))),ROW(),""))</f>
        <v/>
      </c>
      <c r="N460" s="0" t="str">
        <f aca="false">IF(D460="",""," "&amp;SUBSTITUTE(SUBSTITUTE(SUBSTITUTE(SUBSTITUTE(SUBSTITUTE(SUBSTITUTE(SUBSTITUTE(B460&amp;" "&amp;C460&amp;" "&amp;D460&amp;" "&amp;E460&amp;" "&amp;F460&amp;" "&amp;G460&amp;" "&amp;H460&amp;" "&amp;'10 Mild Steel'!R26,"("," "),")"," "),"/"," "),"-"," "),","," "),";"," "),":"," ")&amp;" ")</f>
        <v> MS 022 Channels &amp; Beams MS parallel flange channel  PFC  200 x 75 mm  23.40 kg m  Black Local   Imported lm 200x75 75mm pfc channel c mild steel </v>
      </c>
    </row>
    <row r="461" customFormat="false" ht="22.35" hidden="false" customHeight="false" outlineLevel="0" collapsed="false">
      <c r="A461" s="56" t="str">
        <f aca="false">IF('10 Mild Steel'!$C$27="","","Mild Steel (MS) - Sections, Plates &amp; Sheets")</f>
        <v>Mild Steel (MS) - Sections, Plates &amp; Sheets</v>
      </c>
      <c r="B461" s="57" t="str">
        <f aca="false">IF('10 Mild Steel'!$C$27="","",'10 Mild Steel'!A27)</f>
        <v>MS-023</v>
      </c>
      <c r="C461" s="56" t="str">
        <f aca="false">IF('10 Mild Steel'!$C$27="","",'10 Mild Steel'!B27)</f>
        <v>Channels &amp; Beams</v>
      </c>
      <c r="D461" s="56" t="str">
        <f aca="false">IF('10 Mild Steel'!$C$27="","",'10 Mild Steel'!C27)</f>
        <v>MS I-beam IPE 100</v>
      </c>
      <c r="E461" s="56" t="str">
        <f aca="false">IF('10 Mild Steel'!$C$27="","",'10 Mild Steel'!D27)</f>
        <v>8.10 kg/m</v>
      </c>
      <c r="F461" s="56" t="str">
        <f aca="false">IF('10 Mild Steel'!$C$27="","",'10 Mild Steel'!E27)</f>
        <v>Black</v>
      </c>
      <c r="G461" s="56" t="str">
        <f aca="false">IF('10 Mild Steel'!$C$27="","",'10 Mild Steel'!F27)</f>
        <v>Imported</v>
      </c>
      <c r="H461" s="57" t="str">
        <f aca="false">IF('10 Mild Steel'!$C$27="","",'10 Mild Steel'!G27)</f>
        <v>lm</v>
      </c>
      <c r="I461" s="58" t="n">
        <f aca="false">IF('10 Mild Steel'!$C$27="","",'10 Mild Steel'!J27)</f>
        <v>31.2</v>
      </c>
      <c r="J461" s="58" t="n">
        <f aca="false">IF('10 Mild Steel'!$C$27="","",'10 Mild Steel'!K27)</f>
        <v>37.44</v>
      </c>
      <c r="K461" s="58" t="n">
        <f aca="false">IF('10 Mild Steel'!$C$27="","",'10 Mild Steel'!L27)</f>
        <v>39.31</v>
      </c>
      <c r="L461" s="57" t="str">
        <f aca="false">IF('10 Mild Steel'!$C$27="","",'10 Mild Steel'!M27)</f>
        <v>Indicative</v>
      </c>
      <c r="M461" s="59" t="str">
        <f aca="false">IF(D461="","",IF(AND(OR(Search!$C$6="All Categories",A461=Search!$C$6),OR(Search!$P$5="",ISNUMBER(SEARCH(" "&amp;Search!$P$5,N461))),OR(Search!$P$6="",ISNUMBER(SEARCH(" "&amp;Search!$P$6,N461))),OR(Search!$P$7="",ISNUMBER(SEARCH(" "&amp;Search!$P$7,N461))),OR(Search!$P$8="",ISNUMBER(SEARCH(" "&amp;Search!$P$8,N461))),OR(Search!$P$9="",ISNUMBER(SEARCH(" "&amp;Search!$P$9,N461))),OR(Search!$P$10="",ISNUMBER(SEARCH(" "&amp;Search!$P$10,N461)))),ROW(),""))</f>
        <v/>
      </c>
      <c r="N461" s="0" t="str">
        <f aca="false">IF(D461="",""," "&amp;SUBSTITUTE(SUBSTITUTE(SUBSTITUTE(SUBSTITUTE(SUBSTITUTE(SUBSTITUTE(SUBSTITUTE(B461&amp;" "&amp;C461&amp;" "&amp;D461&amp;" "&amp;E461&amp;" "&amp;F461&amp;" "&amp;G461&amp;" "&amp;H461&amp;" "&amp;'10 Mild Steel'!R27,"("," "),")"," "),"/"," "),"-"," "),","," "),";"," "),":"," ")&amp;" ")</f>
        <v> MS 023 Channels &amp; Beams MS I beam IPE 100 8.10 kg m Black Imported lm ibeam beam mild steel </v>
      </c>
    </row>
    <row r="462" customFormat="false" ht="22.35" hidden="false" customHeight="false" outlineLevel="0" collapsed="false">
      <c r="A462" s="56" t="str">
        <f aca="false">IF('10 Mild Steel'!$C$28="","","Mild Steel (MS) - Sections, Plates &amp; Sheets")</f>
        <v>Mild Steel (MS) - Sections, Plates &amp; Sheets</v>
      </c>
      <c r="B462" s="57" t="str">
        <f aca="false">IF('10 Mild Steel'!$C$28="","",'10 Mild Steel'!A28)</f>
        <v>MS-024</v>
      </c>
      <c r="C462" s="56" t="str">
        <f aca="false">IF('10 Mild Steel'!$C$28="","",'10 Mild Steel'!B28)</f>
        <v>Channels &amp; Beams</v>
      </c>
      <c r="D462" s="56" t="str">
        <f aca="false">IF('10 Mild Steel'!$C$28="","",'10 Mild Steel'!C28)</f>
        <v>MS I-beam IPE 160</v>
      </c>
      <c r="E462" s="56" t="str">
        <f aca="false">IF('10 Mild Steel'!$C$28="","",'10 Mild Steel'!D28)</f>
        <v>15.80 kg/m</v>
      </c>
      <c r="F462" s="56" t="str">
        <f aca="false">IF('10 Mild Steel'!$C$28="","",'10 Mild Steel'!E28)</f>
        <v>Black</v>
      </c>
      <c r="G462" s="56" t="str">
        <f aca="false">IF('10 Mild Steel'!$C$28="","",'10 Mild Steel'!F28)</f>
        <v>Imported</v>
      </c>
      <c r="H462" s="57" t="str">
        <f aca="false">IF('10 Mild Steel'!$C$28="","",'10 Mild Steel'!G28)</f>
        <v>lm</v>
      </c>
      <c r="I462" s="58" t="n">
        <f aca="false">IF('10 Mild Steel'!$C$28="","",'10 Mild Steel'!J28)</f>
        <v>60.86</v>
      </c>
      <c r="J462" s="58" t="n">
        <f aca="false">IF('10 Mild Steel'!$C$28="","",'10 Mild Steel'!K28)</f>
        <v>73.03</v>
      </c>
      <c r="K462" s="58" t="n">
        <f aca="false">IF('10 Mild Steel'!$C$28="","",'10 Mild Steel'!L28)</f>
        <v>76.68</v>
      </c>
      <c r="L462" s="57" t="str">
        <f aca="false">IF('10 Mild Steel'!$C$28="","",'10 Mild Steel'!M28)</f>
        <v>Indicative</v>
      </c>
      <c r="M462" s="59" t="str">
        <f aca="false">IF(D462="","",IF(AND(OR(Search!$C$6="All Categories",A462=Search!$C$6),OR(Search!$P$5="",ISNUMBER(SEARCH(" "&amp;Search!$P$5,N462))),OR(Search!$P$6="",ISNUMBER(SEARCH(" "&amp;Search!$P$6,N462))),OR(Search!$P$7="",ISNUMBER(SEARCH(" "&amp;Search!$P$7,N462))),OR(Search!$P$8="",ISNUMBER(SEARCH(" "&amp;Search!$P$8,N462))),OR(Search!$P$9="",ISNUMBER(SEARCH(" "&amp;Search!$P$9,N462))),OR(Search!$P$10="",ISNUMBER(SEARCH(" "&amp;Search!$P$10,N462)))),ROW(),""))</f>
        <v/>
      </c>
      <c r="N462" s="0" t="str">
        <f aca="false">IF(D462="",""," "&amp;SUBSTITUTE(SUBSTITUTE(SUBSTITUTE(SUBSTITUTE(SUBSTITUTE(SUBSTITUTE(SUBSTITUTE(B462&amp;" "&amp;C462&amp;" "&amp;D462&amp;" "&amp;E462&amp;" "&amp;F462&amp;" "&amp;G462&amp;" "&amp;H462&amp;" "&amp;'10 Mild Steel'!R28,"("," "),")"," "),"/"," "),"-"," "),","," "),";"," "),":"," ")&amp;" ")</f>
        <v> MS 024 Channels &amp; Beams MS I beam IPE 160 15.80 kg m Black Imported lm ibeam beam mild steel </v>
      </c>
    </row>
    <row r="463" customFormat="false" ht="22.35" hidden="false" customHeight="false" outlineLevel="0" collapsed="false">
      <c r="A463" s="56" t="str">
        <f aca="false">IF('10 Mild Steel'!$C$29="","","Mild Steel (MS) - Sections, Plates &amp; Sheets")</f>
        <v>Mild Steel (MS) - Sections, Plates &amp; Sheets</v>
      </c>
      <c r="B463" s="57" t="str">
        <f aca="false">IF('10 Mild Steel'!$C$29="","",'10 Mild Steel'!A29)</f>
        <v>MS-025</v>
      </c>
      <c r="C463" s="56" t="str">
        <f aca="false">IF('10 Mild Steel'!$C$29="","",'10 Mild Steel'!B29)</f>
        <v>Channels &amp; Beams</v>
      </c>
      <c r="D463" s="56" t="str">
        <f aca="false">IF('10 Mild Steel'!$C$29="","",'10 Mild Steel'!C29)</f>
        <v>MS I-beam IPE 200</v>
      </c>
      <c r="E463" s="56" t="str">
        <f aca="false">IF('10 Mild Steel'!$C$29="","",'10 Mild Steel'!D29)</f>
        <v>22.40 kg/m</v>
      </c>
      <c r="F463" s="56" t="str">
        <f aca="false">IF('10 Mild Steel'!$C$29="","",'10 Mild Steel'!E29)</f>
        <v>Black</v>
      </c>
      <c r="G463" s="56" t="str">
        <f aca="false">IF('10 Mild Steel'!$C$29="","",'10 Mild Steel'!F29)</f>
        <v>Imported</v>
      </c>
      <c r="H463" s="57" t="str">
        <f aca="false">IF('10 Mild Steel'!$C$29="","",'10 Mild Steel'!G29)</f>
        <v>lm</v>
      </c>
      <c r="I463" s="58" t="n">
        <f aca="false">IF('10 Mild Steel'!$C$29="","",'10 Mild Steel'!J29)</f>
        <v>86.28</v>
      </c>
      <c r="J463" s="58" t="n">
        <f aca="false">IF('10 Mild Steel'!$C$29="","",'10 Mild Steel'!K29)</f>
        <v>103.54</v>
      </c>
      <c r="K463" s="58" t="n">
        <f aca="false">IF('10 Mild Steel'!$C$29="","",'10 Mild Steel'!L29)</f>
        <v>108.72</v>
      </c>
      <c r="L463" s="57" t="str">
        <f aca="false">IF('10 Mild Steel'!$C$29="","",'10 Mild Steel'!M29)</f>
        <v>Indicative</v>
      </c>
      <c r="M463" s="59" t="str">
        <f aca="false">IF(D463="","",IF(AND(OR(Search!$C$6="All Categories",A463=Search!$C$6),OR(Search!$P$5="",ISNUMBER(SEARCH(" "&amp;Search!$P$5,N463))),OR(Search!$P$6="",ISNUMBER(SEARCH(" "&amp;Search!$P$6,N463))),OR(Search!$P$7="",ISNUMBER(SEARCH(" "&amp;Search!$P$7,N463))),OR(Search!$P$8="",ISNUMBER(SEARCH(" "&amp;Search!$P$8,N463))),OR(Search!$P$9="",ISNUMBER(SEARCH(" "&amp;Search!$P$9,N463))),OR(Search!$P$10="",ISNUMBER(SEARCH(" "&amp;Search!$P$10,N463)))),ROW(),""))</f>
        <v/>
      </c>
      <c r="N463" s="0" t="str">
        <f aca="false">IF(D463="",""," "&amp;SUBSTITUTE(SUBSTITUTE(SUBSTITUTE(SUBSTITUTE(SUBSTITUTE(SUBSTITUTE(SUBSTITUTE(B463&amp;" "&amp;C463&amp;" "&amp;D463&amp;" "&amp;E463&amp;" "&amp;F463&amp;" "&amp;G463&amp;" "&amp;H463&amp;" "&amp;'10 Mild Steel'!R29,"("," "),")"," "),"/"," "),"-"," "),","," "),";"," "),":"," ")&amp;" ")</f>
        <v> MS 025 Channels &amp; Beams MS I beam IPE 200 22.40 kg m Black Imported lm ibeam beam mild steel </v>
      </c>
    </row>
    <row r="464" customFormat="false" ht="22.35" hidden="false" customHeight="false" outlineLevel="0" collapsed="false">
      <c r="A464" s="56" t="str">
        <f aca="false">IF('10 Mild Steel'!$C$30="","","Mild Steel (MS) - Sections, Plates &amp; Sheets")</f>
        <v>Mild Steel (MS) - Sections, Plates &amp; Sheets</v>
      </c>
      <c r="B464" s="57" t="str">
        <f aca="false">IF('10 Mild Steel'!$C$30="","",'10 Mild Steel'!A30)</f>
        <v>MS-026</v>
      </c>
      <c r="C464" s="56" t="str">
        <f aca="false">IF('10 Mild Steel'!$C$30="","",'10 Mild Steel'!B30)</f>
        <v>Channels &amp; Beams</v>
      </c>
      <c r="D464" s="56" t="str">
        <f aca="false">IF('10 Mild Steel'!$C$30="","",'10 Mild Steel'!C30)</f>
        <v>MS universal beam UB 203x133x25</v>
      </c>
      <c r="E464" s="56" t="str">
        <f aca="false">IF('10 Mild Steel'!$C$30="","",'10 Mild Steel'!D30)</f>
        <v>25.10 kg/m</v>
      </c>
      <c r="F464" s="56" t="str">
        <f aca="false">IF('10 Mild Steel'!$C$30="","",'10 Mild Steel'!E30)</f>
        <v>Black</v>
      </c>
      <c r="G464" s="56" t="str">
        <f aca="false">IF('10 Mild Steel'!$C$30="","",'10 Mild Steel'!F30)</f>
        <v>Imported</v>
      </c>
      <c r="H464" s="57" t="str">
        <f aca="false">IF('10 Mild Steel'!$C$30="","",'10 Mild Steel'!G30)</f>
        <v>lm</v>
      </c>
      <c r="I464" s="58" t="n">
        <f aca="false">IF('10 Mild Steel'!$C$30="","",'10 Mild Steel'!J30)</f>
        <v>96.69</v>
      </c>
      <c r="J464" s="58" t="n">
        <f aca="false">IF('10 Mild Steel'!$C$30="","",'10 Mild Steel'!K30)</f>
        <v>116.03</v>
      </c>
      <c r="K464" s="58" t="n">
        <f aca="false">IF('10 Mild Steel'!$C$30="","",'10 Mild Steel'!L30)</f>
        <v>121.83</v>
      </c>
      <c r="L464" s="57" t="str">
        <f aca="false">IF('10 Mild Steel'!$C$30="","",'10 Mild Steel'!M30)</f>
        <v>Indicative</v>
      </c>
      <c r="M464" s="59" t="str">
        <f aca="false">IF(D464="","",IF(AND(OR(Search!$C$6="All Categories",A464=Search!$C$6),OR(Search!$P$5="",ISNUMBER(SEARCH(" "&amp;Search!$P$5,N464))),OR(Search!$P$6="",ISNUMBER(SEARCH(" "&amp;Search!$P$6,N464))),OR(Search!$P$7="",ISNUMBER(SEARCH(" "&amp;Search!$P$7,N464))),OR(Search!$P$8="",ISNUMBER(SEARCH(" "&amp;Search!$P$8,N464))),OR(Search!$P$9="",ISNUMBER(SEARCH(" "&amp;Search!$P$9,N464))),OR(Search!$P$10="",ISNUMBER(SEARCH(" "&amp;Search!$P$10,N464)))),ROW(),""))</f>
        <v/>
      </c>
      <c r="N464" s="0" t="str">
        <f aca="false">IF(D464="",""," "&amp;SUBSTITUTE(SUBSTITUTE(SUBSTITUTE(SUBSTITUTE(SUBSTITUTE(SUBSTITUTE(SUBSTITUTE(B464&amp;" "&amp;C464&amp;" "&amp;D464&amp;" "&amp;E464&amp;" "&amp;F464&amp;" "&amp;G464&amp;" "&amp;H464&amp;" "&amp;'10 Mild Steel'!R30,"("," "),")"," "),"/"," "),"-"," "),","," "),";"," "),":"," ")&amp;" ")</f>
        <v> MS 026 Channels &amp; Beams MS universal beam UB 203x133x25 25.10 kg m Black Imported lm 203x133 203x133x25 ub ibeam mild steel </v>
      </c>
    </row>
    <row r="465" customFormat="false" ht="22.35" hidden="false" customHeight="false" outlineLevel="0" collapsed="false">
      <c r="A465" s="56" t="str">
        <f aca="false">IF('10 Mild Steel'!$C$31="","","Mild Steel (MS) - Sections, Plates &amp; Sheets")</f>
        <v>Mild Steel (MS) - Sections, Plates &amp; Sheets</v>
      </c>
      <c r="B465" s="57" t="str">
        <f aca="false">IF('10 Mild Steel'!$C$31="","",'10 Mild Steel'!A31)</f>
        <v>MS-027</v>
      </c>
      <c r="C465" s="56" t="str">
        <f aca="false">IF('10 Mild Steel'!$C$31="","",'10 Mild Steel'!B31)</f>
        <v>Channels &amp; Beams</v>
      </c>
      <c r="D465" s="56" t="str">
        <f aca="false">IF('10 Mild Steel'!$C$31="","",'10 Mild Steel'!C31)</f>
        <v>MS universal beam UB 254x146x31</v>
      </c>
      <c r="E465" s="56" t="str">
        <f aca="false">IF('10 Mild Steel'!$C$31="","",'10 Mild Steel'!D31)</f>
        <v>31.10 kg/m</v>
      </c>
      <c r="F465" s="56" t="str">
        <f aca="false">IF('10 Mild Steel'!$C$31="","",'10 Mild Steel'!E31)</f>
        <v>Black</v>
      </c>
      <c r="G465" s="56" t="str">
        <f aca="false">IF('10 Mild Steel'!$C$31="","",'10 Mild Steel'!F31)</f>
        <v>Imported</v>
      </c>
      <c r="H465" s="57" t="str">
        <f aca="false">IF('10 Mild Steel'!$C$31="","",'10 Mild Steel'!G31)</f>
        <v>lm</v>
      </c>
      <c r="I465" s="58" t="n">
        <f aca="false">IF('10 Mild Steel'!$C$31="","",'10 Mild Steel'!J31)</f>
        <v>119.8</v>
      </c>
      <c r="J465" s="58" t="n">
        <f aca="false">IF('10 Mild Steel'!$C$31="","",'10 Mild Steel'!K31)</f>
        <v>143.76</v>
      </c>
      <c r="K465" s="58" t="n">
        <f aca="false">IF('10 Mild Steel'!$C$31="","",'10 Mild Steel'!L31)</f>
        <v>150.95</v>
      </c>
      <c r="L465" s="57" t="str">
        <f aca="false">IF('10 Mild Steel'!$C$31="","",'10 Mild Steel'!M31)</f>
        <v>Indicative</v>
      </c>
      <c r="M465" s="59" t="str">
        <f aca="false">IF(D465="","",IF(AND(OR(Search!$C$6="All Categories",A465=Search!$C$6),OR(Search!$P$5="",ISNUMBER(SEARCH(" "&amp;Search!$P$5,N465))),OR(Search!$P$6="",ISNUMBER(SEARCH(" "&amp;Search!$P$6,N465))),OR(Search!$P$7="",ISNUMBER(SEARCH(" "&amp;Search!$P$7,N465))),OR(Search!$P$8="",ISNUMBER(SEARCH(" "&amp;Search!$P$8,N465))),OR(Search!$P$9="",ISNUMBER(SEARCH(" "&amp;Search!$P$9,N465))),OR(Search!$P$10="",ISNUMBER(SEARCH(" "&amp;Search!$P$10,N465)))),ROW(),""))</f>
        <v/>
      </c>
      <c r="N465" s="0" t="str">
        <f aca="false">IF(D465="",""," "&amp;SUBSTITUTE(SUBSTITUTE(SUBSTITUTE(SUBSTITUTE(SUBSTITUTE(SUBSTITUTE(SUBSTITUTE(B465&amp;" "&amp;C465&amp;" "&amp;D465&amp;" "&amp;E465&amp;" "&amp;F465&amp;" "&amp;G465&amp;" "&amp;H465&amp;" "&amp;'10 Mild Steel'!R31,"("," "),")"," "),"/"," "),"-"," "),","," "),";"," "),":"," ")&amp;" ")</f>
        <v> MS 027 Channels &amp; Beams MS universal beam UB 254x146x31 31.10 kg m Black Imported lm 254x146 254x146x31 ub ibeam mild steel </v>
      </c>
    </row>
    <row r="466" customFormat="false" ht="22.35" hidden="false" customHeight="false" outlineLevel="0" collapsed="false">
      <c r="A466" s="56" t="str">
        <f aca="false">IF('10 Mild Steel'!$C$32="","","Mild Steel (MS) - Sections, Plates &amp; Sheets")</f>
        <v>Mild Steel (MS) - Sections, Plates &amp; Sheets</v>
      </c>
      <c r="B466" s="57" t="str">
        <f aca="false">IF('10 Mild Steel'!$C$32="","",'10 Mild Steel'!A32)</f>
        <v>MS-028</v>
      </c>
      <c r="C466" s="56" t="str">
        <f aca="false">IF('10 Mild Steel'!$C$32="","",'10 Mild Steel'!B32)</f>
        <v>Channels &amp; Beams</v>
      </c>
      <c r="D466" s="56" t="str">
        <f aca="false">IF('10 Mild Steel'!$C$32="","",'10 Mild Steel'!C32)</f>
        <v>MS H-beam HEA 200</v>
      </c>
      <c r="E466" s="56" t="str">
        <f aca="false">IF('10 Mild Steel'!$C$32="","",'10 Mild Steel'!D32)</f>
        <v>42.30 kg/m</v>
      </c>
      <c r="F466" s="56" t="str">
        <f aca="false">IF('10 Mild Steel'!$C$32="","",'10 Mild Steel'!E32)</f>
        <v>Black</v>
      </c>
      <c r="G466" s="56" t="str">
        <f aca="false">IF('10 Mild Steel'!$C$32="","",'10 Mild Steel'!F32)</f>
        <v>Imported</v>
      </c>
      <c r="H466" s="57" t="str">
        <f aca="false">IF('10 Mild Steel'!$C$32="","",'10 Mild Steel'!G32)</f>
        <v>lm</v>
      </c>
      <c r="I466" s="58" t="n">
        <f aca="false">IF('10 Mild Steel'!$C$32="","",'10 Mild Steel'!J32)</f>
        <v>162.94</v>
      </c>
      <c r="J466" s="58" t="n">
        <f aca="false">IF('10 Mild Steel'!$C$32="","",'10 Mild Steel'!K32)</f>
        <v>195.53</v>
      </c>
      <c r="K466" s="58" t="n">
        <f aca="false">IF('10 Mild Steel'!$C$32="","",'10 Mild Steel'!L32)</f>
        <v>205.31</v>
      </c>
      <c r="L466" s="57" t="str">
        <f aca="false">IF('10 Mild Steel'!$C$32="","",'10 Mild Steel'!M32)</f>
        <v>Indicative</v>
      </c>
      <c r="M466" s="59" t="str">
        <f aca="false">IF(D466="","",IF(AND(OR(Search!$C$6="All Categories",A466=Search!$C$6),OR(Search!$P$5="",ISNUMBER(SEARCH(" "&amp;Search!$P$5,N466))),OR(Search!$P$6="",ISNUMBER(SEARCH(" "&amp;Search!$P$6,N466))),OR(Search!$P$7="",ISNUMBER(SEARCH(" "&amp;Search!$P$7,N466))),OR(Search!$P$8="",ISNUMBER(SEARCH(" "&amp;Search!$P$8,N466))),OR(Search!$P$9="",ISNUMBER(SEARCH(" "&amp;Search!$P$9,N466))),OR(Search!$P$10="",ISNUMBER(SEARCH(" "&amp;Search!$P$10,N466)))),ROW(),""))</f>
        <v/>
      </c>
      <c r="N466" s="0" t="str">
        <f aca="false">IF(D466="",""," "&amp;SUBSTITUTE(SUBSTITUTE(SUBSTITUTE(SUBSTITUTE(SUBSTITUTE(SUBSTITUTE(SUBSTITUTE(B466&amp;" "&amp;C466&amp;" "&amp;D466&amp;" "&amp;E466&amp;" "&amp;F466&amp;" "&amp;G466&amp;" "&amp;H466&amp;" "&amp;'10 Mild Steel'!R32,"("," "),")"," "),"/"," "),"-"," "),","," "),";"," "),":"," ")&amp;" ")</f>
        <v> MS 028 Channels &amp; Beams MS H beam HEA 200 42.30 kg m Black Imported lm hbeam beam mild steel </v>
      </c>
    </row>
    <row r="467" customFormat="false" ht="22.35" hidden="false" customHeight="false" outlineLevel="0" collapsed="false">
      <c r="A467" s="56" t="str">
        <f aca="false">IF('10 Mild Steel'!$C$33="","","Mild Steel (MS) - Sections, Plates &amp; Sheets")</f>
        <v>Mild Steel (MS) - Sections, Plates &amp; Sheets</v>
      </c>
      <c r="B467" s="57" t="str">
        <f aca="false">IF('10 Mild Steel'!$C$33="","",'10 Mild Steel'!A33)</f>
        <v>MS-029</v>
      </c>
      <c r="C467" s="56" t="str">
        <f aca="false">IF('10 Mild Steel'!$C$33="","",'10 Mild Steel'!B33)</f>
        <v>Channels &amp; Beams</v>
      </c>
      <c r="D467" s="56" t="str">
        <f aca="false">IF('10 Mild Steel'!$C$33="","",'10 Mild Steel'!C33)</f>
        <v>GI purlin C / Z section</v>
      </c>
      <c r="E467" s="56" t="str">
        <f aca="false">IF('10 Mild Steel'!$C$33="","",'10 Mild Steel'!D33)</f>
        <v>200 x 2.0 mm (5.60 kg/m)</v>
      </c>
      <c r="F467" s="56" t="str">
        <f aca="false">IF('10 Mild Steel'!$C$33="","",'10 Mild Steel'!E33)</f>
        <v>Pre-galvanized</v>
      </c>
      <c r="G467" s="56" t="str">
        <f aca="false">IF('10 Mild Steel'!$C$33="","",'10 Mild Steel'!F33)</f>
        <v>Local</v>
      </c>
      <c r="H467" s="57" t="str">
        <f aca="false">IF('10 Mild Steel'!$C$33="","",'10 Mild Steel'!G33)</f>
        <v>lm</v>
      </c>
      <c r="I467" s="58" t="n">
        <f aca="false">IF('10 Mild Steel'!$C$33="","",'10 Mild Steel'!J33)</f>
        <v>25.17</v>
      </c>
      <c r="J467" s="58" t="n">
        <f aca="false">IF('10 Mild Steel'!$C$33="","",'10 Mild Steel'!K33)</f>
        <v>30.2</v>
      </c>
      <c r="K467" s="58" t="n">
        <f aca="false">IF('10 Mild Steel'!$C$33="","",'10 Mild Steel'!L33)</f>
        <v>31.71</v>
      </c>
      <c r="L467" s="57" t="str">
        <f aca="false">IF('10 Mild Steel'!$C$33="","",'10 Mild Steel'!M33)</f>
        <v>Indicative</v>
      </c>
      <c r="M467" s="59" t="str">
        <f aca="false">IF(D467="","",IF(AND(OR(Search!$C$6="All Categories",A467=Search!$C$6),OR(Search!$P$5="",ISNUMBER(SEARCH(" "&amp;Search!$P$5,N467))),OR(Search!$P$6="",ISNUMBER(SEARCH(" "&amp;Search!$P$6,N467))),OR(Search!$P$7="",ISNUMBER(SEARCH(" "&amp;Search!$P$7,N467))),OR(Search!$P$8="",ISNUMBER(SEARCH(" "&amp;Search!$P$8,N467))),OR(Search!$P$9="",ISNUMBER(SEARCH(" "&amp;Search!$P$9,N467))),OR(Search!$P$10="",ISNUMBER(SEARCH(" "&amp;Search!$P$10,N467)))),ROW(),""))</f>
        <v/>
      </c>
      <c r="N467" s="0" t="str">
        <f aca="false">IF(D467="",""," "&amp;SUBSTITUTE(SUBSTITUTE(SUBSTITUTE(SUBSTITUTE(SUBSTITUTE(SUBSTITUTE(SUBSTITUTE(B467&amp;" "&amp;C467&amp;" "&amp;D467&amp;" "&amp;E467&amp;" "&amp;F467&amp;" "&amp;G467&amp;" "&amp;H467&amp;" "&amp;'10 Mild Steel'!R33,"("," "),")"," "),"/"," "),"-"," "),","," "),";"," "),":"," ")&amp;" ")</f>
        <v> MS 029 Channels &amp; Beams GI purlin C   Z section 200 x 2.0 mm  5.60 kg m  Pre galvanized Local lm 200x2.0 2.0mm galvanised gi mild steel galvanized </v>
      </c>
    </row>
    <row r="468" customFormat="false" ht="22.35" hidden="false" customHeight="false" outlineLevel="0" collapsed="false">
      <c r="A468" s="56" t="str">
        <f aca="false">IF('10 Mild Steel'!$C$34="","","Mild Steel (MS) - Sections, Plates &amp; Sheets")</f>
        <v>Mild Steel (MS) - Sections, Plates &amp; Sheets</v>
      </c>
      <c r="B468" s="57" t="str">
        <f aca="false">IF('10 Mild Steel'!$C$34="","",'10 Mild Steel'!A34)</f>
        <v>MS-030</v>
      </c>
      <c r="C468" s="56" t="str">
        <f aca="false">IF('10 Mild Steel'!$C$34="","",'10 Mild Steel'!B34)</f>
        <v>Flats &amp; Rounds</v>
      </c>
      <c r="D468" s="56" t="str">
        <f aca="false">IF('10 Mild Steel'!$C$34="","",'10 Mild Steel'!C34)</f>
        <v>MS flat bar</v>
      </c>
      <c r="E468" s="56" t="str">
        <f aca="false">IF('10 Mild Steel'!$C$34="","",'10 Mild Steel'!D34)</f>
        <v>25 x 3 mm (0.59 kg/m)</v>
      </c>
      <c r="F468" s="56" t="str">
        <f aca="false">IF('10 Mild Steel'!$C$34="","",'10 Mild Steel'!E34)</f>
        <v>Black</v>
      </c>
      <c r="G468" s="56" t="str">
        <f aca="false">IF('10 Mild Steel'!$C$34="","",'10 Mild Steel'!F34)</f>
        <v>Local</v>
      </c>
      <c r="H468" s="57" t="str">
        <f aca="false">IF('10 Mild Steel'!$C$34="","",'10 Mild Steel'!G34)</f>
        <v>lm</v>
      </c>
      <c r="I468" s="58" t="n">
        <f aca="false">IF('10 Mild Steel'!$C$34="","",'10 Mild Steel'!J34)</f>
        <v>2.27</v>
      </c>
      <c r="J468" s="58" t="n">
        <f aca="false">IF('10 Mild Steel'!$C$34="","",'10 Mild Steel'!K34)</f>
        <v>2.72</v>
      </c>
      <c r="K468" s="58" t="n">
        <f aca="false">IF('10 Mild Steel'!$C$34="","",'10 Mild Steel'!L34)</f>
        <v>2.86</v>
      </c>
      <c r="L468" s="57" t="str">
        <f aca="false">IF('10 Mild Steel'!$C$34="","",'10 Mild Steel'!M34)</f>
        <v>Indicative</v>
      </c>
      <c r="M468" s="59" t="str">
        <f aca="false">IF(D468="","",IF(AND(OR(Search!$C$6="All Categories",A468=Search!$C$6),OR(Search!$P$5="",ISNUMBER(SEARCH(" "&amp;Search!$P$5,N468))),OR(Search!$P$6="",ISNUMBER(SEARCH(" "&amp;Search!$P$6,N468))),OR(Search!$P$7="",ISNUMBER(SEARCH(" "&amp;Search!$P$7,N468))),OR(Search!$P$8="",ISNUMBER(SEARCH(" "&amp;Search!$P$8,N468))),OR(Search!$P$9="",ISNUMBER(SEARCH(" "&amp;Search!$P$9,N468))),OR(Search!$P$10="",ISNUMBER(SEARCH(" "&amp;Search!$P$10,N468)))),ROW(),""))</f>
        <v/>
      </c>
      <c r="N468" s="0" t="str">
        <f aca="false">IF(D468="",""," "&amp;SUBSTITUTE(SUBSTITUTE(SUBSTITUTE(SUBSTITUTE(SUBSTITUTE(SUBSTITUTE(SUBSTITUTE(B468&amp;" "&amp;C468&amp;" "&amp;D468&amp;" "&amp;E468&amp;" "&amp;F468&amp;" "&amp;G468&amp;" "&amp;H468&amp;" "&amp;'10 Mild Steel'!R34,"("," "),")"," "),"/"," "),"-"," "),","," "),";"," "),":"," ")&amp;" ")</f>
        <v> MS 030 Flats &amp; Rounds MS flat bar 25 x 3 mm  0.59 kg m  Black Local lm 25x3 3mm patti strip mild steel </v>
      </c>
    </row>
    <row r="469" customFormat="false" ht="22.35" hidden="false" customHeight="false" outlineLevel="0" collapsed="false">
      <c r="A469" s="56" t="str">
        <f aca="false">IF('10 Mild Steel'!$C$35="","","Mild Steel (MS) - Sections, Plates &amp; Sheets")</f>
        <v>Mild Steel (MS) - Sections, Plates &amp; Sheets</v>
      </c>
      <c r="B469" s="57" t="str">
        <f aca="false">IF('10 Mild Steel'!$C$35="","",'10 Mild Steel'!A35)</f>
        <v>MS-031</v>
      </c>
      <c r="C469" s="56" t="str">
        <f aca="false">IF('10 Mild Steel'!$C$35="","",'10 Mild Steel'!B35)</f>
        <v>Flats &amp; Rounds</v>
      </c>
      <c r="D469" s="56" t="str">
        <f aca="false">IF('10 Mild Steel'!$C$35="","",'10 Mild Steel'!C35)</f>
        <v>MS flat bar</v>
      </c>
      <c r="E469" s="56" t="str">
        <f aca="false">IF('10 Mild Steel'!$C$35="","",'10 Mild Steel'!D35)</f>
        <v>40 x 5 mm (1.57 kg/m)</v>
      </c>
      <c r="F469" s="56" t="str">
        <f aca="false">IF('10 Mild Steel'!$C$35="","",'10 Mild Steel'!E35)</f>
        <v>Black</v>
      </c>
      <c r="G469" s="56" t="str">
        <f aca="false">IF('10 Mild Steel'!$C$35="","",'10 Mild Steel'!F35)</f>
        <v>Local</v>
      </c>
      <c r="H469" s="57" t="str">
        <f aca="false">IF('10 Mild Steel'!$C$35="","",'10 Mild Steel'!G35)</f>
        <v>lm</v>
      </c>
      <c r="I469" s="58" t="n">
        <f aca="false">IF('10 Mild Steel'!$C$35="","",'10 Mild Steel'!J35)</f>
        <v>6.05</v>
      </c>
      <c r="J469" s="58" t="n">
        <f aca="false">IF('10 Mild Steel'!$C$35="","",'10 Mild Steel'!K35)</f>
        <v>7.26</v>
      </c>
      <c r="K469" s="58" t="n">
        <f aca="false">IF('10 Mild Steel'!$C$35="","",'10 Mild Steel'!L35)</f>
        <v>7.62</v>
      </c>
      <c r="L469" s="57" t="str">
        <f aca="false">IF('10 Mild Steel'!$C$35="","",'10 Mild Steel'!M35)</f>
        <v>Indicative</v>
      </c>
      <c r="M469" s="59" t="str">
        <f aca="false">IF(D469="","",IF(AND(OR(Search!$C$6="All Categories",A469=Search!$C$6),OR(Search!$P$5="",ISNUMBER(SEARCH(" "&amp;Search!$P$5,N469))),OR(Search!$P$6="",ISNUMBER(SEARCH(" "&amp;Search!$P$6,N469))),OR(Search!$P$7="",ISNUMBER(SEARCH(" "&amp;Search!$P$7,N469))),OR(Search!$P$8="",ISNUMBER(SEARCH(" "&amp;Search!$P$8,N469))),OR(Search!$P$9="",ISNUMBER(SEARCH(" "&amp;Search!$P$9,N469))),OR(Search!$P$10="",ISNUMBER(SEARCH(" "&amp;Search!$P$10,N469)))),ROW(),""))</f>
        <v/>
      </c>
      <c r="N469" s="0" t="str">
        <f aca="false">IF(D469="",""," "&amp;SUBSTITUTE(SUBSTITUTE(SUBSTITUTE(SUBSTITUTE(SUBSTITUTE(SUBSTITUTE(SUBSTITUTE(B469&amp;" "&amp;C469&amp;" "&amp;D469&amp;" "&amp;E469&amp;" "&amp;F469&amp;" "&amp;G469&amp;" "&amp;H469&amp;" "&amp;'10 Mild Steel'!R35,"("," "),")"," "),"/"," "),"-"," "),","," "),";"," "),":"," ")&amp;" ")</f>
        <v> MS 031 Flats &amp; Rounds MS flat bar 40 x 5 mm  1.57 kg m  Black Local lm 40x5 5mm patti strip mild steel </v>
      </c>
    </row>
    <row r="470" customFormat="false" ht="22.35" hidden="false" customHeight="false" outlineLevel="0" collapsed="false">
      <c r="A470" s="56" t="str">
        <f aca="false">IF('10 Mild Steel'!$C$36="","","Mild Steel (MS) - Sections, Plates &amp; Sheets")</f>
        <v>Mild Steel (MS) - Sections, Plates &amp; Sheets</v>
      </c>
      <c r="B470" s="57" t="str">
        <f aca="false">IF('10 Mild Steel'!$C$36="","",'10 Mild Steel'!A36)</f>
        <v>MS-032</v>
      </c>
      <c r="C470" s="56" t="str">
        <f aca="false">IF('10 Mild Steel'!$C$36="","",'10 Mild Steel'!B36)</f>
        <v>Flats &amp; Rounds</v>
      </c>
      <c r="D470" s="56" t="str">
        <f aca="false">IF('10 Mild Steel'!$C$36="","",'10 Mild Steel'!C36)</f>
        <v>MS flat bar</v>
      </c>
      <c r="E470" s="56" t="str">
        <f aca="false">IF('10 Mild Steel'!$C$36="","",'10 Mild Steel'!D36)</f>
        <v>50 x 6 mm (2.36 kg/m)</v>
      </c>
      <c r="F470" s="56" t="str">
        <f aca="false">IF('10 Mild Steel'!$C$36="","",'10 Mild Steel'!E36)</f>
        <v>Black</v>
      </c>
      <c r="G470" s="56" t="str">
        <f aca="false">IF('10 Mild Steel'!$C$36="","",'10 Mild Steel'!F36)</f>
        <v>Local</v>
      </c>
      <c r="H470" s="57" t="str">
        <f aca="false">IF('10 Mild Steel'!$C$36="","",'10 Mild Steel'!G36)</f>
        <v>lm</v>
      </c>
      <c r="I470" s="58" t="n">
        <f aca="false">IF('10 Mild Steel'!$C$36="","",'10 Mild Steel'!J36)</f>
        <v>9.1</v>
      </c>
      <c r="J470" s="58" t="n">
        <f aca="false">IF('10 Mild Steel'!$C$36="","",'10 Mild Steel'!K36)</f>
        <v>10.92</v>
      </c>
      <c r="K470" s="58" t="n">
        <f aca="false">IF('10 Mild Steel'!$C$36="","",'10 Mild Steel'!L36)</f>
        <v>11.47</v>
      </c>
      <c r="L470" s="57" t="str">
        <f aca="false">IF('10 Mild Steel'!$C$36="","",'10 Mild Steel'!M36)</f>
        <v>Indicative</v>
      </c>
      <c r="M470" s="59" t="str">
        <f aca="false">IF(D470="","",IF(AND(OR(Search!$C$6="All Categories",A470=Search!$C$6),OR(Search!$P$5="",ISNUMBER(SEARCH(" "&amp;Search!$P$5,N470))),OR(Search!$P$6="",ISNUMBER(SEARCH(" "&amp;Search!$P$6,N470))),OR(Search!$P$7="",ISNUMBER(SEARCH(" "&amp;Search!$P$7,N470))),OR(Search!$P$8="",ISNUMBER(SEARCH(" "&amp;Search!$P$8,N470))),OR(Search!$P$9="",ISNUMBER(SEARCH(" "&amp;Search!$P$9,N470))),OR(Search!$P$10="",ISNUMBER(SEARCH(" "&amp;Search!$P$10,N470)))),ROW(),""))</f>
        <v/>
      </c>
      <c r="N470" s="0" t="str">
        <f aca="false">IF(D470="",""," "&amp;SUBSTITUTE(SUBSTITUTE(SUBSTITUTE(SUBSTITUTE(SUBSTITUTE(SUBSTITUTE(SUBSTITUTE(B470&amp;" "&amp;C470&amp;" "&amp;D470&amp;" "&amp;E470&amp;" "&amp;F470&amp;" "&amp;G470&amp;" "&amp;H470&amp;" "&amp;'10 Mild Steel'!R36,"("," "),")"," "),"/"," "),"-"," "),","," "),";"," "),":"," ")&amp;" ")</f>
        <v> MS 032 Flats &amp; Rounds MS flat bar 50 x 6 mm  2.36 kg m  Black Local lm 50x6 6mm patti strip mild steel </v>
      </c>
    </row>
    <row r="471" customFormat="false" ht="22.35" hidden="false" customHeight="false" outlineLevel="0" collapsed="false">
      <c r="A471" s="56" t="str">
        <f aca="false">IF('10 Mild Steel'!$C$37="","","Mild Steel (MS) - Sections, Plates &amp; Sheets")</f>
        <v>Mild Steel (MS) - Sections, Plates &amp; Sheets</v>
      </c>
      <c r="B471" s="57" t="str">
        <f aca="false">IF('10 Mild Steel'!$C$37="","",'10 Mild Steel'!A37)</f>
        <v>MS-033</v>
      </c>
      <c r="C471" s="56" t="str">
        <f aca="false">IF('10 Mild Steel'!$C$37="","",'10 Mild Steel'!B37)</f>
        <v>Flats &amp; Rounds</v>
      </c>
      <c r="D471" s="56" t="str">
        <f aca="false">IF('10 Mild Steel'!$C$37="","",'10 Mild Steel'!C37)</f>
        <v>MS flat bar</v>
      </c>
      <c r="E471" s="56" t="str">
        <f aca="false">IF('10 Mild Steel'!$C$37="","",'10 Mild Steel'!D37)</f>
        <v>75 x 8 mm (4.71 kg/m)</v>
      </c>
      <c r="F471" s="56" t="str">
        <f aca="false">IF('10 Mild Steel'!$C$37="","",'10 Mild Steel'!E37)</f>
        <v>Black</v>
      </c>
      <c r="G471" s="56" t="str">
        <f aca="false">IF('10 Mild Steel'!$C$37="","",'10 Mild Steel'!F37)</f>
        <v>Local</v>
      </c>
      <c r="H471" s="57" t="str">
        <f aca="false">IF('10 Mild Steel'!$C$37="","",'10 Mild Steel'!G37)</f>
        <v>lm</v>
      </c>
      <c r="I471" s="58" t="n">
        <f aca="false">IF('10 Mild Steel'!$C$37="","",'10 Mild Steel'!J37)</f>
        <v>18.15</v>
      </c>
      <c r="J471" s="58" t="n">
        <f aca="false">IF('10 Mild Steel'!$C$37="","",'10 Mild Steel'!K37)</f>
        <v>21.78</v>
      </c>
      <c r="K471" s="58" t="n">
        <f aca="false">IF('10 Mild Steel'!$C$37="","",'10 Mild Steel'!L37)</f>
        <v>22.87</v>
      </c>
      <c r="L471" s="57" t="str">
        <f aca="false">IF('10 Mild Steel'!$C$37="","",'10 Mild Steel'!M37)</f>
        <v>Indicative</v>
      </c>
      <c r="M471" s="59" t="str">
        <f aca="false">IF(D471="","",IF(AND(OR(Search!$C$6="All Categories",A471=Search!$C$6),OR(Search!$P$5="",ISNUMBER(SEARCH(" "&amp;Search!$P$5,N471))),OR(Search!$P$6="",ISNUMBER(SEARCH(" "&amp;Search!$P$6,N471))),OR(Search!$P$7="",ISNUMBER(SEARCH(" "&amp;Search!$P$7,N471))),OR(Search!$P$8="",ISNUMBER(SEARCH(" "&amp;Search!$P$8,N471))),OR(Search!$P$9="",ISNUMBER(SEARCH(" "&amp;Search!$P$9,N471))),OR(Search!$P$10="",ISNUMBER(SEARCH(" "&amp;Search!$P$10,N471)))),ROW(),""))</f>
        <v/>
      </c>
      <c r="N471" s="0" t="str">
        <f aca="false">IF(D471="",""," "&amp;SUBSTITUTE(SUBSTITUTE(SUBSTITUTE(SUBSTITUTE(SUBSTITUTE(SUBSTITUTE(SUBSTITUTE(B471&amp;" "&amp;C471&amp;" "&amp;D471&amp;" "&amp;E471&amp;" "&amp;F471&amp;" "&amp;G471&amp;" "&amp;H471&amp;" "&amp;'10 Mild Steel'!R37,"("," "),")"," "),"/"," "),"-"," "),","," "),";"," "),":"," ")&amp;" ")</f>
        <v> MS 033 Flats &amp; Rounds MS flat bar 75 x 8 mm  4.71 kg m  Black Local lm 75x8 8mm patti strip mild steel </v>
      </c>
    </row>
    <row r="472" customFormat="false" ht="22.35" hidden="false" customHeight="false" outlineLevel="0" collapsed="false">
      <c r="A472" s="56" t="str">
        <f aca="false">IF('10 Mild Steel'!$C$38="","","Mild Steel (MS) - Sections, Plates &amp; Sheets")</f>
        <v>Mild Steel (MS) - Sections, Plates &amp; Sheets</v>
      </c>
      <c r="B472" s="57" t="str">
        <f aca="false">IF('10 Mild Steel'!$C$38="","",'10 Mild Steel'!A38)</f>
        <v>MS-034</v>
      </c>
      <c r="C472" s="56" t="str">
        <f aca="false">IF('10 Mild Steel'!$C$38="","",'10 Mild Steel'!B38)</f>
        <v>Flats &amp; Rounds</v>
      </c>
      <c r="D472" s="56" t="str">
        <f aca="false">IF('10 Mild Steel'!$C$38="","",'10 Mild Steel'!C38)</f>
        <v>MS flat bar</v>
      </c>
      <c r="E472" s="56" t="str">
        <f aca="false">IF('10 Mild Steel'!$C$38="","",'10 Mild Steel'!D38)</f>
        <v>100 x 10 mm (7.85 kg/m)</v>
      </c>
      <c r="F472" s="56" t="str">
        <f aca="false">IF('10 Mild Steel'!$C$38="","",'10 Mild Steel'!E38)</f>
        <v>Black</v>
      </c>
      <c r="G472" s="56" t="str">
        <f aca="false">IF('10 Mild Steel'!$C$38="","",'10 Mild Steel'!F38)</f>
        <v>Local</v>
      </c>
      <c r="H472" s="57" t="str">
        <f aca="false">IF('10 Mild Steel'!$C$38="","",'10 Mild Steel'!G38)</f>
        <v>lm</v>
      </c>
      <c r="I472" s="58" t="n">
        <f aca="false">IF('10 Mild Steel'!$C$38="","",'10 Mild Steel'!J38)</f>
        <v>30.24</v>
      </c>
      <c r="J472" s="58" t="n">
        <f aca="false">IF('10 Mild Steel'!$C$38="","",'10 Mild Steel'!K38)</f>
        <v>36.29</v>
      </c>
      <c r="K472" s="58" t="n">
        <f aca="false">IF('10 Mild Steel'!$C$38="","",'10 Mild Steel'!L38)</f>
        <v>38.1</v>
      </c>
      <c r="L472" s="57" t="str">
        <f aca="false">IF('10 Mild Steel'!$C$38="","",'10 Mild Steel'!M38)</f>
        <v>Indicative</v>
      </c>
      <c r="M472" s="59" t="str">
        <f aca="false">IF(D472="","",IF(AND(OR(Search!$C$6="All Categories",A472=Search!$C$6),OR(Search!$P$5="",ISNUMBER(SEARCH(" "&amp;Search!$P$5,N472))),OR(Search!$P$6="",ISNUMBER(SEARCH(" "&amp;Search!$P$6,N472))),OR(Search!$P$7="",ISNUMBER(SEARCH(" "&amp;Search!$P$7,N472))),OR(Search!$P$8="",ISNUMBER(SEARCH(" "&amp;Search!$P$8,N472))),OR(Search!$P$9="",ISNUMBER(SEARCH(" "&amp;Search!$P$9,N472))),OR(Search!$P$10="",ISNUMBER(SEARCH(" "&amp;Search!$P$10,N472)))),ROW(),""))</f>
        <v/>
      </c>
      <c r="N472" s="0" t="str">
        <f aca="false">IF(D472="",""," "&amp;SUBSTITUTE(SUBSTITUTE(SUBSTITUTE(SUBSTITUTE(SUBSTITUTE(SUBSTITUTE(SUBSTITUTE(B472&amp;" "&amp;C472&amp;" "&amp;D472&amp;" "&amp;E472&amp;" "&amp;F472&amp;" "&amp;G472&amp;" "&amp;H472&amp;" "&amp;'10 Mild Steel'!R38,"("," "),")"," "),"/"," "),"-"," "),","," "),";"," "),":"," ")&amp;" ")</f>
        <v> MS 034 Flats &amp; Rounds MS flat bar 100 x 10 mm  7.85 kg m  Black Local lm 100x10 10mm patti strip mild steel </v>
      </c>
    </row>
    <row r="473" customFormat="false" ht="22.35" hidden="false" customHeight="false" outlineLevel="0" collapsed="false">
      <c r="A473" s="56" t="str">
        <f aca="false">IF('10 Mild Steel'!$C$39="","","Mild Steel (MS) - Sections, Plates &amp; Sheets")</f>
        <v>Mild Steel (MS) - Sections, Plates &amp; Sheets</v>
      </c>
      <c r="B473" s="57" t="str">
        <f aca="false">IF('10 Mild Steel'!$C$39="","",'10 Mild Steel'!A39)</f>
        <v>MS-035</v>
      </c>
      <c r="C473" s="56" t="str">
        <f aca="false">IF('10 Mild Steel'!$C$39="","",'10 Mild Steel'!B39)</f>
        <v>Flats &amp; Rounds</v>
      </c>
      <c r="D473" s="56" t="str">
        <f aca="false">IF('10 Mild Steel'!$C$39="","",'10 Mild Steel'!C39)</f>
        <v>MS round bar</v>
      </c>
      <c r="E473" s="56" t="str">
        <f aca="false">IF('10 Mild Steel'!$C$39="","",'10 Mild Steel'!D39)</f>
        <v>Dia 12 mm (0.89 kg/m)</v>
      </c>
      <c r="F473" s="56" t="str">
        <f aca="false">IF('10 Mild Steel'!$C$39="","",'10 Mild Steel'!E39)</f>
        <v>Black</v>
      </c>
      <c r="G473" s="56" t="str">
        <f aca="false">IF('10 Mild Steel'!$C$39="","",'10 Mild Steel'!F39)</f>
        <v>Local</v>
      </c>
      <c r="H473" s="57" t="str">
        <f aca="false">IF('10 Mild Steel'!$C$39="","",'10 Mild Steel'!G39)</f>
        <v>lm</v>
      </c>
      <c r="I473" s="58" t="n">
        <f aca="false">IF('10 Mild Steel'!$C$39="","",'10 Mild Steel'!J39)</f>
        <v>3.42</v>
      </c>
      <c r="J473" s="58" t="n">
        <f aca="false">IF('10 Mild Steel'!$C$39="","",'10 Mild Steel'!K39)</f>
        <v>4.1</v>
      </c>
      <c r="K473" s="58" t="n">
        <f aca="false">IF('10 Mild Steel'!$C$39="","",'10 Mild Steel'!L39)</f>
        <v>4.31</v>
      </c>
      <c r="L473" s="57" t="str">
        <f aca="false">IF('10 Mild Steel'!$C$39="","",'10 Mild Steel'!M39)</f>
        <v>Indicative</v>
      </c>
      <c r="M473" s="59" t="str">
        <f aca="false">IF(D473="","",IF(AND(OR(Search!$C$6="All Categories",A473=Search!$C$6),OR(Search!$P$5="",ISNUMBER(SEARCH(" "&amp;Search!$P$5,N473))),OR(Search!$P$6="",ISNUMBER(SEARCH(" "&amp;Search!$P$6,N473))),OR(Search!$P$7="",ISNUMBER(SEARCH(" "&amp;Search!$P$7,N473))),OR(Search!$P$8="",ISNUMBER(SEARCH(" "&amp;Search!$P$8,N473))),OR(Search!$P$9="",ISNUMBER(SEARCH(" "&amp;Search!$P$9,N473))),OR(Search!$P$10="",ISNUMBER(SEARCH(" "&amp;Search!$P$10,N473)))),ROW(),""))</f>
        <v/>
      </c>
      <c r="N473" s="0" t="str">
        <f aca="false">IF(D473="",""," "&amp;SUBSTITUTE(SUBSTITUTE(SUBSTITUTE(SUBSTITUTE(SUBSTITUTE(SUBSTITUTE(SUBSTITUTE(B473&amp;" "&amp;C473&amp;" "&amp;D473&amp;" "&amp;E473&amp;" "&amp;F473&amp;" "&amp;G473&amp;" "&amp;H473&amp;" "&amp;'10 Mild Steel'!R39,"("," "),")"," "),"/"," "),"-"," "),","," "),";"," "),":"," ")&amp;" ")</f>
        <v> MS 035 Flats &amp; Rounds MS round bar Dia 12 mm  0.89 kg m  Black Local lm 12mm mild steel </v>
      </c>
    </row>
    <row r="474" customFormat="false" ht="22.35" hidden="false" customHeight="false" outlineLevel="0" collapsed="false">
      <c r="A474" s="56" t="str">
        <f aca="false">IF('10 Mild Steel'!$C$40="","","Mild Steel (MS) - Sections, Plates &amp; Sheets")</f>
        <v>Mild Steel (MS) - Sections, Plates &amp; Sheets</v>
      </c>
      <c r="B474" s="57" t="str">
        <f aca="false">IF('10 Mild Steel'!$C$40="","",'10 Mild Steel'!A40)</f>
        <v>MS-036</v>
      </c>
      <c r="C474" s="56" t="str">
        <f aca="false">IF('10 Mild Steel'!$C$40="","",'10 Mild Steel'!B40)</f>
        <v>Flats &amp; Rounds</v>
      </c>
      <c r="D474" s="56" t="str">
        <f aca="false">IF('10 Mild Steel'!$C$40="","",'10 Mild Steel'!C40)</f>
        <v>MS round bar</v>
      </c>
      <c r="E474" s="56" t="str">
        <f aca="false">IF('10 Mild Steel'!$C$40="","",'10 Mild Steel'!D40)</f>
        <v>Dia 16 mm (1.58 kg/m)</v>
      </c>
      <c r="F474" s="56" t="str">
        <f aca="false">IF('10 Mild Steel'!$C$40="","",'10 Mild Steel'!E40)</f>
        <v>Black</v>
      </c>
      <c r="G474" s="56" t="str">
        <f aca="false">IF('10 Mild Steel'!$C$40="","",'10 Mild Steel'!F40)</f>
        <v>Local</v>
      </c>
      <c r="H474" s="57" t="str">
        <f aca="false">IF('10 Mild Steel'!$C$40="","",'10 Mild Steel'!G40)</f>
        <v>lm</v>
      </c>
      <c r="I474" s="58" t="n">
        <f aca="false">IF('10 Mild Steel'!$C$40="","",'10 Mild Steel'!J40)</f>
        <v>6.09</v>
      </c>
      <c r="J474" s="58" t="n">
        <f aca="false">IF('10 Mild Steel'!$C$40="","",'10 Mild Steel'!K40)</f>
        <v>7.31</v>
      </c>
      <c r="K474" s="58" t="n">
        <f aca="false">IF('10 Mild Steel'!$C$40="","",'10 Mild Steel'!L40)</f>
        <v>7.68</v>
      </c>
      <c r="L474" s="57" t="str">
        <f aca="false">IF('10 Mild Steel'!$C$40="","",'10 Mild Steel'!M40)</f>
        <v>Indicative</v>
      </c>
      <c r="M474" s="59" t="str">
        <f aca="false">IF(D474="","",IF(AND(OR(Search!$C$6="All Categories",A474=Search!$C$6),OR(Search!$P$5="",ISNUMBER(SEARCH(" "&amp;Search!$P$5,N474))),OR(Search!$P$6="",ISNUMBER(SEARCH(" "&amp;Search!$P$6,N474))),OR(Search!$P$7="",ISNUMBER(SEARCH(" "&amp;Search!$P$7,N474))),OR(Search!$P$8="",ISNUMBER(SEARCH(" "&amp;Search!$P$8,N474))),OR(Search!$P$9="",ISNUMBER(SEARCH(" "&amp;Search!$P$9,N474))),OR(Search!$P$10="",ISNUMBER(SEARCH(" "&amp;Search!$P$10,N474)))),ROW(),""))</f>
        <v/>
      </c>
      <c r="N474" s="0" t="str">
        <f aca="false">IF(D474="",""," "&amp;SUBSTITUTE(SUBSTITUTE(SUBSTITUTE(SUBSTITUTE(SUBSTITUTE(SUBSTITUTE(SUBSTITUTE(B474&amp;" "&amp;C474&amp;" "&amp;D474&amp;" "&amp;E474&amp;" "&amp;F474&amp;" "&amp;G474&amp;" "&amp;H474&amp;" "&amp;'10 Mild Steel'!R40,"("," "),")"," "),"/"," "),"-"," "),","," "),";"," "),":"," ")&amp;" ")</f>
        <v> MS 036 Flats &amp; Rounds MS round bar Dia 16 mm  1.58 kg m  Black Local lm 16mm mild steel </v>
      </c>
    </row>
    <row r="475" customFormat="false" ht="22.35" hidden="false" customHeight="false" outlineLevel="0" collapsed="false">
      <c r="A475" s="56" t="str">
        <f aca="false">IF('10 Mild Steel'!$C$41="","","Mild Steel (MS) - Sections, Plates &amp; Sheets")</f>
        <v>Mild Steel (MS) - Sections, Plates &amp; Sheets</v>
      </c>
      <c r="B475" s="57" t="str">
        <f aca="false">IF('10 Mild Steel'!$C$41="","",'10 Mild Steel'!A41)</f>
        <v>MS-037</v>
      </c>
      <c r="C475" s="56" t="str">
        <f aca="false">IF('10 Mild Steel'!$C$41="","",'10 Mild Steel'!B41)</f>
        <v>Flats &amp; Rounds</v>
      </c>
      <c r="D475" s="56" t="str">
        <f aca="false">IF('10 Mild Steel'!$C$41="","",'10 Mild Steel'!C41)</f>
        <v>MS round bar</v>
      </c>
      <c r="E475" s="56" t="str">
        <f aca="false">IF('10 Mild Steel'!$C$41="","",'10 Mild Steel'!D41)</f>
        <v>Dia 20 mm (2.47 kg/m)</v>
      </c>
      <c r="F475" s="56" t="str">
        <f aca="false">IF('10 Mild Steel'!$C$41="","",'10 Mild Steel'!E41)</f>
        <v>Black</v>
      </c>
      <c r="G475" s="56" t="str">
        <f aca="false">IF('10 Mild Steel'!$C$41="","",'10 Mild Steel'!F41)</f>
        <v>Local</v>
      </c>
      <c r="H475" s="57" t="str">
        <f aca="false">IF('10 Mild Steel'!$C$41="","",'10 Mild Steel'!G41)</f>
        <v>lm</v>
      </c>
      <c r="I475" s="58" t="n">
        <f aca="false">IF('10 Mild Steel'!$C$41="","",'10 Mild Steel'!J41)</f>
        <v>9.51</v>
      </c>
      <c r="J475" s="58" t="n">
        <f aca="false">IF('10 Mild Steel'!$C$41="","",'10 Mild Steel'!K41)</f>
        <v>11.41</v>
      </c>
      <c r="K475" s="58" t="n">
        <f aca="false">IF('10 Mild Steel'!$C$41="","",'10 Mild Steel'!L41)</f>
        <v>11.98</v>
      </c>
      <c r="L475" s="57" t="str">
        <f aca="false">IF('10 Mild Steel'!$C$41="","",'10 Mild Steel'!M41)</f>
        <v>Indicative</v>
      </c>
      <c r="M475" s="59" t="str">
        <f aca="false">IF(D475="","",IF(AND(OR(Search!$C$6="All Categories",A475=Search!$C$6),OR(Search!$P$5="",ISNUMBER(SEARCH(" "&amp;Search!$P$5,N475))),OR(Search!$P$6="",ISNUMBER(SEARCH(" "&amp;Search!$P$6,N475))),OR(Search!$P$7="",ISNUMBER(SEARCH(" "&amp;Search!$P$7,N475))),OR(Search!$P$8="",ISNUMBER(SEARCH(" "&amp;Search!$P$8,N475))),OR(Search!$P$9="",ISNUMBER(SEARCH(" "&amp;Search!$P$9,N475))),OR(Search!$P$10="",ISNUMBER(SEARCH(" "&amp;Search!$P$10,N475)))),ROW(),""))</f>
        <v/>
      </c>
      <c r="N475" s="0" t="str">
        <f aca="false">IF(D475="",""," "&amp;SUBSTITUTE(SUBSTITUTE(SUBSTITUTE(SUBSTITUTE(SUBSTITUTE(SUBSTITUTE(SUBSTITUTE(B475&amp;" "&amp;C475&amp;" "&amp;D475&amp;" "&amp;E475&amp;" "&amp;F475&amp;" "&amp;G475&amp;" "&amp;H475&amp;" "&amp;'10 Mild Steel'!R41,"("," "),")"," "),"/"," "),"-"," "),","," "),";"," "),":"," ")&amp;" ")</f>
        <v> MS 037 Flats &amp; Rounds MS round bar Dia 20 mm  2.47 kg m  Black Local lm 20mm mild steel </v>
      </c>
    </row>
    <row r="476" customFormat="false" ht="22.35" hidden="false" customHeight="false" outlineLevel="0" collapsed="false">
      <c r="A476" s="56" t="str">
        <f aca="false">IF('10 Mild Steel'!$C$42="","","Mild Steel (MS) - Sections, Plates &amp; Sheets")</f>
        <v>Mild Steel (MS) - Sections, Plates &amp; Sheets</v>
      </c>
      <c r="B476" s="57" t="str">
        <f aca="false">IF('10 Mild Steel'!$C$42="","",'10 Mild Steel'!A42)</f>
        <v>MS-038</v>
      </c>
      <c r="C476" s="56" t="str">
        <f aca="false">IF('10 Mild Steel'!$C$42="","",'10 Mild Steel'!B42)</f>
        <v>Flats &amp; Rounds</v>
      </c>
      <c r="D476" s="56" t="str">
        <f aca="false">IF('10 Mild Steel'!$C$42="","",'10 Mild Steel'!C42)</f>
        <v>MS square bar</v>
      </c>
      <c r="E476" s="56" t="str">
        <f aca="false">IF('10 Mild Steel'!$C$42="","",'10 Mild Steel'!D42)</f>
        <v>12 x 12 mm (1.13 kg/m)</v>
      </c>
      <c r="F476" s="56" t="str">
        <f aca="false">IF('10 Mild Steel'!$C$42="","",'10 Mild Steel'!E42)</f>
        <v>Black</v>
      </c>
      <c r="G476" s="56" t="str">
        <f aca="false">IF('10 Mild Steel'!$C$42="","",'10 Mild Steel'!F42)</f>
        <v>Local</v>
      </c>
      <c r="H476" s="57" t="str">
        <f aca="false">IF('10 Mild Steel'!$C$42="","",'10 Mild Steel'!G42)</f>
        <v>lm</v>
      </c>
      <c r="I476" s="58" t="n">
        <f aca="false">IF('10 Mild Steel'!$C$42="","",'10 Mild Steel'!J42)</f>
        <v>4.35</v>
      </c>
      <c r="J476" s="58" t="n">
        <f aca="false">IF('10 Mild Steel'!$C$42="","",'10 Mild Steel'!K42)</f>
        <v>5.22</v>
      </c>
      <c r="K476" s="58" t="n">
        <f aca="false">IF('10 Mild Steel'!$C$42="","",'10 Mild Steel'!L42)</f>
        <v>5.48</v>
      </c>
      <c r="L476" s="57" t="str">
        <f aca="false">IF('10 Mild Steel'!$C$42="","",'10 Mild Steel'!M42)</f>
        <v>Indicative</v>
      </c>
      <c r="M476" s="59" t="str">
        <f aca="false">IF(D476="","",IF(AND(OR(Search!$C$6="All Categories",A476=Search!$C$6),OR(Search!$P$5="",ISNUMBER(SEARCH(" "&amp;Search!$P$5,N476))),OR(Search!$P$6="",ISNUMBER(SEARCH(" "&amp;Search!$P$6,N476))),OR(Search!$P$7="",ISNUMBER(SEARCH(" "&amp;Search!$P$7,N476))),OR(Search!$P$8="",ISNUMBER(SEARCH(" "&amp;Search!$P$8,N476))),OR(Search!$P$9="",ISNUMBER(SEARCH(" "&amp;Search!$P$9,N476))),OR(Search!$P$10="",ISNUMBER(SEARCH(" "&amp;Search!$P$10,N476)))),ROW(),""))</f>
        <v/>
      </c>
      <c r="N476" s="0" t="str">
        <f aca="false">IF(D476="",""," "&amp;SUBSTITUTE(SUBSTITUTE(SUBSTITUTE(SUBSTITUTE(SUBSTITUTE(SUBSTITUTE(SUBSTITUTE(B476&amp;" "&amp;C476&amp;" "&amp;D476&amp;" "&amp;E476&amp;" "&amp;F476&amp;" "&amp;G476&amp;" "&amp;H476&amp;" "&amp;'10 Mild Steel'!R42,"("," "),")"," "),"/"," "),"-"," "),","," "),";"," "),":"," ")&amp;" ")</f>
        <v> MS 038 Flats &amp; Rounds MS square bar 12 x 12 mm  1.13 kg m  Black Local lm 12x12 12mm mild steel </v>
      </c>
    </row>
    <row r="477" customFormat="false" ht="22.35" hidden="false" customHeight="false" outlineLevel="0" collapsed="false">
      <c r="A477" s="56" t="str">
        <f aca="false">IF('10 Mild Steel'!$C$43="","","Mild Steel (MS) - Sections, Plates &amp; Sheets")</f>
        <v>Mild Steel (MS) - Sections, Plates &amp; Sheets</v>
      </c>
      <c r="B477" s="57" t="str">
        <f aca="false">IF('10 Mild Steel'!$C$43="","",'10 Mild Steel'!A43)</f>
        <v>MS-039</v>
      </c>
      <c r="C477" s="56" t="str">
        <f aca="false">IF('10 Mild Steel'!$C$43="","",'10 Mild Steel'!B43)</f>
        <v>Pipes (CHS)</v>
      </c>
      <c r="D477" s="56" t="str">
        <f aca="false">IF('10 Mild Steel'!$C$43="","",'10 Mild Steel'!C43)</f>
        <v>MS circular hollow section</v>
      </c>
      <c r="E477" s="56" t="str">
        <f aca="false">IF('10 Mild Steel'!$C$43="","",'10 Mild Steel'!D43)</f>
        <v>48.3 x 3.2 mm (3.56 kg/m)</v>
      </c>
      <c r="F477" s="56" t="str">
        <f aca="false">IF('10 Mild Steel'!$C$43="","",'10 Mild Steel'!E43)</f>
        <v>Black</v>
      </c>
      <c r="G477" s="56" t="str">
        <f aca="false">IF('10 Mild Steel'!$C$43="","",'10 Mild Steel'!F43)</f>
        <v>Local</v>
      </c>
      <c r="H477" s="57" t="str">
        <f aca="false">IF('10 Mild Steel'!$C$43="","",'10 Mild Steel'!G43)</f>
        <v>lm</v>
      </c>
      <c r="I477" s="58" t="n">
        <f aca="false">IF('10 Mild Steel'!$C$43="","",'10 Mild Steel'!J43)</f>
        <v>13.72</v>
      </c>
      <c r="J477" s="58" t="n">
        <f aca="false">IF('10 Mild Steel'!$C$43="","",'10 Mild Steel'!K43)</f>
        <v>16.46</v>
      </c>
      <c r="K477" s="58" t="n">
        <f aca="false">IF('10 Mild Steel'!$C$43="","",'10 Mild Steel'!L43)</f>
        <v>17.28</v>
      </c>
      <c r="L477" s="57" t="str">
        <f aca="false">IF('10 Mild Steel'!$C$43="","",'10 Mild Steel'!M43)</f>
        <v>Indicative</v>
      </c>
      <c r="M477" s="59" t="str">
        <f aca="false">IF(D477="","",IF(AND(OR(Search!$C$6="All Categories",A477=Search!$C$6),OR(Search!$P$5="",ISNUMBER(SEARCH(" "&amp;Search!$P$5,N477))),OR(Search!$P$6="",ISNUMBER(SEARCH(" "&amp;Search!$P$6,N477))),OR(Search!$P$7="",ISNUMBER(SEARCH(" "&amp;Search!$P$7,N477))),OR(Search!$P$8="",ISNUMBER(SEARCH(" "&amp;Search!$P$8,N477))),OR(Search!$P$9="",ISNUMBER(SEARCH(" "&amp;Search!$P$9,N477))),OR(Search!$P$10="",ISNUMBER(SEARCH(" "&amp;Search!$P$10,N477)))),ROW(),""))</f>
        <v/>
      </c>
      <c r="N477" s="0" t="str">
        <f aca="false">IF(D477="",""," "&amp;SUBSTITUTE(SUBSTITUTE(SUBSTITUTE(SUBSTITUTE(SUBSTITUTE(SUBSTITUTE(SUBSTITUTE(B477&amp;" "&amp;C477&amp;" "&amp;D477&amp;" "&amp;E477&amp;" "&amp;F477&amp;" "&amp;G477&amp;" "&amp;H477&amp;" "&amp;'10 Mild Steel'!R43,"("," "),")"," "),"/"," "),"-"," "),","," "),";"," "),":"," ")&amp;" ")</f>
        <v> MS 039 Pipes  CHS  MS circular hollow section 48.3 x 3.2 mm  3.56 kg m  Black Local lm 48.3x3.2 3.2mm chs pipe round tube mild steel </v>
      </c>
    </row>
    <row r="478" customFormat="false" ht="22.35" hidden="false" customHeight="false" outlineLevel="0" collapsed="false">
      <c r="A478" s="56" t="str">
        <f aca="false">IF('10 Mild Steel'!$C$44="","","Mild Steel (MS) - Sections, Plates &amp; Sheets")</f>
        <v>Mild Steel (MS) - Sections, Plates &amp; Sheets</v>
      </c>
      <c r="B478" s="57" t="str">
        <f aca="false">IF('10 Mild Steel'!$C$44="","",'10 Mild Steel'!A44)</f>
        <v>MS-040</v>
      </c>
      <c r="C478" s="56" t="str">
        <f aca="false">IF('10 Mild Steel'!$C$44="","",'10 Mild Steel'!B44)</f>
        <v>Pipes (CHS)</v>
      </c>
      <c r="D478" s="56" t="str">
        <f aca="false">IF('10 Mild Steel'!$C$44="","",'10 Mild Steel'!C44)</f>
        <v>MS circular hollow section</v>
      </c>
      <c r="E478" s="56" t="str">
        <f aca="false">IF('10 Mild Steel'!$C$44="","",'10 Mild Steel'!D44)</f>
        <v>60.3 x 3.6 mm (5.03 kg/m)</v>
      </c>
      <c r="F478" s="56" t="str">
        <f aca="false">IF('10 Mild Steel'!$C$44="","",'10 Mild Steel'!E44)</f>
        <v>Black</v>
      </c>
      <c r="G478" s="56" t="str">
        <f aca="false">IF('10 Mild Steel'!$C$44="","",'10 Mild Steel'!F44)</f>
        <v>Local</v>
      </c>
      <c r="H478" s="57" t="str">
        <f aca="false">IF('10 Mild Steel'!$C$44="","",'10 Mild Steel'!G44)</f>
        <v>lm</v>
      </c>
      <c r="I478" s="58" t="n">
        <f aca="false">IF('10 Mild Steel'!$C$44="","",'10 Mild Steel'!J44)</f>
        <v>19.38</v>
      </c>
      <c r="J478" s="58" t="n">
        <f aca="false">IF('10 Mild Steel'!$C$44="","",'10 Mild Steel'!K44)</f>
        <v>23.26</v>
      </c>
      <c r="K478" s="58" t="n">
        <f aca="false">IF('10 Mild Steel'!$C$44="","",'10 Mild Steel'!L44)</f>
        <v>24.42</v>
      </c>
      <c r="L478" s="57" t="str">
        <f aca="false">IF('10 Mild Steel'!$C$44="","",'10 Mild Steel'!M44)</f>
        <v>Indicative</v>
      </c>
      <c r="M478" s="59" t="str">
        <f aca="false">IF(D478="","",IF(AND(OR(Search!$C$6="All Categories",A478=Search!$C$6),OR(Search!$P$5="",ISNUMBER(SEARCH(" "&amp;Search!$P$5,N478))),OR(Search!$P$6="",ISNUMBER(SEARCH(" "&amp;Search!$P$6,N478))),OR(Search!$P$7="",ISNUMBER(SEARCH(" "&amp;Search!$P$7,N478))),OR(Search!$P$8="",ISNUMBER(SEARCH(" "&amp;Search!$P$8,N478))),OR(Search!$P$9="",ISNUMBER(SEARCH(" "&amp;Search!$P$9,N478))),OR(Search!$P$10="",ISNUMBER(SEARCH(" "&amp;Search!$P$10,N478)))),ROW(),""))</f>
        <v/>
      </c>
      <c r="N478" s="0" t="str">
        <f aca="false">IF(D478="",""," "&amp;SUBSTITUTE(SUBSTITUTE(SUBSTITUTE(SUBSTITUTE(SUBSTITUTE(SUBSTITUTE(SUBSTITUTE(B478&amp;" "&amp;C478&amp;" "&amp;D478&amp;" "&amp;E478&amp;" "&amp;F478&amp;" "&amp;G478&amp;" "&amp;H478&amp;" "&amp;'10 Mild Steel'!R44,"("," "),")"," "),"/"," "),"-"," "),","," "),";"," "),":"," ")&amp;" ")</f>
        <v> MS 040 Pipes  CHS  MS circular hollow section 60.3 x 3.6 mm  5.03 kg m  Black Local lm 60.3x3.6 3.6mm chs pipe round tube mild steel </v>
      </c>
    </row>
    <row r="479" customFormat="false" ht="22.35" hidden="false" customHeight="false" outlineLevel="0" collapsed="false">
      <c r="A479" s="56" t="str">
        <f aca="false">IF('10 Mild Steel'!$C$45="","","Mild Steel (MS) - Sections, Plates &amp; Sheets")</f>
        <v>Mild Steel (MS) - Sections, Plates &amp; Sheets</v>
      </c>
      <c r="B479" s="57" t="str">
        <f aca="false">IF('10 Mild Steel'!$C$45="","",'10 Mild Steel'!A45)</f>
        <v>MS-041</v>
      </c>
      <c r="C479" s="56" t="str">
        <f aca="false">IF('10 Mild Steel'!$C$45="","",'10 Mild Steel'!B45)</f>
        <v>Pipes (CHS)</v>
      </c>
      <c r="D479" s="56" t="str">
        <f aca="false">IF('10 Mild Steel'!$C$45="","",'10 Mild Steel'!C45)</f>
        <v>MS circular hollow section</v>
      </c>
      <c r="E479" s="56" t="str">
        <f aca="false">IF('10 Mild Steel'!$C$45="","",'10 Mild Steel'!D45)</f>
        <v>88.9 x 4.0 mm (8.38 kg/m)</v>
      </c>
      <c r="F479" s="56" t="str">
        <f aca="false">IF('10 Mild Steel'!$C$45="","",'10 Mild Steel'!E45)</f>
        <v>Black</v>
      </c>
      <c r="G479" s="56" t="str">
        <f aca="false">IF('10 Mild Steel'!$C$45="","",'10 Mild Steel'!F45)</f>
        <v>Local</v>
      </c>
      <c r="H479" s="57" t="str">
        <f aca="false">IF('10 Mild Steel'!$C$45="","",'10 Mild Steel'!G45)</f>
        <v>lm</v>
      </c>
      <c r="I479" s="58" t="n">
        <f aca="false">IF('10 Mild Steel'!$C$45="","",'10 Mild Steel'!J45)</f>
        <v>32.28</v>
      </c>
      <c r="J479" s="58" t="n">
        <f aca="false">IF('10 Mild Steel'!$C$45="","",'10 Mild Steel'!K45)</f>
        <v>38.74</v>
      </c>
      <c r="K479" s="58" t="n">
        <f aca="false">IF('10 Mild Steel'!$C$45="","",'10 Mild Steel'!L45)</f>
        <v>40.68</v>
      </c>
      <c r="L479" s="57" t="str">
        <f aca="false">IF('10 Mild Steel'!$C$45="","",'10 Mild Steel'!M45)</f>
        <v>Indicative</v>
      </c>
      <c r="M479" s="59" t="str">
        <f aca="false">IF(D479="","",IF(AND(OR(Search!$C$6="All Categories",A479=Search!$C$6),OR(Search!$P$5="",ISNUMBER(SEARCH(" "&amp;Search!$P$5,N479))),OR(Search!$P$6="",ISNUMBER(SEARCH(" "&amp;Search!$P$6,N479))),OR(Search!$P$7="",ISNUMBER(SEARCH(" "&amp;Search!$P$7,N479))),OR(Search!$P$8="",ISNUMBER(SEARCH(" "&amp;Search!$P$8,N479))),OR(Search!$P$9="",ISNUMBER(SEARCH(" "&amp;Search!$P$9,N479))),OR(Search!$P$10="",ISNUMBER(SEARCH(" "&amp;Search!$P$10,N479)))),ROW(),""))</f>
        <v/>
      </c>
      <c r="N479" s="0" t="str">
        <f aca="false">IF(D479="",""," "&amp;SUBSTITUTE(SUBSTITUTE(SUBSTITUTE(SUBSTITUTE(SUBSTITUTE(SUBSTITUTE(SUBSTITUTE(B479&amp;" "&amp;C479&amp;" "&amp;D479&amp;" "&amp;E479&amp;" "&amp;F479&amp;" "&amp;G479&amp;" "&amp;H479&amp;" "&amp;'10 Mild Steel'!R45,"("," "),")"," "),"/"," "),"-"," "),","," "),";"," "),":"," ")&amp;" ")</f>
        <v> MS 041 Pipes  CHS  MS circular hollow section 88.9 x 4.0 mm  8.38 kg m  Black Local lm 88.9x4.0 4.0mm chs pipe round tube mild steel </v>
      </c>
    </row>
    <row r="480" customFormat="false" ht="22.35" hidden="false" customHeight="false" outlineLevel="0" collapsed="false">
      <c r="A480" s="56" t="str">
        <f aca="false">IF('10 Mild Steel'!$C$46="","","Mild Steel (MS) - Sections, Plates &amp; Sheets")</f>
        <v>Mild Steel (MS) - Sections, Plates &amp; Sheets</v>
      </c>
      <c r="B480" s="57" t="str">
        <f aca="false">IF('10 Mild Steel'!$C$46="","",'10 Mild Steel'!A46)</f>
        <v>MS-042</v>
      </c>
      <c r="C480" s="56" t="str">
        <f aca="false">IF('10 Mild Steel'!$C$46="","",'10 Mild Steel'!B46)</f>
        <v>Pipes (CHS)</v>
      </c>
      <c r="D480" s="56" t="str">
        <f aca="false">IF('10 Mild Steel'!$C$46="","",'10 Mild Steel'!C46)</f>
        <v>MS circular hollow section</v>
      </c>
      <c r="E480" s="56" t="str">
        <f aca="false">IF('10 Mild Steel'!$C$46="","",'10 Mild Steel'!D46)</f>
        <v>114.3 x 4.5 mm (12.20 kg/m)</v>
      </c>
      <c r="F480" s="56" t="str">
        <f aca="false">IF('10 Mild Steel'!$C$46="","",'10 Mild Steel'!E46)</f>
        <v>Black</v>
      </c>
      <c r="G480" s="56" t="str">
        <f aca="false">IF('10 Mild Steel'!$C$46="","",'10 Mild Steel'!F46)</f>
        <v>Local</v>
      </c>
      <c r="H480" s="57" t="str">
        <f aca="false">IF('10 Mild Steel'!$C$46="","",'10 Mild Steel'!G46)</f>
        <v>lm</v>
      </c>
      <c r="I480" s="58" t="n">
        <f aca="false">IF('10 Mild Steel'!$C$46="","",'10 Mild Steel'!J46)</f>
        <v>46.99</v>
      </c>
      <c r="J480" s="58" t="n">
        <f aca="false">IF('10 Mild Steel'!$C$46="","",'10 Mild Steel'!K46)</f>
        <v>56.39</v>
      </c>
      <c r="K480" s="58" t="n">
        <f aca="false">IF('10 Mild Steel'!$C$46="","",'10 Mild Steel'!L46)</f>
        <v>59.21</v>
      </c>
      <c r="L480" s="57" t="str">
        <f aca="false">IF('10 Mild Steel'!$C$46="","",'10 Mild Steel'!M46)</f>
        <v>Indicative</v>
      </c>
      <c r="M480" s="59" t="str">
        <f aca="false">IF(D480="","",IF(AND(OR(Search!$C$6="All Categories",A480=Search!$C$6),OR(Search!$P$5="",ISNUMBER(SEARCH(" "&amp;Search!$P$5,N480))),OR(Search!$P$6="",ISNUMBER(SEARCH(" "&amp;Search!$P$6,N480))),OR(Search!$P$7="",ISNUMBER(SEARCH(" "&amp;Search!$P$7,N480))),OR(Search!$P$8="",ISNUMBER(SEARCH(" "&amp;Search!$P$8,N480))),OR(Search!$P$9="",ISNUMBER(SEARCH(" "&amp;Search!$P$9,N480))),OR(Search!$P$10="",ISNUMBER(SEARCH(" "&amp;Search!$P$10,N480)))),ROW(),""))</f>
        <v/>
      </c>
      <c r="N480" s="0" t="str">
        <f aca="false">IF(D480="",""," "&amp;SUBSTITUTE(SUBSTITUTE(SUBSTITUTE(SUBSTITUTE(SUBSTITUTE(SUBSTITUTE(SUBSTITUTE(B480&amp;" "&amp;C480&amp;" "&amp;D480&amp;" "&amp;E480&amp;" "&amp;F480&amp;" "&amp;G480&amp;" "&amp;H480&amp;" "&amp;'10 Mild Steel'!R46,"("," "),")"," "),"/"," "),"-"," "),","," "),";"," "),":"," ")&amp;" ")</f>
        <v> MS 042 Pipes  CHS  MS circular hollow section 114.3 x 4.5 mm  12.20 kg m  Black Local lm 114.3x4.5 4.5mm chs pipe round tube mild steel </v>
      </c>
    </row>
    <row r="481" customFormat="false" ht="22.35" hidden="false" customHeight="false" outlineLevel="0" collapsed="false">
      <c r="A481" s="56" t="str">
        <f aca="false">IF('10 Mild Steel'!$C$47="","","Mild Steel (MS) - Sections, Plates &amp; Sheets")</f>
        <v>Mild Steel (MS) - Sections, Plates &amp; Sheets</v>
      </c>
      <c r="B481" s="57" t="str">
        <f aca="false">IF('10 Mild Steel'!$C$47="","",'10 Mild Steel'!A47)</f>
        <v>MS-043</v>
      </c>
      <c r="C481" s="56" t="str">
        <f aca="false">IF('10 Mild Steel'!$C$47="","",'10 Mild Steel'!B47)</f>
        <v>Plates</v>
      </c>
      <c r="D481" s="56" t="str">
        <f aca="false">IF('10 Mild Steel'!$C$47="","",'10 Mild Steel'!C47)</f>
        <v>MS plate</v>
      </c>
      <c r="E481" s="56" t="str">
        <f aca="false">IF('10 Mild Steel'!$C$47="","",'10 Mild Steel'!D47)</f>
        <v>3 mm (23.55 kg/m2)</v>
      </c>
      <c r="F481" s="56" t="str">
        <f aca="false">IF('10 Mild Steel'!$C$47="","",'10 Mild Steel'!E47)</f>
        <v>Black</v>
      </c>
      <c r="G481" s="56" t="str">
        <f aca="false">IF('10 Mild Steel'!$C$47="","",'10 Mild Steel'!F47)</f>
        <v>Local</v>
      </c>
      <c r="H481" s="57" t="str">
        <f aca="false">IF('10 Mild Steel'!$C$47="","",'10 Mild Steel'!G47)</f>
        <v>m2</v>
      </c>
      <c r="I481" s="58" t="n">
        <f aca="false">IF('10 Mild Steel'!$C$47="","",'10 Mild Steel'!J47)</f>
        <v>85.67</v>
      </c>
      <c r="J481" s="58" t="n">
        <f aca="false">IF('10 Mild Steel'!$C$47="","",'10 Mild Steel'!K47)</f>
        <v>102.8</v>
      </c>
      <c r="K481" s="58" t="n">
        <f aca="false">IF('10 Mild Steel'!$C$47="","",'10 Mild Steel'!L47)</f>
        <v>107.94</v>
      </c>
      <c r="L481" s="57" t="str">
        <f aca="false">IF('10 Mild Steel'!$C$47="","",'10 Mild Steel'!M47)</f>
        <v>Indicative</v>
      </c>
      <c r="M481" s="59" t="str">
        <f aca="false">IF(D481="","",IF(AND(OR(Search!$C$6="All Categories",A481=Search!$C$6),OR(Search!$P$5="",ISNUMBER(SEARCH(" "&amp;Search!$P$5,N481))),OR(Search!$P$6="",ISNUMBER(SEARCH(" "&amp;Search!$P$6,N481))),OR(Search!$P$7="",ISNUMBER(SEARCH(" "&amp;Search!$P$7,N481))),OR(Search!$P$8="",ISNUMBER(SEARCH(" "&amp;Search!$P$8,N481))),OR(Search!$P$9="",ISNUMBER(SEARCH(" "&amp;Search!$P$9,N481))),OR(Search!$P$10="",ISNUMBER(SEARCH(" "&amp;Search!$P$10,N481)))),ROW(),""))</f>
        <v/>
      </c>
      <c r="N481" s="0" t="str">
        <f aca="false">IF(D481="",""," "&amp;SUBSTITUTE(SUBSTITUTE(SUBSTITUTE(SUBSTITUTE(SUBSTITUTE(SUBSTITUTE(SUBSTITUTE(B481&amp;" "&amp;C481&amp;" "&amp;D481&amp;" "&amp;E481&amp;" "&amp;F481&amp;" "&amp;G481&amp;" "&amp;H481&amp;" "&amp;'10 Mild Steel'!R47,"("," "),")"," "),"/"," "),"-"," "),","," "),";"," "),":"," ")&amp;" ")</f>
        <v> MS 043 Plates MS plate 3 mm  23.55 kg m2  Black Local m2 3mm mild steel </v>
      </c>
    </row>
    <row r="482" customFormat="false" ht="22.35" hidden="false" customHeight="false" outlineLevel="0" collapsed="false">
      <c r="A482" s="56" t="str">
        <f aca="false">IF('10 Mild Steel'!$C$48="","","Mild Steel (MS) - Sections, Plates &amp; Sheets")</f>
        <v>Mild Steel (MS) - Sections, Plates &amp; Sheets</v>
      </c>
      <c r="B482" s="57" t="str">
        <f aca="false">IF('10 Mild Steel'!$C$48="","",'10 Mild Steel'!A48)</f>
        <v>MS-044</v>
      </c>
      <c r="C482" s="56" t="str">
        <f aca="false">IF('10 Mild Steel'!$C$48="","",'10 Mild Steel'!B48)</f>
        <v>Plates</v>
      </c>
      <c r="D482" s="56" t="str">
        <f aca="false">IF('10 Mild Steel'!$C$48="","",'10 Mild Steel'!C48)</f>
        <v>MS plate</v>
      </c>
      <c r="E482" s="56" t="str">
        <f aca="false">IF('10 Mild Steel'!$C$48="","",'10 Mild Steel'!D48)</f>
        <v>5 mm (39.25 kg/m2)</v>
      </c>
      <c r="F482" s="56" t="str">
        <f aca="false">IF('10 Mild Steel'!$C$48="","",'10 Mild Steel'!E48)</f>
        <v>Black</v>
      </c>
      <c r="G482" s="56" t="str">
        <f aca="false">IF('10 Mild Steel'!$C$48="","",'10 Mild Steel'!F48)</f>
        <v>Local</v>
      </c>
      <c r="H482" s="57" t="str">
        <f aca="false">IF('10 Mild Steel'!$C$48="","",'10 Mild Steel'!G48)</f>
        <v>m2</v>
      </c>
      <c r="I482" s="58" t="n">
        <f aca="false">IF('10 Mild Steel'!$C$48="","",'10 Mild Steel'!J48)</f>
        <v>142.79</v>
      </c>
      <c r="J482" s="58" t="n">
        <f aca="false">IF('10 Mild Steel'!$C$48="","",'10 Mild Steel'!K48)</f>
        <v>171.35</v>
      </c>
      <c r="K482" s="58" t="n">
        <f aca="false">IF('10 Mild Steel'!$C$48="","",'10 Mild Steel'!L48)</f>
        <v>179.92</v>
      </c>
      <c r="L482" s="57" t="str">
        <f aca="false">IF('10 Mild Steel'!$C$48="","",'10 Mild Steel'!M48)</f>
        <v>Indicative</v>
      </c>
      <c r="M482" s="59" t="str">
        <f aca="false">IF(D482="","",IF(AND(OR(Search!$C$6="All Categories",A482=Search!$C$6),OR(Search!$P$5="",ISNUMBER(SEARCH(" "&amp;Search!$P$5,N482))),OR(Search!$P$6="",ISNUMBER(SEARCH(" "&amp;Search!$P$6,N482))),OR(Search!$P$7="",ISNUMBER(SEARCH(" "&amp;Search!$P$7,N482))),OR(Search!$P$8="",ISNUMBER(SEARCH(" "&amp;Search!$P$8,N482))),OR(Search!$P$9="",ISNUMBER(SEARCH(" "&amp;Search!$P$9,N482))),OR(Search!$P$10="",ISNUMBER(SEARCH(" "&amp;Search!$P$10,N482)))),ROW(),""))</f>
        <v/>
      </c>
      <c r="N482" s="0" t="str">
        <f aca="false">IF(D482="",""," "&amp;SUBSTITUTE(SUBSTITUTE(SUBSTITUTE(SUBSTITUTE(SUBSTITUTE(SUBSTITUTE(SUBSTITUTE(B482&amp;" "&amp;C482&amp;" "&amp;D482&amp;" "&amp;E482&amp;" "&amp;F482&amp;" "&amp;G482&amp;" "&amp;H482&amp;" "&amp;'10 Mild Steel'!R48,"("," "),")"," "),"/"," "),"-"," "),","," "),";"," "),":"," ")&amp;" ")</f>
        <v> MS 044 Plates MS plate 5 mm  39.25 kg m2  Black Local m2 5mm mild steel </v>
      </c>
    </row>
    <row r="483" customFormat="false" ht="22.35" hidden="false" customHeight="false" outlineLevel="0" collapsed="false">
      <c r="A483" s="56" t="str">
        <f aca="false">IF('10 Mild Steel'!$C$49="","","Mild Steel (MS) - Sections, Plates &amp; Sheets")</f>
        <v>Mild Steel (MS) - Sections, Plates &amp; Sheets</v>
      </c>
      <c r="B483" s="57" t="str">
        <f aca="false">IF('10 Mild Steel'!$C$49="","",'10 Mild Steel'!A49)</f>
        <v>MS-045</v>
      </c>
      <c r="C483" s="56" t="str">
        <f aca="false">IF('10 Mild Steel'!$C$49="","",'10 Mild Steel'!B49)</f>
        <v>Plates</v>
      </c>
      <c r="D483" s="56" t="str">
        <f aca="false">IF('10 Mild Steel'!$C$49="","",'10 Mild Steel'!C49)</f>
        <v>MS plate</v>
      </c>
      <c r="E483" s="56" t="str">
        <f aca="false">IF('10 Mild Steel'!$C$49="","",'10 Mild Steel'!D49)</f>
        <v>6 mm (47.10 kg/m2)</v>
      </c>
      <c r="F483" s="56" t="str">
        <f aca="false">IF('10 Mild Steel'!$C$49="","",'10 Mild Steel'!E49)</f>
        <v>Black</v>
      </c>
      <c r="G483" s="56" t="str">
        <f aca="false">IF('10 Mild Steel'!$C$49="","",'10 Mild Steel'!F49)</f>
        <v>Local</v>
      </c>
      <c r="H483" s="57" t="str">
        <f aca="false">IF('10 Mild Steel'!$C$49="","",'10 Mild Steel'!G49)</f>
        <v>m2</v>
      </c>
      <c r="I483" s="58" t="n">
        <f aca="false">IF('10 Mild Steel'!$C$49="","",'10 Mild Steel'!J49)</f>
        <v>171.35</v>
      </c>
      <c r="J483" s="58" t="n">
        <f aca="false">IF('10 Mild Steel'!$C$49="","",'10 Mild Steel'!K49)</f>
        <v>205.62</v>
      </c>
      <c r="K483" s="58" t="n">
        <f aca="false">IF('10 Mild Steel'!$C$49="","",'10 Mild Steel'!L49)</f>
        <v>215.9</v>
      </c>
      <c r="L483" s="57" t="str">
        <f aca="false">IF('10 Mild Steel'!$C$49="","",'10 Mild Steel'!M49)</f>
        <v>Indicative</v>
      </c>
      <c r="M483" s="59" t="str">
        <f aca="false">IF(D483="","",IF(AND(OR(Search!$C$6="All Categories",A483=Search!$C$6),OR(Search!$P$5="",ISNUMBER(SEARCH(" "&amp;Search!$P$5,N483))),OR(Search!$P$6="",ISNUMBER(SEARCH(" "&amp;Search!$P$6,N483))),OR(Search!$P$7="",ISNUMBER(SEARCH(" "&amp;Search!$P$7,N483))),OR(Search!$P$8="",ISNUMBER(SEARCH(" "&amp;Search!$P$8,N483))),OR(Search!$P$9="",ISNUMBER(SEARCH(" "&amp;Search!$P$9,N483))),OR(Search!$P$10="",ISNUMBER(SEARCH(" "&amp;Search!$P$10,N483)))),ROW(),""))</f>
        <v/>
      </c>
      <c r="N483" s="0" t="str">
        <f aca="false">IF(D483="",""," "&amp;SUBSTITUTE(SUBSTITUTE(SUBSTITUTE(SUBSTITUTE(SUBSTITUTE(SUBSTITUTE(SUBSTITUTE(B483&amp;" "&amp;C483&amp;" "&amp;D483&amp;" "&amp;E483&amp;" "&amp;F483&amp;" "&amp;G483&amp;" "&amp;H483&amp;" "&amp;'10 Mild Steel'!R49,"("," "),")"," "),"/"," "),"-"," "),","," "),";"," "),":"," ")&amp;" ")</f>
        <v> MS 045 Plates MS plate 6 mm  47.10 kg m2  Black Local m2 6mm mild steel </v>
      </c>
    </row>
    <row r="484" customFormat="false" ht="22.35" hidden="false" customHeight="false" outlineLevel="0" collapsed="false">
      <c r="A484" s="56" t="str">
        <f aca="false">IF('10 Mild Steel'!$C$50="","","Mild Steel (MS) - Sections, Plates &amp; Sheets")</f>
        <v>Mild Steel (MS) - Sections, Plates &amp; Sheets</v>
      </c>
      <c r="B484" s="57" t="str">
        <f aca="false">IF('10 Mild Steel'!$C$50="","",'10 Mild Steel'!A50)</f>
        <v>MS-046</v>
      </c>
      <c r="C484" s="56" t="str">
        <f aca="false">IF('10 Mild Steel'!$C$50="","",'10 Mild Steel'!B50)</f>
        <v>Plates</v>
      </c>
      <c r="D484" s="56" t="str">
        <f aca="false">IF('10 Mild Steel'!$C$50="","",'10 Mild Steel'!C50)</f>
        <v>MS plate</v>
      </c>
      <c r="E484" s="56" t="str">
        <f aca="false">IF('10 Mild Steel'!$C$50="","",'10 Mild Steel'!D50)</f>
        <v>8 mm (62.80 kg/m2)</v>
      </c>
      <c r="F484" s="56" t="str">
        <f aca="false">IF('10 Mild Steel'!$C$50="","",'10 Mild Steel'!E50)</f>
        <v>Black</v>
      </c>
      <c r="G484" s="56" t="str">
        <f aca="false">IF('10 Mild Steel'!$C$50="","",'10 Mild Steel'!F50)</f>
        <v>Local</v>
      </c>
      <c r="H484" s="57" t="str">
        <f aca="false">IF('10 Mild Steel'!$C$50="","",'10 Mild Steel'!G50)</f>
        <v>m2</v>
      </c>
      <c r="I484" s="58" t="n">
        <f aca="false">IF('10 Mild Steel'!$C$50="","",'10 Mild Steel'!J50)</f>
        <v>228.47</v>
      </c>
      <c r="J484" s="58" t="n">
        <f aca="false">IF('10 Mild Steel'!$C$50="","",'10 Mild Steel'!K50)</f>
        <v>274.16</v>
      </c>
      <c r="K484" s="58" t="n">
        <f aca="false">IF('10 Mild Steel'!$C$50="","",'10 Mild Steel'!L50)</f>
        <v>287.87</v>
      </c>
      <c r="L484" s="57" t="str">
        <f aca="false">IF('10 Mild Steel'!$C$50="","",'10 Mild Steel'!M50)</f>
        <v>Indicative</v>
      </c>
      <c r="M484" s="59" t="str">
        <f aca="false">IF(D484="","",IF(AND(OR(Search!$C$6="All Categories",A484=Search!$C$6),OR(Search!$P$5="",ISNUMBER(SEARCH(" "&amp;Search!$P$5,N484))),OR(Search!$P$6="",ISNUMBER(SEARCH(" "&amp;Search!$P$6,N484))),OR(Search!$P$7="",ISNUMBER(SEARCH(" "&amp;Search!$P$7,N484))),OR(Search!$P$8="",ISNUMBER(SEARCH(" "&amp;Search!$P$8,N484))),OR(Search!$P$9="",ISNUMBER(SEARCH(" "&amp;Search!$P$9,N484))),OR(Search!$P$10="",ISNUMBER(SEARCH(" "&amp;Search!$P$10,N484)))),ROW(),""))</f>
        <v/>
      </c>
      <c r="N484" s="0" t="str">
        <f aca="false">IF(D484="",""," "&amp;SUBSTITUTE(SUBSTITUTE(SUBSTITUTE(SUBSTITUTE(SUBSTITUTE(SUBSTITUTE(SUBSTITUTE(B484&amp;" "&amp;C484&amp;" "&amp;D484&amp;" "&amp;E484&amp;" "&amp;F484&amp;" "&amp;G484&amp;" "&amp;H484&amp;" "&amp;'10 Mild Steel'!R50,"("," "),")"," "),"/"," "),"-"," "),","," "),";"," "),":"," ")&amp;" ")</f>
        <v> MS 046 Plates MS plate 8 mm  62.80 kg m2  Black Local m2 8mm mild steel </v>
      </c>
    </row>
    <row r="485" customFormat="false" ht="22.35" hidden="false" customHeight="false" outlineLevel="0" collapsed="false">
      <c r="A485" s="56" t="str">
        <f aca="false">IF('10 Mild Steel'!$C$51="","","Mild Steel (MS) - Sections, Plates &amp; Sheets")</f>
        <v>Mild Steel (MS) - Sections, Plates &amp; Sheets</v>
      </c>
      <c r="B485" s="57" t="str">
        <f aca="false">IF('10 Mild Steel'!$C$51="","",'10 Mild Steel'!A51)</f>
        <v>MS-047</v>
      </c>
      <c r="C485" s="56" t="str">
        <f aca="false">IF('10 Mild Steel'!$C$51="","",'10 Mild Steel'!B51)</f>
        <v>Plates</v>
      </c>
      <c r="D485" s="56" t="str">
        <f aca="false">IF('10 Mild Steel'!$C$51="","",'10 Mild Steel'!C51)</f>
        <v>MS plate</v>
      </c>
      <c r="E485" s="56" t="str">
        <f aca="false">IF('10 Mild Steel'!$C$51="","",'10 Mild Steel'!D51)</f>
        <v>10 mm (78.50 kg/m2)</v>
      </c>
      <c r="F485" s="56" t="str">
        <f aca="false">IF('10 Mild Steel'!$C$51="","",'10 Mild Steel'!E51)</f>
        <v>Black</v>
      </c>
      <c r="G485" s="56" t="str">
        <f aca="false">IF('10 Mild Steel'!$C$51="","",'10 Mild Steel'!F51)</f>
        <v>Local</v>
      </c>
      <c r="H485" s="57" t="str">
        <f aca="false">IF('10 Mild Steel'!$C$51="","",'10 Mild Steel'!G51)</f>
        <v>m2</v>
      </c>
      <c r="I485" s="58" t="n">
        <f aca="false">IF('10 Mild Steel'!$C$51="","",'10 Mild Steel'!J51)</f>
        <v>285.58</v>
      </c>
      <c r="J485" s="58" t="n">
        <f aca="false">IF('10 Mild Steel'!$C$51="","",'10 Mild Steel'!K51)</f>
        <v>342.7</v>
      </c>
      <c r="K485" s="58" t="n">
        <f aca="false">IF('10 Mild Steel'!$C$51="","",'10 Mild Steel'!L51)</f>
        <v>359.84</v>
      </c>
      <c r="L485" s="57" t="str">
        <f aca="false">IF('10 Mild Steel'!$C$51="","",'10 Mild Steel'!M51)</f>
        <v>Indicative</v>
      </c>
      <c r="M485" s="59" t="str">
        <f aca="false">IF(D485="","",IF(AND(OR(Search!$C$6="All Categories",A485=Search!$C$6),OR(Search!$P$5="",ISNUMBER(SEARCH(" "&amp;Search!$P$5,N485))),OR(Search!$P$6="",ISNUMBER(SEARCH(" "&amp;Search!$P$6,N485))),OR(Search!$P$7="",ISNUMBER(SEARCH(" "&amp;Search!$P$7,N485))),OR(Search!$P$8="",ISNUMBER(SEARCH(" "&amp;Search!$P$8,N485))),OR(Search!$P$9="",ISNUMBER(SEARCH(" "&amp;Search!$P$9,N485))),OR(Search!$P$10="",ISNUMBER(SEARCH(" "&amp;Search!$P$10,N485)))),ROW(),""))</f>
        <v/>
      </c>
      <c r="N485" s="0" t="str">
        <f aca="false">IF(D485="",""," "&amp;SUBSTITUTE(SUBSTITUTE(SUBSTITUTE(SUBSTITUTE(SUBSTITUTE(SUBSTITUTE(SUBSTITUTE(B485&amp;" "&amp;C485&amp;" "&amp;D485&amp;" "&amp;E485&amp;" "&amp;F485&amp;" "&amp;G485&amp;" "&amp;H485&amp;" "&amp;'10 Mild Steel'!R51,"("," "),")"," "),"/"," "),"-"," "),","," "),";"," "),":"," ")&amp;" ")</f>
        <v> MS 047 Plates MS plate 10 mm  78.50 kg m2  Black Local m2 10mm mild steel </v>
      </c>
    </row>
    <row r="486" customFormat="false" ht="22.35" hidden="false" customHeight="false" outlineLevel="0" collapsed="false">
      <c r="A486" s="56" t="str">
        <f aca="false">IF('10 Mild Steel'!$C$52="","","Mild Steel (MS) - Sections, Plates &amp; Sheets")</f>
        <v>Mild Steel (MS) - Sections, Plates &amp; Sheets</v>
      </c>
      <c r="B486" s="57" t="str">
        <f aca="false">IF('10 Mild Steel'!$C$52="","",'10 Mild Steel'!A52)</f>
        <v>MS-048</v>
      </c>
      <c r="C486" s="56" t="str">
        <f aca="false">IF('10 Mild Steel'!$C$52="","",'10 Mild Steel'!B52)</f>
        <v>Plates</v>
      </c>
      <c r="D486" s="56" t="str">
        <f aca="false">IF('10 Mild Steel'!$C$52="","",'10 Mild Steel'!C52)</f>
        <v>MS plate</v>
      </c>
      <c r="E486" s="56" t="str">
        <f aca="false">IF('10 Mild Steel'!$C$52="","",'10 Mild Steel'!D52)</f>
        <v>12 mm (94.20 kg/m2)</v>
      </c>
      <c r="F486" s="56" t="str">
        <f aca="false">IF('10 Mild Steel'!$C$52="","",'10 Mild Steel'!E52)</f>
        <v>Black</v>
      </c>
      <c r="G486" s="56" t="str">
        <f aca="false">IF('10 Mild Steel'!$C$52="","",'10 Mild Steel'!F52)</f>
        <v>Local</v>
      </c>
      <c r="H486" s="57" t="str">
        <f aca="false">IF('10 Mild Steel'!$C$52="","",'10 Mild Steel'!G52)</f>
        <v>m2</v>
      </c>
      <c r="I486" s="58" t="n">
        <f aca="false">IF('10 Mild Steel'!$C$52="","",'10 Mild Steel'!J52)</f>
        <v>342.7</v>
      </c>
      <c r="J486" s="58" t="n">
        <f aca="false">IF('10 Mild Steel'!$C$52="","",'10 Mild Steel'!K52)</f>
        <v>411.24</v>
      </c>
      <c r="K486" s="58" t="n">
        <f aca="false">IF('10 Mild Steel'!$C$52="","",'10 Mild Steel'!L52)</f>
        <v>431.8</v>
      </c>
      <c r="L486" s="57" t="str">
        <f aca="false">IF('10 Mild Steel'!$C$52="","",'10 Mild Steel'!M52)</f>
        <v>Indicative</v>
      </c>
      <c r="M486" s="59" t="str">
        <f aca="false">IF(D486="","",IF(AND(OR(Search!$C$6="All Categories",A486=Search!$C$6),OR(Search!$P$5="",ISNUMBER(SEARCH(" "&amp;Search!$P$5,N486))),OR(Search!$P$6="",ISNUMBER(SEARCH(" "&amp;Search!$P$6,N486))),OR(Search!$P$7="",ISNUMBER(SEARCH(" "&amp;Search!$P$7,N486))),OR(Search!$P$8="",ISNUMBER(SEARCH(" "&amp;Search!$P$8,N486))),OR(Search!$P$9="",ISNUMBER(SEARCH(" "&amp;Search!$P$9,N486))),OR(Search!$P$10="",ISNUMBER(SEARCH(" "&amp;Search!$P$10,N486)))),ROW(),""))</f>
        <v/>
      </c>
      <c r="N486" s="0" t="str">
        <f aca="false">IF(D486="",""," "&amp;SUBSTITUTE(SUBSTITUTE(SUBSTITUTE(SUBSTITUTE(SUBSTITUTE(SUBSTITUTE(SUBSTITUTE(B486&amp;" "&amp;C486&amp;" "&amp;D486&amp;" "&amp;E486&amp;" "&amp;F486&amp;" "&amp;G486&amp;" "&amp;H486&amp;" "&amp;'10 Mild Steel'!R52,"("," "),")"," "),"/"," "),"-"," "),","," "),";"," "),":"," ")&amp;" ")</f>
        <v> MS 048 Plates MS plate 12 mm  94.20 kg m2  Black Local m2 12mm mild steel </v>
      </c>
    </row>
    <row r="487" customFormat="false" ht="22.35" hidden="false" customHeight="false" outlineLevel="0" collapsed="false">
      <c r="A487" s="56" t="str">
        <f aca="false">IF('10 Mild Steel'!$C$53="","","Mild Steel (MS) - Sections, Plates &amp; Sheets")</f>
        <v>Mild Steel (MS) - Sections, Plates &amp; Sheets</v>
      </c>
      <c r="B487" s="57" t="str">
        <f aca="false">IF('10 Mild Steel'!$C$53="","",'10 Mild Steel'!A53)</f>
        <v>MS-049</v>
      </c>
      <c r="C487" s="56" t="str">
        <f aca="false">IF('10 Mild Steel'!$C$53="","",'10 Mild Steel'!B53)</f>
        <v>Plates</v>
      </c>
      <c r="D487" s="56" t="str">
        <f aca="false">IF('10 Mild Steel'!$C$53="","",'10 Mild Steel'!C53)</f>
        <v>MS plate</v>
      </c>
      <c r="E487" s="56" t="str">
        <f aca="false">IF('10 Mild Steel'!$C$53="","",'10 Mild Steel'!D53)</f>
        <v>16 mm (125.60 kg/m2)</v>
      </c>
      <c r="F487" s="56" t="str">
        <f aca="false">IF('10 Mild Steel'!$C$53="","",'10 Mild Steel'!E53)</f>
        <v>Black</v>
      </c>
      <c r="G487" s="56" t="str">
        <f aca="false">IF('10 Mild Steel'!$C$53="","",'10 Mild Steel'!F53)</f>
        <v>Local</v>
      </c>
      <c r="H487" s="57" t="str">
        <f aca="false">IF('10 Mild Steel'!$C$53="","",'10 Mild Steel'!G53)</f>
        <v>m2</v>
      </c>
      <c r="I487" s="58" t="n">
        <f aca="false">IF('10 Mild Steel'!$C$53="","",'10 Mild Steel'!J53)</f>
        <v>456.93</v>
      </c>
      <c r="J487" s="58" t="n">
        <f aca="false">IF('10 Mild Steel'!$C$53="","",'10 Mild Steel'!K53)</f>
        <v>548.32</v>
      </c>
      <c r="K487" s="58" t="n">
        <f aca="false">IF('10 Mild Steel'!$C$53="","",'10 Mild Steel'!L53)</f>
        <v>575.74</v>
      </c>
      <c r="L487" s="57" t="str">
        <f aca="false">IF('10 Mild Steel'!$C$53="","",'10 Mild Steel'!M53)</f>
        <v>Indicative</v>
      </c>
      <c r="M487" s="59" t="str">
        <f aca="false">IF(D487="","",IF(AND(OR(Search!$C$6="All Categories",A487=Search!$C$6),OR(Search!$P$5="",ISNUMBER(SEARCH(" "&amp;Search!$P$5,N487))),OR(Search!$P$6="",ISNUMBER(SEARCH(" "&amp;Search!$P$6,N487))),OR(Search!$P$7="",ISNUMBER(SEARCH(" "&amp;Search!$P$7,N487))),OR(Search!$P$8="",ISNUMBER(SEARCH(" "&amp;Search!$P$8,N487))),OR(Search!$P$9="",ISNUMBER(SEARCH(" "&amp;Search!$P$9,N487))),OR(Search!$P$10="",ISNUMBER(SEARCH(" "&amp;Search!$P$10,N487)))),ROW(),""))</f>
        <v/>
      </c>
      <c r="N487" s="0" t="str">
        <f aca="false">IF(D487="",""," "&amp;SUBSTITUTE(SUBSTITUTE(SUBSTITUTE(SUBSTITUTE(SUBSTITUTE(SUBSTITUTE(SUBSTITUTE(B487&amp;" "&amp;C487&amp;" "&amp;D487&amp;" "&amp;E487&amp;" "&amp;F487&amp;" "&amp;G487&amp;" "&amp;H487&amp;" "&amp;'10 Mild Steel'!R53,"("," "),")"," "),"/"," "),"-"," "),","," "),";"," "),":"," ")&amp;" ")</f>
        <v> MS 049 Plates MS plate 16 mm  125.60 kg m2  Black Local m2 16mm mild steel </v>
      </c>
    </row>
    <row r="488" customFormat="false" ht="22.35" hidden="false" customHeight="false" outlineLevel="0" collapsed="false">
      <c r="A488" s="56" t="str">
        <f aca="false">IF('10 Mild Steel'!$C$54="","","Mild Steel (MS) - Sections, Plates &amp; Sheets")</f>
        <v>Mild Steel (MS) - Sections, Plates &amp; Sheets</v>
      </c>
      <c r="B488" s="57" t="str">
        <f aca="false">IF('10 Mild Steel'!$C$54="","",'10 Mild Steel'!A54)</f>
        <v>MS-050</v>
      </c>
      <c r="C488" s="56" t="str">
        <f aca="false">IF('10 Mild Steel'!$C$54="","",'10 Mild Steel'!B54)</f>
        <v>Plates</v>
      </c>
      <c r="D488" s="56" t="str">
        <f aca="false">IF('10 Mild Steel'!$C$54="","",'10 Mild Steel'!C54)</f>
        <v>MS plate</v>
      </c>
      <c r="E488" s="56" t="str">
        <f aca="false">IF('10 Mild Steel'!$C$54="","",'10 Mild Steel'!D54)</f>
        <v>20 mm (157.00 kg/m2)</v>
      </c>
      <c r="F488" s="56" t="str">
        <f aca="false">IF('10 Mild Steel'!$C$54="","",'10 Mild Steel'!E54)</f>
        <v>Black</v>
      </c>
      <c r="G488" s="56" t="str">
        <f aca="false">IF('10 Mild Steel'!$C$54="","",'10 Mild Steel'!F54)</f>
        <v>Local</v>
      </c>
      <c r="H488" s="57" t="str">
        <f aca="false">IF('10 Mild Steel'!$C$54="","",'10 Mild Steel'!G54)</f>
        <v>m2</v>
      </c>
      <c r="I488" s="58" t="n">
        <f aca="false">IF('10 Mild Steel'!$C$54="","",'10 Mild Steel'!J54)</f>
        <v>571.17</v>
      </c>
      <c r="J488" s="58" t="n">
        <f aca="false">IF('10 Mild Steel'!$C$54="","",'10 Mild Steel'!K54)</f>
        <v>685.4</v>
      </c>
      <c r="K488" s="58" t="n">
        <f aca="false">IF('10 Mild Steel'!$C$54="","",'10 Mild Steel'!L54)</f>
        <v>719.67</v>
      </c>
      <c r="L488" s="57" t="str">
        <f aca="false">IF('10 Mild Steel'!$C$54="","",'10 Mild Steel'!M54)</f>
        <v>Indicative</v>
      </c>
      <c r="M488" s="59" t="str">
        <f aca="false">IF(D488="","",IF(AND(OR(Search!$C$6="All Categories",A488=Search!$C$6),OR(Search!$P$5="",ISNUMBER(SEARCH(" "&amp;Search!$P$5,N488))),OR(Search!$P$6="",ISNUMBER(SEARCH(" "&amp;Search!$P$6,N488))),OR(Search!$P$7="",ISNUMBER(SEARCH(" "&amp;Search!$P$7,N488))),OR(Search!$P$8="",ISNUMBER(SEARCH(" "&amp;Search!$P$8,N488))),OR(Search!$P$9="",ISNUMBER(SEARCH(" "&amp;Search!$P$9,N488))),OR(Search!$P$10="",ISNUMBER(SEARCH(" "&amp;Search!$P$10,N488)))),ROW(),""))</f>
        <v/>
      </c>
      <c r="N488" s="0" t="str">
        <f aca="false">IF(D488="",""," "&amp;SUBSTITUTE(SUBSTITUTE(SUBSTITUTE(SUBSTITUTE(SUBSTITUTE(SUBSTITUTE(SUBSTITUTE(B488&amp;" "&amp;C488&amp;" "&amp;D488&amp;" "&amp;E488&amp;" "&amp;F488&amp;" "&amp;G488&amp;" "&amp;H488&amp;" "&amp;'10 Mild Steel'!R54,"("," "),")"," "),"/"," "),"-"," "),","," "),";"," "),":"," ")&amp;" ")</f>
        <v> MS 050 Plates MS plate 20 mm  157.00 kg m2  Black Local m2 20mm mild steel </v>
      </c>
    </row>
    <row r="489" customFormat="false" ht="22.35" hidden="false" customHeight="false" outlineLevel="0" collapsed="false">
      <c r="A489" s="56" t="str">
        <f aca="false">IF('10 Mild Steel'!$C$55="","","Mild Steel (MS) - Sections, Plates &amp; Sheets")</f>
        <v>Mild Steel (MS) - Sections, Plates &amp; Sheets</v>
      </c>
      <c r="B489" s="57" t="str">
        <f aca="false">IF('10 Mild Steel'!$C$55="","",'10 Mild Steel'!A55)</f>
        <v>MS-051</v>
      </c>
      <c r="C489" s="56" t="str">
        <f aca="false">IF('10 Mild Steel'!$C$55="","",'10 Mild Steel'!B55)</f>
        <v>Plates</v>
      </c>
      <c r="D489" s="56" t="str">
        <f aca="false">IF('10 Mild Steel'!$C$55="","",'10 Mild Steel'!C55)</f>
        <v>MS chequered plate</v>
      </c>
      <c r="E489" s="56" t="str">
        <f aca="false">IF('10 Mild Steel'!$C$55="","",'10 Mild Steel'!D55)</f>
        <v>4.5 mm (39.50 kg/m2)</v>
      </c>
      <c r="F489" s="56" t="str">
        <f aca="false">IF('10 Mild Steel'!$C$55="","",'10 Mild Steel'!E55)</f>
        <v>Black</v>
      </c>
      <c r="G489" s="56" t="str">
        <f aca="false">IF('10 Mild Steel'!$C$55="","",'10 Mild Steel'!F55)</f>
        <v>Local</v>
      </c>
      <c r="H489" s="57" t="str">
        <f aca="false">IF('10 Mild Steel'!$C$55="","",'10 Mild Steel'!G55)</f>
        <v>m2</v>
      </c>
      <c r="I489" s="58" t="n">
        <f aca="false">IF('10 Mild Steel'!$C$55="","",'10 Mild Steel'!J55)</f>
        <v>143.7</v>
      </c>
      <c r="J489" s="58" t="n">
        <f aca="false">IF('10 Mild Steel'!$C$55="","",'10 Mild Steel'!K55)</f>
        <v>172.44</v>
      </c>
      <c r="K489" s="58" t="n">
        <f aca="false">IF('10 Mild Steel'!$C$55="","",'10 Mild Steel'!L55)</f>
        <v>181.06</v>
      </c>
      <c r="L489" s="57" t="str">
        <f aca="false">IF('10 Mild Steel'!$C$55="","",'10 Mild Steel'!M55)</f>
        <v>Indicative</v>
      </c>
      <c r="M489" s="59" t="str">
        <f aca="false">IF(D489="","",IF(AND(OR(Search!$C$6="All Categories",A489=Search!$C$6),OR(Search!$P$5="",ISNUMBER(SEARCH(" "&amp;Search!$P$5,N489))),OR(Search!$P$6="",ISNUMBER(SEARCH(" "&amp;Search!$P$6,N489))),OR(Search!$P$7="",ISNUMBER(SEARCH(" "&amp;Search!$P$7,N489))),OR(Search!$P$8="",ISNUMBER(SEARCH(" "&amp;Search!$P$8,N489))),OR(Search!$P$9="",ISNUMBER(SEARCH(" "&amp;Search!$P$9,N489))),OR(Search!$P$10="",ISNUMBER(SEARCH(" "&amp;Search!$P$10,N489)))),ROW(),""))</f>
        <v/>
      </c>
      <c r="N489" s="0" t="str">
        <f aca="false">IF(D489="",""," "&amp;SUBSTITUTE(SUBSTITUTE(SUBSTITUTE(SUBSTITUTE(SUBSTITUTE(SUBSTITUTE(SUBSTITUTE(B489&amp;" "&amp;C489&amp;" "&amp;D489&amp;" "&amp;E489&amp;" "&amp;F489&amp;" "&amp;G489&amp;" "&amp;H489&amp;" "&amp;'10 Mild Steel'!R55,"("," "),")"," "),"/"," "),"-"," "),","," "),";"," "),":"," ")&amp;" ")</f>
        <v> MS 051 Plates MS chequered plate 4.5 mm  39.50 kg m2  Black Local m2 4.5mm checker anti slip mild steel </v>
      </c>
    </row>
    <row r="490" customFormat="false" ht="22.35" hidden="false" customHeight="false" outlineLevel="0" collapsed="false">
      <c r="A490" s="56" t="str">
        <f aca="false">IF('10 Mild Steel'!$C$56="","","Mild Steel (MS) - Sections, Plates &amp; Sheets")</f>
        <v>Mild Steel (MS) - Sections, Plates &amp; Sheets</v>
      </c>
      <c r="B490" s="57" t="str">
        <f aca="false">IF('10 Mild Steel'!$C$56="","",'10 Mild Steel'!A56)</f>
        <v>MS-052</v>
      </c>
      <c r="C490" s="56" t="str">
        <f aca="false">IF('10 Mild Steel'!$C$56="","",'10 Mild Steel'!B56)</f>
        <v>Sheets</v>
      </c>
      <c r="D490" s="56" t="str">
        <f aca="false">IF('10 Mild Steel'!$C$56="","",'10 Mild Steel'!C56)</f>
        <v>MS sheet (CR)</v>
      </c>
      <c r="E490" s="56" t="str">
        <f aca="false">IF('10 Mild Steel'!$C$56="","",'10 Mild Steel'!D56)</f>
        <v>1.5 mm (11.78 kg/m2)</v>
      </c>
      <c r="F490" s="56" t="str">
        <f aca="false">IF('10 Mild Steel'!$C$56="","",'10 Mild Steel'!E56)</f>
        <v>Black</v>
      </c>
      <c r="G490" s="56" t="str">
        <f aca="false">IF('10 Mild Steel'!$C$56="","",'10 Mild Steel'!F56)</f>
        <v>Local</v>
      </c>
      <c r="H490" s="57" t="str">
        <f aca="false">IF('10 Mild Steel'!$C$56="","",'10 Mild Steel'!G56)</f>
        <v>m2</v>
      </c>
      <c r="I490" s="58" t="n">
        <f aca="false">IF('10 Mild Steel'!$C$56="","",'10 Mild Steel'!J56)</f>
        <v>42.85</v>
      </c>
      <c r="J490" s="58" t="n">
        <f aca="false">IF('10 Mild Steel'!$C$56="","",'10 Mild Steel'!K56)</f>
        <v>51.42</v>
      </c>
      <c r="K490" s="58" t="n">
        <f aca="false">IF('10 Mild Steel'!$C$56="","",'10 Mild Steel'!L56)</f>
        <v>53.99</v>
      </c>
      <c r="L490" s="57" t="str">
        <f aca="false">IF('10 Mild Steel'!$C$56="","",'10 Mild Steel'!M56)</f>
        <v>Indicative</v>
      </c>
      <c r="M490" s="59" t="str">
        <f aca="false">IF(D490="","",IF(AND(OR(Search!$C$6="All Categories",A490=Search!$C$6),OR(Search!$P$5="",ISNUMBER(SEARCH(" "&amp;Search!$P$5,N490))),OR(Search!$P$6="",ISNUMBER(SEARCH(" "&amp;Search!$P$6,N490))),OR(Search!$P$7="",ISNUMBER(SEARCH(" "&amp;Search!$P$7,N490))),OR(Search!$P$8="",ISNUMBER(SEARCH(" "&amp;Search!$P$8,N490))),OR(Search!$P$9="",ISNUMBER(SEARCH(" "&amp;Search!$P$9,N490))),OR(Search!$P$10="",ISNUMBER(SEARCH(" "&amp;Search!$P$10,N490)))),ROW(),""))</f>
        <v/>
      </c>
      <c r="N490" s="0" t="str">
        <f aca="false">IF(D490="",""," "&amp;SUBSTITUTE(SUBSTITUTE(SUBSTITUTE(SUBSTITUTE(SUBSTITUTE(SUBSTITUTE(SUBSTITUTE(B490&amp;" "&amp;C490&amp;" "&amp;D490&amp;" "&amp;E490&amp;" "&amp;F490&amp;" "&amp;G490&amp;" "&amp;H490&amp;" "&amp;'10 Mild Steel'!R56,"("," "),")"," "),"/"," "),"-"," "),","," "),";"," "),":"," ")&amp;" ")</f>
        <v> MS 052 Sheets MS sheet  CR  1.5 mm  11.78 kg m2  Black Local m2 1.5mm mild steel </v>
      </c>
    </row>
    <row r="491" customFormat="false" ht="22.35" hidden="false" customHeight="false" outlineLevel="0" collapsed="false">
      <c r="A491" s="56" t="str">
        <f aca="false">IF('10 Mild Steel'!$C$57="","","Mild Steel (MS) - Sections, Plates &amp; Sheets")</f>
        <v>Mild Steel (MS) - Sections, Plates &amp; Sheets</v>
      </c>
      <c r="B491" s="57" t="str">
        <f aca="false">IF('10 Mild Steel'!$C$57="","",'10 Mild Steel'!A57)</f>
        <v>MS-053</v>
      </c>
      <c r="C491" s="56" t="str">
        <f aca="false">IF('10 Mild Steel'!$C$57="","",'10 Mild Steel'!B57)</f>
        <v>Sheets</v>
      </c>
      <c r="D491" s="56" t="str">
        <f aca="false">IF('10 Mild Steel'!$C$57="","",'10 Mild Steel'!C57)</f>
        <v>MS sheet (CR)</v>
      </c>
      <c r="E491" s="56" t="str">
        <f aca="false">IF('10 Mild Steel'!$C$57="","",'10 Mild Steel'!D57)</f>
        <v>2.0 mm (15.70 kg/m2)</v>
      </c>
      <c r="F491" s="56" t="str">
        <f aca="false">IF('10 Mild Steel'!$C$57="","",'10 Mild Steel'!E57)</f>
        <v>Black</v>
      </c>
      <c r="G491" s="56" t="str">
        <f aca="false">IF('10 Mild Steel'!$C$57="","",'10 Mild Steel'!F57)</f>
        <v>Local</v>
      </c>
      <c r="H491" s="57" t="str">
        <f aca="false">IF('10 Mild Steel'!$C$57="","",'10 Mild Steel'!G57)</f>
        <v>m2</v>
      </c>
      <c r="I491" s="58" t="n">
        <f aca="false">IF('10 Mild Steel'!$C$57="","",'10 Mild Steel'!J57)</f>
        <v>57.12</v>
      </c>
      <c r="J491" s="58" t="n">
        <f aca="false">IF('10 Mild Steel'!$C$57="","",'10 Mild Steel'!K57)</f>
        <v>68.54</v>
      </c>
      <c r="K491" s="58" t="n">
        <f aca="false">IF('10 Mild Steel'!$C$57="","",'10 Mild Steel'!L57)</f>
        <v>71.97</v>
      </c>
      <c r="L491" s="57" t="str">
        <f aca="false">IF('10 Mild Steel'!$C$57="","",'10 Mild Steel'!M57)</f>
        <v>Indicative</v>
      </c>
      <c r="M491" s="59" t="str">
        <f aca="false">IF(D491="","",IF(AND(OR(Search!$C$6="All Categories",A491=Search!$C$6),OR(Search!$P$5="",ISNUMBER(SEARCH(" "&amp;Search!$P$5,N491))),OR(Search!$P$6="",ISNUMBER(SEARCH(" "&amp;Search!$P$6,N491))),OR(Search!$P$7="",ISNUMBER(SEARCH(" "&amp;Search!$P$7,N491))),OR(Search!$P$8="",ISNUMBER(SEARCH(" "&amp;Search!$P$8,N491))),OR(Search!$P$9="",ISNUMBER(SEARCH(" "&amp;Search!$P$9,N491))),OR(Search!$P$10="",ISNUMBER(SEARCH(" "&amp;Search!$P$10,N491)))),ROW(),""))</f>
        <v/>
      </c>
      <c r="N491" s="0" t="str">
        <f aca="false">IF(D491="",""," "&amp;SUBSTITUTE(SUBSTITUTE(SUBSTITUTE(SUBSTITUTE(SUBSTITUTE(SUBSTITUTE(SUBSTITUTE(B491&amp;" "&amp;C491&amp;" "&amp;D491&amp;" "&amp;E491&amp;" "&amp;F491&amp;" "&amp;G491&amp;" "&amp;H491&amp;" "&amp;'10 Mild Steel'!R57,"("," "),")"," "),"/"," "),"-"," "),","," "),";"," "),":"," ")&amp;" ")</f>
        <v> MS 053 Sheets MS sheet  CR  2.0 mm  15.70 kg m2  Black Local m2 2.0mm mild steel </v>
      </c>
    </row>
    <row r="492" customFormat="false" ht="22.35" hidden="false" customHeight="false" outlineLevel="0" collapsed="false">
      <c r="A492" s="56" t="str">
        <f aca="false">IF('10 Mild Steel'!$C$58="","","Mild Steel (MS) - Sections, Plates &amp; Sheets")</f>
        <v>Mild Steel (MS) - Sections, Plates &amp; Sheets</v>
      </c>
      <c r="B492" s="57" t="str">
        <f aca="false">IF('10 Mild Steel'!$C$58="","",'10 Mild Steel'!A58)</f>
        <v>MS-054</v>
      </c>
      <c r="C492" s="56" t="str">
        <f aca="false">IF('10 Mild Steel'!$C$58="","",'10 Mild Steel'!B58)</f>
        <v>Sheets</v>
      </c>
      <c r="D492" s="56" t="str">
        <f aca="false">IF('10 Mild Steel'!$C$58="","",'10 Mild Steel'!C58)</f>
        <v>GI sheet</v>
      </c>
      <c r="E492" s="56" t="str">
        <f aca="false">IF('10 Mild Steel'!$C$58="","",'10 Mild Steel'!D58)</f>
        <v>0.8 mm (6.28 kg/m2)</v>
      </c>
      <c r="F492" s="56" t="str">
        <f aca="false">IF('10 Mild Steel'!$C$58="","",'10 Mild Steel'!E58)</f>
        <v>Galvanized</v>
      </c>
      <c r="G492" s="56" t="str">
        <f aca="false">IF('10 Mild Steel'!$C$58="","",'10 Mild Steel'!F58)</f>
        <v>Local</v>
      </c>
      <c r="H492" s="57" t="str">
        <f aca="false">IF('10 Mild Steel'!$C$58="","",'10 Mild Steel'!G58)</f>
        <v>m2</v>
      </c>
      <c r="I492" s="58" t="n">
        <f aca="false">IF('10 Mild Steel'!$C$58="","",'10 Mild Steel'!J58)</f>
        <v>28.23</v>
      </c>
      <c r="J492" s="58" t="n">
        <f aca="false">IF('10 Mild Steel'!$C$58="","",'10 Mild Steel'!K58)</f>
        <v>33.88</v>
      </c>
      <c r="K492" s="58" t="n">
        <f aca="false">IF('10 Mild Steel'!$C$58="","",'10 Mild Steel'!L58)</f>
        <v>35.57</v>
      </c>
      <c r="L492" s="57" t="str">
        <f aca="false">IF('10 Mild Steel'!$C$58="","",'10 Mild Steel'!M58)</f>
        <v>Indicative</v>
      </c>
      <c r="M492" s="59" t="str">
        <f aca="false">IF(D492="","",IF(AND(OR(Search!$C$6="All Categories",A492=Search!$C$6),OR(Search!$P$5="",ISNUMBER(SEARCH(" "&amp;Search!$P$5,N492))),OR(Search!$P$6="",ISNUMBER(SEARCH(" "&amp;Search!$P$6,N492))),OR(Search!$P$7="",ISNUMBER(SEARCH(" "&amp;Search!$P$7,N492))),OR(Search!$P$8="",ISNUMBER(SEARCH(" "&amp;Search!$P$8,N492))),OR(Search!$P$9="",ISNUMBER(SEARCH(" "&amp;Search!$P$9,N492))),OR(Search!$P$10="",ISNUMBER(SEARCH(" "&amp;Search!$P$10,N492)))),ROW(),""))</f>
        <v/>
      </c>
      <c r="N492" s="0" t="str">
        <f aca="false">IF(D492="",""," "&amp;SUBSTITUTE(SUBSTITUTE(SUBSTITUTE(SUBSTITUTE(SUBSTITUTE(SUBSTITUTE(SUBSTITUTE(B492&amp;" "&amp;C492&amp;" "&amp;D492&amp;" "&amp;E492&amp;" "&amp;F492&amp;" "&amp;G492&amp;" "&amp;H492&amp;" "&amp;'10 Mild Steel'!R58,"("," "),")"," "),"/"," "),"-"," "),","," "),";"," "),":"," ")&amp;" ")</f>
        <v> MS 054 Sheets GI sheet 0.8 mm  6.28 kg m2  Galvanized Local m2 0.8mm galvanised gi galvanized </v>
      </c>
    </row>
    <row r="493" customFormat="false" ht="22.35" hidden="false" customHeight="false" outlineLevel="0" collapsed="false">
      <c r="A493" s="56" t="str">
        <f aca="false">IF('10 Mild Steel'!$C$59="","","Mild Steel (MS) - Sections, Plates &amp; Sheets")</f>
        <v>Mild Steel (MS) - Sections, Plates &amp; Sheets</v>
      </c>
      <c r="B493" s="57" t="str">
        <f aca="false">IF('10 Mild Steel'!$C$59="","",'10 Mild Steel'!A59)</f>
        <v>MS-055</v>
      </c>
      <c r="C493" s="56" t="str">
        <f aca="false">IF('10 Mild Steel'!$C$59="","",'10 Mild Steel'!B59)</f>
        <v>Sheets</v>
      </c>
      <c r="D493" s="56" t="str">
        <f aca="false">IF('10 Mild Steel'!$C$59="","",'10 Mild Steel'!C59)</f>
        <v>GI sheet</v>
      </c>
      <c r="E493" s="56" t="str">
        <f aca="false">IF('10 Mild Steel'!$C$59="","",'10 Mild Steel'!D59)</f>
        <v>1.2 mm (9.42 kg/m2)</v>
      </c>
      <c r="F493" s="56" t="str">
        <f aca="false">IF('10 Mild Steel'!$C$59="","",'10 Mild Steel'!E59)</f>
        <v>Galvanized</v>
      </c>
      <c r="G493" s="56" t="str">
        <f aca="false">IF('10 Mild Steel'!$C$59="","",'10 Mild Steel'!F59)</f>
        <v>Local</v>
      </c>
      <c r="H493" s="57" t="str">
        <f aca="false">IF('10 Mild Steel'!$C$59="","",'10 Mild Steel'!G59)</f>
        <v>m2</v>
      </c>
      <c r="I493" s="58" t="n">
        <f aca="false">IF('10 Mild Steel'!$C$59="","",'10 Mild Steel'!J59)</f>
        <v>42.33</v>
      </c>
      <c r="J493" s="58" t="n">
        <f aca="false">IF('10 Mild Steel'!$C$59="","",'10 Mild Steel'!K59)</f>
        <v>50.8</v>
      </c>
      <c r="K493" s="58" t="n">
        <f aca="false">IF('10 Mild Steel'!$C$59="","",'10 Mild Steel'!L59)</f>
        <v>53.34</v>
      </c>
      <c r="L493" s="57" t="str">
        <f aca="false">IF('10 Mild Steel'!$C$59="","",'10 Mild Steel'!M59)</f>
        <v>Indicative</v>
      </c>
      <c r="M493" s="59" t="str">
        <f aca="false">IF(D493="","",IF(AND(OR(Search!$C$6="All Categories",A493=Search!$C$6),OR(Search!$P$5="",ISNUMBER(SEARCH(" "&amp;Search!$P$5,N493))),OR(Search!$P$6="",ISNUMBER(SEARCH(" "&amp;Search!$P$6,N493))),OR(Search!$P$7="",ISNUMBER(SEARCH(" "&amp;Search!$P$7,N493))),OR(Search!$P$8="",ISNUMBER(SEARCH(" "&amp;Search!$P$8,N493))),OR(Search!$P$9="",ISNUMBER(SEARCH(" "&amp;Search!$P$9,N493))),OR(Search!$P$10="",ISNUMBER(SEARCH(" "&amp;Search!$P$10,N493)))),ROW(),""))</f>
        <v/>
      </c>
      <c r="N493" s="0" t="str">
        <f aca="false">IF(D493="",""," "&amp;SUBSTITUTE(SUBSTITUTE(SUBSTITUTE(SUBSTITUTE(SUBSTITUTE(SUBSTITUTE(SUBSTITUTE(B493&amp;" "&amp;C493&amp;" "&amp;D493&amp;" "&amp;E493&amp;" "&amp;F493&amp;" "&amp;G493&amp;" "&amp;H493&amp;" "&amp;'10 Mild Steel'!R59,"("," "),")"," "),"/"," "),"-"," "),","," "),";"," "),":"," ")&amp;" ")</f>
        <v> MS 055 Sheets GI sheet 1.2 mm  9.42 kg m2  Galvanized Local m2 1.2mm galvanised gi galvanized </v>
      </c>
    </row>
    <row r="494" customFormat="false" ht="22.35" hidden="false" customHeight="false" outlineLevel="0" collapsed="false">
      <c r="A494" s="56" t="str">
        <f aca="false">IF('10 Mild Steel'!$C$60="","","Mild Steel (MS) - Sections, Plates &amp; Sheets")</f>
        <v>Mild Steel (MS) - Sections, Plates &amp; Sheets</v>
      </c>
      <c r="B494" s="57" t="str">
        <f aca="false">IF('10 Mild Steel'!$C$60="","",'10 Mild Steel'!A60)</f>
        <v>MS-056</v>
      </c>
      <c r="C494" s="56" t="str">
        <f aca="false">IF('10 Mild Steel'!$C$60="","",'10 Mild Steel'!B60)</f>
        <v>Sheets</v>
      </c>
      <c r="D494" s="56" t="str">
        <f aca="false">IF('10 Mild Steel'!$C$60="","",'10 Mild Steel'!C60)</f>
        <v>GI sheet</v>
      </c>
      <c r="E494" s="56" t="str">
        <f aca="false">IF('10 Mild Steel'!$C$60="","",'10 Mild Steel'!D60)</f>
        <v>1.5 mm (11.78 kg/m2)</v>
      </c>
      <c r="F494" s="56" t="str">
        <f aca="false">IF('10 Mild Steel'!$C$60="","",'10 Mild Steel'!E60)</f>
        <v>Galvanized</v>
      </c>
      <c r="G494" s="56" t="str">
        <f aca="false">IF('10 Mild Steel'!$C$60="","",'10 Mild Steel'!F60)</f>
        <v>Local</v>
      </c>
      <c r="H494" s="57" t="str">
        <f aca="false">IF('10 Mild Steel'!$C$60="","",'10 Mild Steel'!G60)</f>
        <v>m2</v>
      </c>
      <c r="I494" s="58" t="n">
        <f aca="false">IF('10 Mild Steel'!$C$60="","",'10 Mild Steel'!J60)</f>
        <v>52.94</v>
      </c>
      <c r="J494" s="58" t="n">
        <f aca="false">IF('10 Mild Steel'!$C$60="","",'10 Mild Steel'!K60)</f>
        <v>63.53</v>
      </c>
      <c r="K494" s="58" t="n">
        <f aca="false">IF('10 Mild Steel'!$C$60="","",'10 Mild Steel'!L60)</f>
        <v>66.71</v>
      </c>
      <c r="L494" s="57" t="str">
        <f aca="false">IF('10 Mild Steel'!$C$60="","",'10 Mild Steel'!M60)</f>
        <v>Indicative</v>
      </c>
      <c r="M494" s="59" t="str">
        <f aca="false">IF(D494="","",IF(AND(OR(Search!$C$6="All Categories",A494=Search!$C$6),OR(Search!$P$5="",ISNUMBER(SEARCH(" "&amp;Search!$P$5,N494))),OR(Search!$P$6="",ISNUMBER(SEARCH(" "&amp;Search!$P$6,N494))),OR(Search!$P$7="",ISNUMBER(SEARCH(" "&amp;Search!$P$7,N494))),OR(Search!$P$8="",ISNUMBER(SEARCH(" "&amp;Search!$P$8,N494))),OR(Search!$P$9="",ISNUMBER(SEARCH(" "&amp;Search!$P$9,N494))),OR(Search!$P$10="",ISNUMBER(SEARCH(" "&amp;Search!$P$10,N494)))),ROW(),""))</f>
        <v/>
      </c>
      <c r="N494" s="0" t="str">
        <f aca="false">IF(D494="",""," "&amp;SUBSTITUTE(SUBSTITUTE(SUBSTITUTE(SUBSTITUTE(SUBSTITUTE(SUBSTITUTE(SUBSTITUTE(B494&amp;" "&amp;C494&amp;" "&amp;D494&amp;" "&amp;E494&amp;" "&amp;F494&amp;" "&amp;G494&amp;" "&amp;H494&amp;" "&amp;'10 Mild Steel'!R60,"("," "),")"," "),"/"," "),"-"," "),","," "),";"," "),":"," ")&amp;" ")</f>
        <v> MS 056 Sheets GI sheet 1.5 mm  11.78 kg m2  Galvanized Local m2 1.5mm galvanised gi galvanized </v>
      </c>
    </row>
    <row r="495" customFormat="false" ht="22.35" hidden="false" customHeight="false" outlineLevel="0" collapsed="false">
      <c r="A495" s="56" t="str">
        <f aca="false">IF('10 Mild Steel'!$C$61="","","Mild Steel (MS) - Sections, Plates &amp; Sheets")</f>
        <v>Mild Steel (MS) - Sections, Plates &amp; Sheets</v>
      </c>
      <c r="B495" s="57" t="str">
        <f aca="false">IF('10 Mild Steel'!$C$61="","",'10 Mild Steel'!A61)</f>
        <v>MS-057</v>
      </c>
      <c r="C495" s="56" t="str">
        <f aca="false">IF('10 Mild Steel'!$C$61="","",'10 Mild Steel'!B61)</f>
        <v>Sheets</v>
      </c>
      <c r="D495" s="56" t="str">
        <f aca="false">IF('10 Mild Steel'!$C$61="","",'10 Mild Steel'!C61)</f>
        <v>GI sheet</v>
      </c>
      <c r="E495" s="56" t="str">
        <f aca="false">IF('10 Mild Steel'!$C$61="","",'10 Mild Steel'!D61)</f>
        <v>2.0 mm (15.70 kg/m2)</v>
      </c>
      <c r="F495" s="56" t="str">
        <f aca="false">IF('10 Mild Steel'!$C$61="","",'10 Mild Steel'!E61)</f>
        <v>Galvanized</v>
      </c>
      <c r="G495" s="56" t="str">
        <f aca="false">IF('10 Mild Steel'!$C$61="","",'10 Mild Steel'!F61)</f>
        <v>Local</v>
      </c>
      <c r="H495" s="57" t="str">
        <f aca="false">IF('10 Mild Steel'!$C$61="","",'10 Mild Steel'!G61)</f>
        <v>m2</v>
      </c>
      <c r="I495" s="58" t="n">
        <f aca="false">IF('10 Mild Steel'!$C$61="","",'10 Mild Steel'!J61)</f>
        <v>70.56</v>
      </c>
      <c r="J495" s="58" t="n">
        <f aca="false">IF('10 Mild Steel'!$C$61="","",'10 Mild Steel'!K61)</f>
        <v>84.67</v>
      </c>
      <c r="K495" s="58" t="n">
        <f aca="false">IF('10 Mild Steel'!$C$61="","",'10 Mild Steel'!L61)</f>
        <v>88.9</v>
      </c>
      <c r="L495" s="57" t="str">
        <f aca="false">IF('10 Mild Steel'!$C$61="","",'10 Mild Steel'!M61)</f>
        <v>Indicative</v>
      </c>
      <c r="M495" s="59" t="str">
        <f aca="false">IF(D495="","",IF(AND(OR(Search!$C$6="All Categories",A495=Search!$C$6),OR(Search!$P$5="",ISNUMBER(SEARCH(" "&amp;Search!$P$5,N495))),OR(Search!$P$6="",ISNUMBER(SEARCH(" "&amp;Search!$P$6,N495))),OR(Search!$P$7="",ISNUMBER(SEARCH(" "&amp;Search!$P$7,N495))),OR(Search!$P$8="",ISNUMBER(SEARCH(" "&amp;Search!$P$8,N495))),OR(Search!$P$9="",ISNUMBER(SEARCH(" "&amp;Search!$P$9,N495))),OR(Search!$P$10="",ISNUMBER(SEARCH(" "&amp;Search!$P$10,N495)))),ROW(),""))</f>
        <v/>
      </c>
      <c r="N495" s="0" t="str">
        <f aca="false">IF(D495="",""," "&amp;SUBSTITUTE(SUBSTITUTE(SUBSTITUTE(SUBSTITUTE(SUBSTITUTE(SUBSTITUTE(SUBSTITUTE(B495&amp;" "&amp;C495&amp;" "&amp;D495&amp;" "&amp;E495&amp;" "&amp;F495&amp;" "&amp;G495&amp;" "&amp;H495&amp;" "&amp;'10 Mild Steel'!R61,"("," "),")"," "),"/"," "),"-"," "),","," "),";"," "),":"," ")&amp;" ")</f>
        <v> MS 057 Sheets GI sheet 2.0 mm  15.70 kg m2  Galvanized Local m2 2.0mm galvanised gi galvanized </v>
      </c>
    </row>
    <row r="496" customFormat="false" ht="22.35" hidden="false" customHeight="false" outlineLevel="0" collapsed="false">
      <c r="A496" s="56" t="str">
        <f aca="false">IF('10 Mild Steel'!$C$62="","","Mild Steel (MS) - Sections, Plates &amp; Sheets")</f>
        <v>Mild Steel (MS) - Sections, Plates &amp; Sheets</v>
      </c>
      <c r="B496" s="57" t="str">
        <f aca="false">IF('10 Mild Steel'!$C$62="","",'10 Mild Steel'!A62)</f>
        <v>MS-058</v>
      </c>
      <c r="C496" s="56" t="str">
        <f aca="false">IF('10 Mild Steel'!$C$62="","",'10 Mild Steel'!B62)</f>
        <v>Sheets</v>
      </c>
      <c r="D496" s="56" t="str">
        <f aca="false">IF('10 Mild Steel'!$C$62="","",'10 Mild Steel'!C62)</f>
        <v>MS perforated sheet</v>
      </c>
      <c r="E496" s="56" t="str">
        <f aca="false">IF('10 Mild Steel'!$C$62="","",'10 Mild Steel'!D62)</f>
        <v>2.0 mm</v>
      </c>
      <c r="F496" s="56" t="str">
        <f aca="false">IF('10 Mild Steel'!$C$62="","",'10 Mild Steel'!E62)</f>
        <v>Black</v>
      </c>
      <c r="G496" s="56" t="str">
        <f aca="false">IF('10 Mild Steel'!$C$62="","",'10 Mild Steel'!F62)</f>
        <v>Local</v>
      </c>
      <c r="H496" s="57" t="str">
        <f aca="false">IF('10 Mild Steel'!$C$62="","",'10 Mild Steel'!G62)</f>
        <v>m2</v>
      </c>
      <c r="I496" s="58" t="n">
        <f aca="false">IF('10 Mild Steel'!$C$62="","",'10 Mild Steel'!J62)</f>
        <v>101.65</v>
      </c>
      <c r="J496" s="58" t="n">
        <f aca="false">IF('10 Mild Steel'!$C$62="","",'10 Mild Steel'!K62)</f>
        <v>121.98</v>
      </c>
      <c r="K496" s="58" t="n">
        <f aca="false">IF('10 Mild Steel'!$C$62="","",'10 Mild Steel'!L62)</f>
        <v>128.08</v>
      </c>
      <c r="L496" s="57" t="str">
        <f aca="false">IF('10 Mild Steel'!$C$62="","",'10 Mild Steel'!M62)</f>
        <v>Indicative</v>
      </c>
      <c r="M496" s="59" t="str">
        <f aca="false">IF(D496="","",IF(AND(OR(Search!$C$6="All Categories",A496=Search!$C$6),OR(Search!$P$5="",ISNUMBER(SEARCH(" "&amp;Search!$P$5,N496))),OR(Search!$P$6="",ISNUMBER(SEARCH(" "&amp;Search!$P$6,N496))),OR(Search!$P$7="",ISNUMBER(SEARCH(" "&amp;Search!$P$7,N496))),OR(Search!$P$8="",ISNUMBER(SEARCH(" "&amp;Search!$P$8,N496))),OR(Search!$P$9="",ISNUMBER(SEARCH(" "&amp;Search!$P$9,N496))),OR(Search!$P$10="",ISNUMBER(SEARCH(" "&amp;Search!$P$10,N496)))),ROW(),""))</f>
        <v/>
      </c>
      <c r="N496" s="0" t="str">
        <f aca="false">IF(D496="",""," "&amp;SUBSTITUTE(SUBSTITUTE(SUBSTITUTE(SUBSTITUTE(SUBSTITUTE(SUBSTITUTE(SUBSTITUTE(B496&amp;" "&amp;C496&amp;" "&amp;D496&amp;" "&amp;E496&amp;" "&amp;F496&amp;" "&amp;G496&amp;" "&amp;H496&amp;" "&amp;'10 Mild Steel'!R62,"("," "),")"," "),"/"," "),"-"," "),","," "),";"," "),":"," ")&amp;" ")</f>
        <v> MS 058 Sheets MS perforated sheet 2.0 mm Black Local m2 2.0mm mild steel </v>
      </c>
    </row>
    <row r="497" customFormat="false" ht="22.35" hidden="false" customHeight="false" outlineLevel="0" collapsed="false">
      <c r="A497" s="56" t="str">
        <f aca="false">IF('10 Mild Steel'!$C$63="","","Mild Steel (MS) - Sections, Plates &amp; Sheets")</f>
        <v>Mild Steel (MS) - Sections, Plates &amp; Sheets</v>
      </c>
      <c r="B497" s="57" t="str">
        <f aca="false">IF('10 Mild Steel'!$C$63="","",'10 Mild Steel'!A63)</f>
        <v>MS-059</v>
      </c>
      <c r="C497" s="56" t="str">
        <f aca="false">IF('10 Mild Steel'!$C$63="","",'10 Mild Steel'!B63)</f>
        <v>Sheets</v>
      </c>
      <c r="D497" s="56" t="str">
        <f aca="false">IF('10 Mild Steel'!$C$63="","",'10 Mild Steel'!C63)</f>
        <v>MS expanded metal mesh</v>
      </c>
      <c r="E497" s="56" t="str">
        <f aca="false">IF('10 Mild Steel'!$C$63="","",'10 Mild Steel'!D63)</f>
        <v>Standard</v>
      </c>
      <c r="F497" s="56" t="str">
        <f aca="false">IF('10 Mild Steel'!$C$63="","",'10 Mild Steel'!E63)</f>
        <v>Black / GI</v>
      </c>
      <c r="G497" s="56" t="str">
        <f aca="false">IF('10 Mild Steel'!$C$63="","",'10 Mild Steel'!F63)</f>
        <v>Local</v>
      </c>
      <c r="H497" s="57" t="str">
        <f aca="false">IF('10 Mild Steel'!$C$63="","",'10 Mild Steel'!G63)</f>
        <v>m2</v>
      </c>
      <c r="I497" s="58" t="n">
        <f aca="false">IF('10 Mild Steel'!$C$63="","",'10 Mild Steel'!J63)</f>
        <v>69.55</v>
      </c>
      <c r="J497" s="58" t="n">
        <f aca="false">IF('10 Mild Steel'!$C$63="","",'10 Mild Steel'!K63)</f>
        <v>83.46</v>
      </c>
      <c r="K497" s="58" t="n">
        <f aca="false">IF('10 Mild Steel'!$C$63="","",'10 Mild Steel'!L63)</f>
        <v>87.63</v>
      </c>
      <c r="L497" s="57" t="str">
        <f aca="false">IF('10 Mild Steel'!$C$63="","",'10 Mild Steel'!M63)</f>
        <v>Indicative</v>
      </c>
      <c r="M497" s="59" t="str">
        <f aca="false">IF(D497="","",IF(AND(OR(Search!$C$6="All Categories",A497=Search!$C$6),OR(Search!$P$5="",ISNUMBER(SEARCH(" "&amp;Search!$P$5,N497))),OR(Search!$P$6="",ISNUMBER(SEARCH(" "&amp;Search!$P$6,N497))),OR(Search!$P$7="",ISNUMBER(SEARCH(" "&amp;Search!$P$7,N497))),OR(Search!$P$8="",ISNUMBER(SEARCH(" "&amp;Search!$P$8,N497))),OR(Search!$P$9="",ISNUMBER(SEARCH(" "&amp;Search!$P$9,N497))),OR(Search!$P$10="",ISNUMBER(SEARCH(" "&amp;Search!$P$10,N497)))),ROW(),""))</f>
        <v/>
      </c>
      <c r="N497" s="0" t="str">
        <f aca="false">IF(D497="",""," "&amp;SUBSTITUTE(SUBSTITUTE(SUBSTITUTE(SUBSTITUTE(SUBSTITUTE(SUBSTITUTE(SUBSTITUTE(B497&amp;" "&amp;C497&amp;" "&amp;D497&amp;" "&amp;E497&amp;" "&amp;F497&amp;" "&amp;G497&amp;" "&amp;H497&amp;" "&amp;'10 Mild Steel'!R63,"("," "),")"," "),"/"," "),"-"," "),","," "),";"," "),":"," ")&amp;" ")</f>
        <v> MS 059 Sheets MS expanded metal mesh Standard Black   GI Local m2 mild steel galvanized </v>
      </c>
    </row>
    <row r="498" customFormat="false" ht="22.35" hidden="false" customHeight="false" outlineLevel="0" collapsed="false">
      <c r="A498" s="56" t="str">
        <f aca="false">IF('10 Mild Steel'!$C$64="","","Mild Steel (MS) - Sections, Plates &amp; Sheets")</f>
        <v>Mild Steel (MS) - Sections, Plates &amp; Sheets</v>
      </c>
      <c r="B498" s="57" t="str">
        <f aca="false">IF('10 Mild Steel'!$C$64="","",'10 Mild Steel'!A64)</f>
        <v>MS-060</v>
      </c>
      <c r="C498" s="56" t="str">
        <f aca="false">IF('10 Mild Steel'!$C$64="","",'10 Mild Steel'!B64)</f>
        <v>Grating &amp; Misc.</v>
      </c>
      <c r="D498" s="56" t="str">
        <f aca="false">IF('10 Mild Steel'!$C$64="","",'10 Mild Steel'!C64)</f>
        <v>MS bar grating</v>
      </c>
      <c r="E498" s="56" t="str">
        <f aca="false">IF('10 Mild Steel'!$C$64="","",'10 Mild Steel'!D64)</f>
        <v>25 x 3 mm, 30 x 100 pitch</v>
      </c>
      <c r="F498" s="56" t="str">
        <f aca="false">IF('10 Mild Steel'!$C$64="","",'10 Mild Steel'!E64)</f>
        <v>HDG</v>
      </c>
      <c r="G498" s="56" t="str">
        <f aca="false">IF('10 Mild Steel'!$C$64="","",'10 Mild Steel'!F64)</f>
        <v>Local</v>
      </c>
      <c r="H498" s="57" t="str">
        <f aca="false">IF('10 Mild Steel'!$C$64="","",'10 Mild Steel'!G64)</f>
        <v>m2</v>
      </c>
      <c r="I498" s="58" t="n">
        <f aca="false">IF('10 Mild Steel'!$C$64="","",'10 Mild Steel'!J64)</f>
        <v>192.6</v>
      </c>
      <c r="J498" s="58" t="n">
        <f aca="false">IF('10 Mild Steel'!$C$64="","",'10 Mild Steel'!K64)</f>
        <v>231.12</v>
      </c>
      <c r="K498" s="58" t="n">
        <f aca="false">IF('10 Mild Steel'!$C$64="","",'10 Mild Steel'!L64)</f>
        <v>242.68</v>
      </c>
      <c r="L498" s="57" t="str">
        <f aca="false">IF('10 Mild Steel'!$C$64="","",'10 Mild Steel'!M64)</f>
        <v>Indicative</v>
      </c>
      <c r="M498" s="59" t="str">
        <f aca="false">IF(D498="","",IF(AND(OR(Search!$C$6="All Categories",A498=Search!$C$6),OR(Search!$P$5="",ISNUMBER(SEARCH(" "&amp;Search!$P$5,N498))),OR(Search!$P$6="",ISNUMBER(SEARCH(" "&amp;Search!$P$6,N498))),OR(Search!$P$7="",ISNUMBER(SEARCH(" "&amp;Search!$P$7,N498))),OR(Search!$P$8="",ISNUMBER(SEARCH(" "&amp;Search!$P$8,N498))),OR(Search!$P$9="",ISNUMBER(SEARCH(" "&amp;Search!$P$9,N498))),OR(Search!$P$10="",ISNUMBER(SEARCH(" "&amp;Search!$P$10,N498)))),ROW(),""))</f>
        <v/>
      </c>
      <c r="N498" s="0" t="str">
        <f aca="false">IF(D498="",""," "&amp;SUBSTITUTE(SUBSTITUTE(SUBSTITUTE(SUBSTITUTE(SUBSTITUTE(SUBSTITUTE(SUBSTITUTE(B498&amp;" "&amp;C498&amp;" "&amp;D498&amp;" "&amp;E498&amp;" "&amp;F498&amp;" "&amp;G498&amp;" "&amp;H498&amp;" "&amp;'10 Mild Steel'!R64,"("," "),")"," "),"/"," "),"-"," "),","," "),";"," "),":"," ")&amp;" ")</f>
        <v> MS 060 Grating &amp; Misc. MS bar grating 25 x 3 mm  30 x 100 pitch HDG Local m2 25x3 30x100 3mm mild steel </v>
      </c>
    </row>
    <row r="499" customFormat="false" ht="22.35" hidden="false" customHeight="false" outlineLevel="0" collapsed="false">
      <c r="A499" s="56" t="str">
        <f aca="false">IF('10 Mild Steel'!$C$65="","","Mild Steel (MS) - Sections, Plates &amp; Sheets")</f>
        <v>Mild Steel (MS) - Sections, Plates &amp; Sheets</v>
      </c>
      <c r="B499" s="57" t="str">
        <f aca="false">IF('10 Mild Steel'!$C$65="","",'10 Mild Steel'!A65)</f>
        <v>MS-061</v>
      </c>
      <c r="C499" s="56" t="str">
        <f aca="false">IF('10 Mild Steel'!$C$65="","",'10 Mild Steel'!B65)</f>
        <v>Grating &amp; Misc.</v>
      </c>
      <c r="D499" s="56" t="str">
        <f aca="false">IF('10 Mild Steel'!$C$65="","",'10 Mild Steel'!C65)</f>
        <v>MS base plate with anchor holes</v>
      </c>
      <c r="E499" s="56" t="str">
        <f aca="false">IF('10 Mild Steel'!$C$65="","",'10 Mild Steel'!D65)</f>
        <v>200 x 200 x 10 mm</v>
      </c>
      <c r="F499" s="56" t="str">
        <f aca="false">IF('10 Mild Steel'!$C$65="","",'10 Mild Steel'!E65)</f>
        <v>Black / HDG</v>
      </c>
      <c r="G499" s="56" t="str">
        <f aca="false">IF('10 Mild Steel'!$C$65="","",'10 Mild Steel'!F65)</f>
        <v>Local fabrication</v>
      </c>
      <c r="H499" s="57" t="str">
        <f aca="false">IF('10 Mild Steel'!$C$65="","",'10 Mild Steel'!G65)</f>
        <v>nos</v>
      </c>
      <c r="I499" s="58" t="n">
        <f aca="false">IF('10 Mild Steel'!$C$65="","",'10 Mild Steel'!J65)</f>
        <v>26.75</v>
      </c>
      <c r="J499" s="58" t="n">
        <f aca="false">IF('10 Mild Steel'!$C$65="","",'10 Mild Steel'!K65)</f>
        <v>32.1</v>
      </c>
      <c r="K499" s="58" t="n">
        <f aca="false">IF('10 Mild Steel'!$C$65="","",'10 Mild Steel'!L65)</f>
        <v>33.71</v>
      </c>
      <c r="L499" s="57" t="str">
        <f aca="false">IF('10 Mild Steel'!$C$65="","",'10 Mild Steel'!M65)</f>
        <v>Indicative</v>
      </c>
      <c r="M499" s="59" t="str">
        <f aca="false">IF(D499="","",IF(AND(OR(Search!$C$6="All Categories",A499=Search!$C$6),OR(Search!$P$5="",ISNUMBER(SEARCH(" "&amp;Search!$P$5,N499))),OR(Search!$P$6="",ISNUMBER(SEARCH(" "&amp;Search!$P$6,N499))),OR(Search!$P$7="",ISNUMBER(SEARCH(" "&amp;Search!$P$7,N499))),OR(Search!$P$8="",ISNUMBER(SEARCH(" "&amp;Search!$P$8,N499))),OR(Search!$P$9="",ISNUMBER(SEARCH(" "&amp;Search!$P$9,N499))),OR(Search!$P$10="",ISNUMBER(SEARCH(" "&amp;Search!$P$10,N499)))),ROW(),""))</f>
        <v/>
      </c>
      <c r="N499" s="0" t="str">
        <f aca="false">IF(D499="",""," "&amp;SUBSTITUTE(SUBSTITUTE(SUBSTITUTE(SUBSTITUTE(SUBSTITUTE(SUBSTITUTE(SUBSTITUTE(B499&amp;" "&amp;C499&amp;" "&amp;D499&amp;" "&amp;E499&amp;" "&amp;F499&amp;" "&amp;G499&amp;" "&amp;H499&amp;" "&amp;'10 Mild Steel'!R65,"("," "),")"," "),"/"," "),"-"," "),","," "),";"," "),":"," ")&amp;" ")</f>
        <v> MS 061 Grating &amp; Misc. MS base plate with anchor holes 200 x 200 x 10 mm Black   HDG Local fabrication nos 200x200 200x200x10 10mm fixing fastener bolt mild steel </v>
      </c>
    </row>
    <row r="500" customFormat="false" ht="22.35" hidden="false" customHeight="false" outlineLevel="0" collapsed="false">
      <c r="A500" s="56" t="str">
        <f aca="false">IF('10 Mild Steel'!$C$66="","","Mild Steel (MS) - Sections, Plates &amp; Sheets")</f>
        <v>Mild Steel (MS) - Sections, Plates &amp; Sheets</v>
      </c>
      <c r="B500" s="57" t="str">
        <f aca="false">IF('10 Mild Steel'!$C$66="","",'10 Mild Steel'!A66)</f>
        <v>MS-062</v>
      </c>
      <c r="C500" s="56" t="str">
        <f aca="false">IF('10 Mild Steel'!$C$66="","",'10 Mild Steel'!B66)</f>
        <v>Grating &amp; Misc.</v>
      </c>
      <c r="D500" s="56" t="str">
        <f aca="false">IF('10 Mild Steel'!$C$66="","",'10 Mild Steel'!C66)</f>
        <v>MS embed plate with studs</v>
      </c>
      <c r="E500" s="56" t="str">
        <f aca="false">IF('10 Mild Steel'!$C$66="","",'10 Mild Steel'!D66)</f>
        <v>150 x 150 x 10 mm</v>
      </c>
      <c r="F500" s="56" t="str">
        <f aca="false">IF('10 Mild Steel'!$C$66="","",'10 Mild Steel'!E66)</f>
        <v>HDG</v>
      </c>
      <c r="G500" s="56" t="str">
        <f aca="false">IF('10 Mild Steel'!$C$66="","",'10 Mild Steel'!F66)</f>
        <v>Local fabrication</v>
      </c>
      <c r="H500" s="57" t="str">
        <f aca="false">IF('10 Mild Steel'!$C$66="","",'10 Mild Steel'!G66)</f>
        <v>nos</v>
      </c>
      <c r="I500" s="58" t="n">
        <f aca="false">IF('10 Mild Steel'!$C$66="","",'10 Mild Steel'!J66)</f>
        <v>42.8</v>
      </c>
      <c r="J500" s="58" t="n">
        <f aca="false">IF('10 Mild Steel'!$C$66="","",'10 Mild Steel'!K66)</f>
        <v>51.36</v>
      </c>
      <c r="K500" s="58" t="n">
        <f aca="false">IF('10 Mild Steel'!$C$66="","",'10 Mild Steel'!L66)</f>
        <v>53.93</v>
      </c>
      <c r="L500" s="57" t="str">
        <f aca="false">IF('10 Mild Steel'!$C$66="","",'10 Mild Steel'!M66)</f>
        <v>Indicative</v>
      </c>
      <c r="M500" s="59" t="str">
        <f aca="false">IF(D500="","",IF(AND(OR(Search!$C$6="All Categories",A500=Search!$C$6),OR(Search!$P$5="",ISNUMBER(SEARCH(" "&amp;Search!$P$5,N500))),OR(Search!$P$6="",ISNUMBER(SEARCH(" "&amp;Search!$P$6,N500))),OR(Search!$P$7="",ISNUMBER(SEARCH(" "&amp;Search!$P$7,N500))),OR(Search!$P$8="",ISNUMBER(SEARCH(" "&amp;Search!$P$8,N500))),OR(Search!$P$9="",ISNUMBER(SEARCH(" "&amp;Search!$P$9,N500))),OR(Search!$P$10="",ISNUMBER(SEARCH(" "&amp;Search!$P$10,N500)))),ROW(),""))</f>
        <v/>
      </c>
      <c r="N500" s="0" t="str">
        <f aca="false">IF(D500="",""," "&amp;SUBSTITUTE(SUBSTITUTE(SUBSTITUTE(SUBSTITUTE(SUBSTITUTE(SUBSTITUTE(SUBSTITUTE(B500&amp;" "&amp;C500&amp;" "&amp;D500&amp;" "&amp;E500&amp;" "&amp;F500&amp;" "&amp;G500&amp;" "&amp;H500&amp;" "&amp;'10 Mild Steel'!R66,"("," "),")"," "),"/"," "),"-"," "),","," "),";"," "),":"," ")&amp;" ")</f>
        <v> MS 062 Grating &amp; Misc. MS embed plate with studs 150 x 150 x 10 mm HDG Local fabrication nos 150x150 150x150x10 10mm mild steel </v>
      </c>
    </row>
    <row r="501" customFormat="false" ht="22.35" hidden="false" customHeight="false" outlineLevel="0" collapsed="false">
      <c r="A501" s="56" t="str">
        <f aca="false">IF('10 Mild Steel'!$C$67="","","Mild Steel (MS) - Sections, Plates &amp; Sheets")</f>
        <v>Mild Steel (MS) - Sections, Plates &amp; Sheets</v>
      </c>
      <c r="B501" s="57" t="str">
        <f aca="false">IF('10 Mild Steel'!$C$67="","",'10 Mild Steel'!A67)</f>
        <v>MS-063</v>
      </c>
      <c r="C501" s="56" t="str">
        <f aca="false">IF('10 Mild Steel'!$C$67="","",'10 Mild Steel'!B67)</f>
        <v>Grating &amp; Misc.</v>
      </c>
      <c r="D501" s="56" t="str">
        <f aca="false">IF('10 Mild Steel'!$C$67="","",'10 Mild Steel'!C67)</f>
        <v>MS pipe railing / balustrade (material only)</v>
      </c>
      <c r="E501" s="56" t="str">
        <f aca="false">IF('10 Mild Steel'!$C$67="","",'10 Mild Steel'!D67)</f>
        <v>Per lm</v>
      </c>
      <c r="F501" s="56" t="str">
        <f aca="false">IF('10 Mild Steel'!$C$67="","",'10 Mild Steel'!E67)</f>
        <v>Black</v>
      </c>
      <c r="G501" s="56" t="str">
        <f aca="false">IF('10 Mild Steel'!$C$67="","",'10 Mild Steel'!F67)</f>
        <v>Local fabrication</v>
      </c>
      <c r="H501" s="57" t="str">
        <f aca="false">IF('10 Mild Steel'!$C$67="","",'10 Mild Steel'!G67)</f>
        <v>lm</v>
      </c>
      <c r="I501" s="58" t="n">
        <f aca="false">IF('10 Mild Steel'!$C$67="","",'10 Mild Steel'!J67)</f>
        <v>90.95</v>
      </c>
      <c r="J501" s="58" t="n">
        <f aca="false">IF('10 Mild Steel'!$C$67="","",'10 Mild Steel'!K67)</f>
        <v>109.14</v>
      </c>
      <c r="K501" s="58" t="n">
        <f aca="false">IF('10 Mild Steel'!$C$67="","",'10 Mild Steel'!L67)</f>
        <v>114.6</v>
      </c>
      <c r="L501" s="57" t="str">
        <f aca="false">IF('10 Mild Steel'!$C$67="","",'10 Mild Steel'!M67)</f>
        <v>Indicative</v>
      </c>
      <c r="M501" s="59" t="str">
        <f aca="false">IF(D501="","",IF(AND(OR(Search!$C$6="All Categories",A501=Search!$C$6),OR(Search!$P$5="",ISNUMBER(SEARCH(" "&amp;Search!$P$5,N501))),OR(Search!$P$6="",ISNUMBER(SEARCH(" "&amp;Search!$P$6,N501))),OR(Search!$P$7="",ISNUMBER(SEARCH(" "&amp;Search!$P$7,N501))),OR(Search!$P$8="",ISNUMBER(SEARCH(" "&amp;Search!$P$8,N501))),OR(Search!$P$9="",ISNUMBER(SEARCH(" "&amp;Search!$P$9,N501))),OR(Search!$P$10="",ISNUMBER(SEARCH(" "&amp;Search!$P$10,N501)))),ROW(),""))</f>
        <v/>
      </c>
      <c r="N501" s="0" t="str">
        <f aca="false">IF(D501="",""," "&amp;SUBSTITUTE(SUBSTITUTE(SUBSTITUTE(SUBSTITUTE(SUBSTITUTE(SUBSTITUTE(SUBSTITUTE(B501&amp;" "&amp;C501&amp;" "&amp;D501&amp;" "&amp;E501&amp;" "&amp;F501&amp;" "&amp;G501&amp;" "&amp;H501&amp;" "&amp;'10 Mild Steel'!R67,"("," "),")"," "),"/"," "),"-"," "),","," "),";"," "),":"," ")&amp;" ")</f>
        <v> MS 063 Grating &amp; Misc. MS pipe railing   balustrade  material only  Per lm Black Local fabrication lm railing handrail mild steel </v>
      </c>
    </row>
    <row r="502" customFormat="false" ht="15" hidden="false" customHeight="false" outlineLevel="0" collapsed="false">
      <c r="A502" s="56" t="str">
        <f aca="false">IF('10 Mild Steel'!$C$68="","","Mild Steel (MS) - Sections, Plates &amp; Sheets")</f>
        <v/>
      </c>
      <c r="B502" s="57" t="str">
        <f aca="false">IF('10 Mild Steel'!$C$68="","",'10 Mild Steel'!A68)</f>
        <v/>
      </c>
      <c r="C502" s="56" t="str">
        <f aca="false">IF('10 Mild Steel'!$C$68="","",'10 Mild Steel'!B68)</f>
        <v/>
      </c>
      <c r="D502" s="56" t="str">
        <f aca="false">IF('10 Mild Steel'!$C$68="","",'10 Mild Steel'!C68)</f>
        <v/>
      </c>
      <c r="E502" s="56" t="str">
        <f aca="false">IF('10 Mild Steel'!$C$68="","",'10 Mild Steel'!D68)</f>
        <v/>
      </c>
      <c r="F502" s="56" t="str">
        <f aca="false">IF('10 Mild Steel'!$C$68="","",'10 Mild Steel'!E68)</f>
        <v/>
      </c>
      <c r="G502" s="56" t="str">
        <f aca="false">IF('10 Mild Steel'!$C$68="","",'10 Mild Steel'!F68)</f>
        <v/>
      </c>
      <c r="H502" s="57" t="str">
        <f aca="false">IF('10 Mild Steel'!$C$68="","",'10 Mild Steel'!G68)</f>
        <v/>
      </c>
      <c r="I502" s="58" t="str">
        <f aca="false">IF('10 Mild Steel'!$C$68="","",'10 Mild Steel'!J68)</f>
        <v/>
      </c>
      <c r="J502" s="58" t="str">
        <f aca="false">IF('10 Mild Steel'!$C$68="","",'10 Mild Steel'!K68)</f>
        <v/>
      </c>
      <c r="K502" s="58" t="str">
        <f aca="false">IF('10 Mild Steel'!$C$68="","",'10 Mild Steel'!L68)</f>
        <v/>
      </c>
      <c r="L502" s="57" t="str">
        <f aca="false">IF('10 Mild Steel'!$C$68="","",'10 Mild Steel'!M68)</f>
        <v/>
      </c>
      <c r="M502" s="59" t="str">
        <f aca="false">IF(D502="","",IF(AND(OR(Search!$C$6="All Categories",A502=Search!$C$6),OR(Search!$P$5="",ISNUMBER(SEARCH(" "&amp;Search!$P$5,N502))),OR(Search!$P$6="",ISNUMBER(SEARCH(" "&amp;Search!$P$6,N502))),OR(Search!$P$7="",ISNUMBER(SEARCH(" "&amp;Search!$P$7,N502))),OR(Search!$P$8="",ISNUMBER(SEARCH(" "&amp;Search!$P$8,N502))),OR(Search!$P$9="",ISNUMBER(SEARCH(" "&amp;Search!$P$9,N502))),OR(Search!$P$10="",ISNUMBER(SEARCH(" "&amp;Search!$P$10,N502)))),ROW(),""))</f>
        <v/>
      </c>
      <c r="N502" s="0" t="str">
        <f aca="false">IF(D502="",""," "&amp;SUBSTITUTE(SUBSTITUTE(SUBSTITUTE(SUBSTITUTE(SUBSTITUTE(SUBSTITUTE(SUBSTITUTE(B502&amp;" "&amp;C502&amp;" "&amp;D502&amp;" "&amp;E502&amp;" "&amp;F502&amp;" "&amp;G502&amp;" "&amp;H502&amp;" "&amp;'10 Mild Steel'!R68,"("," "),")"," "),"/"," "),"-"," "),","," "),";"," "),":"," ")&amp;" ")</f>
        <v/>
      </c>
    </row>
    <row r="503" customFormat="false" ht="15" hidden="false" customHeight="false" outlineLevel="0" collapsed="false">
      <c r="A503" s="56" t="str">
        <f aca="false">IF('10 Mild Steel'!$C$69="","","Mild Steel (MS) - Sections, Plates &amp; Sheets")</f>
        <v/>
      </c>
      <c r="B503" s="57" t="str">
        <f aca="false">IF('10 Mild Steel'!$C$69="","",'10 Mild Steel'!A69)</f>
        <v/>
      </c>
      <c r="C503" s="56" t="str">
        <f aca="false">IF('10 Mild Steel'!$C$69="","",'10 Mild Steel'!B69)</f>
        <v/>
      </c>
      <c r="D503" s="56" t="str">
        <f aca="false">IF('10 Mild Steel'!$C$69="","",'10 Mild Steel'!C69)</f>
        <v/>
      </c>
      <c r="E503" s="56" t="str">
        <f aca="false">IF('10 Mild Steel'!$C$69="","",'10 Mild Steel'!D69)</f>
        <v/>
      </c>
      <c r="F503" s="56" t="str">
        <f aca="false">IF('10 Mild Steel'!$C$69="","",'10 Mild Steel'!E69)</f>
        <v/>
      </c>
      <c r="G503" s="56" t="str">
        <f aca="false">IF('10 Mild Steel'!$C$69="","",'10 Mild Steel'!F69)</f>
        <v/>
      </c>
      <c r="H503" s="57" t="str">
        <f aca="false">IF('10 Mild Steel'!$C$69="","",'10 Mild Steel'!G69)</f>
        <v/>
      </c>
      <c r="I503" s="58" t="str">
        <f aca="false">IF('10 Mild Steel'!$C$69="","",'10 Mild Steel'!J69)</f>
        <v/>
      </c>
      <c r="J503" s="58" t="str">
        <f aca="false">IF('10 Mild Steel'!$C$69="","",'10 Mild Steel'!K69)</f>
        <v/>
      </c>
      <c r="K503" s="58" t="str">
        <f aca="false">IF('10 Mild Steel'!$C$69="","",'10 Mild Steel'!L69)</f>
        <v/>
      </c>
      <c r="L503" s="57" t="str">
        <f aca="false">IF('10 Mild Steel'!$C$69="","",'10 Mild Steel'!M69)</f>
        <v/>
      </c>
      <c r="M503" s="59" t="str">
        <f aca="false">IF(D503="","",IF(AND(OR(Search!$C$6="All Categories",A503=Search!$C$6),OR(Search!$P$5="",ISNUMBER(SEARCH(" "&amp;Search!$P$5,N503))),OR(Search!$P$6="",ISNUMBER(SEARCH(" "&amp;Search!$P$6,N503))),OR(Search!$P$7="",ISNUMBER(SEARCH(" "&amp;Search!$P$7,N503))),OR(Search!$P$8="",ISNUMBER(SEARCH(" "&amp;Search!$P$8,N503))),OR(Search!$P$9="",ISNUMBER(SEARCH(" "&amp;Search!$P$9,N503))),OR(Search!$P$10="",ISNUMBER(SEARCH(" "&amp;Search!$P$10,N503)))),ROW(),""))</f>
        <v/>
      </c>
      <c r="N503" s="0" t="str">
        <f aca="false">IF(D503="",""," "&amp;SUBSTITUTE(SUBSTITUTE(SUBSTITUTE(SUBSTITUTE(SUBSTITUTE(SUBSTITUTE(SUBSTITUTE(B503&amp;" "&amp;C503&amp;" "&amp;D503&amp;" "&amp;E503&amp;" "&amp;F503&amp;" "&amp;G503&amp;" "&amp;H503&amp;" "&amp;'10 Mild Steel'!R69,"("," "),")"," "),"/"," "),"-"," "),","," "),";"," "),":"," ")&amp;" ")</f>
        <v/>
      </c>
    </row>
    <row r="504" customFormat="false" ht="15" hidden="false" customHeight="false" outlineLevel="0" collapsed="false">
      <c r="A504" s="56" t="str">
        <f aca="false">IF('10 Mild Steel'!$C$70="","","Mild Steel (MS) - Sections, Plates &amp; Sheets")</f>
        <v/>
      </c>
      <c r="B504" s="57" t="str">
        <f aca="false">IF('10 Mild Steel'!$C$70="","",'10 Mild Steel'!A70)</f>
        <v/>
      </c>
      <c r="C504" s="56" t="str">
        <f aca="false">IF('10 Mild Steel'!$C$70="","",'10 Mild Steel'!B70)</f>
        <v/>
      </c>
      <c r="D504" s="56" t="str">
        <f aca="false">IF('10 Mild Steel'!$C$70="","",'10 Mild Steel'!C70)</f>
        <v/>
      </c>
      <c r="E504" s="56" t="str">
        <f aca="false">IF('10 Mild Steel'!$C$70="","",'10 Mild Steel'!D70)</f>
        <v/>
      </c>
      <c r="F504" s="56" t="str">
        <f aca="false">IF('10 Mild Steel'!$C$70="","",'10 Mild Steel'!E70)</f>
        <v/>
      </c>
      <c r="G504" s="56" t="str">
        <f aca="false">IF('10 Mild Steel'!$C$70="","",'10 Mild Steel'!F70)</f>
        <v/>
      </c>
      <c r="H504" s="57" t="str">
        <f aca="false">IF('10 Mild Steel'!$C$70="","",'10 Mild Steel'!G70)</f>
        <v/>
      </c>
      <c r="I504" s="58" t="str">
        <f aca="false">IF('10 Mild Steel'!$C$70="","",'10 Mild Steel'!J70)</f>
        <v/>
      </c>
      <c r="J504" s="58" t="str">
        <f aca="false">IF('10 Mild Steel'!$C$70="","",'10 Mild Steel'!K70)</f>
        <v/>
      </c>
      <c r="K504" s="58" t="str">
        <f aca="false">IF('10 Mild Steel'!$C$70="","",'10 Mild Steel'!L70)</f>
        <v/>
      </c>
      <c r="L504" s="57" t="str">
        <f aca="false">IF('10 Mild Steel'!$C$70="","",'10 Mild Steel'!M70)</f>
        <v/>
      </c>
      <c r="M504" s="59" t="str">
        <f aca="false">IF(D504="","",IF(AND(OR(Search!$C$6="All Categories",A504=Search!$C$6),OR(Search!$P$5="",ISNUMBER(SEARCH(" "&amp;Search!$P$5,N504))),OR(Search!$P$6="",ISNUMBER(SEARCH(" "&amp;Search!$P$6,N504))),OR(Search!$P$7="",ISNUMBER(SEARCH(" "&amp;Search!$P$7,N504))),OR(Search!$P$8="",ISNUMBER(SEARCH(" "&amp;Search!$P$8,N504))),OR(Search!$P$9="",ISNUMBER(SEARCH(" "&amp;Search!$P$9,N504))),OR(Search!$P$10="",ISNUMBER(SEARCH(" "&amp;Search!$P$10,N504)))),ROW(),""))</f>
        <v/>
      </c>
      <c r="N504" s="0" t="str">
        <f aca="false">IF(D504="",""," "&amp;SUBSTITUTE(SUBSTITUTE(SUBSTITUTE(SUBSTITUTE(SUBSTITUTE(SUBSTITUTE(SUBSTITUTE(B504&amp;" "&amp;C504&amp;" "&amp;D504&amp;" "&amp;E504&amp;" "&amp;F504&amp;" "&amp;G504&amp;" "&amp;H504&amp;" "&amp;'10 Mild Steel'!R70,"("," "),")"," "),"/"," "),"-"," "),","," "),";"," "),":"," ")&amp;" ")</f>
        <v/>
      </c>
    </row>
    <row r="505" customFormat="false" ht="15" hidden="false" customHeight="false" outlineLevel="0" collapsed="false">
      <c r="A505" s="56" t="str">
        <f aca="false">IF('10 Mild Steel'!$C$71="","","Mild Steel (MS) - Sections, Plates &amp; Sheets")</f>
        <v/>
      </c>
      <c r="B505" s="57" t="str">
        <f aca="false">IF('10 Mild Steel'!$C$71="","",'10 Mild Steel'!A71)</f>
        <v/>
      </c>
      <c r="C505" s="56" t="str">
        <f aca="false">IF('10 Mild Steel'!$C$71="","",'10 Mild Steel'!B71)</f>
        <v/>
      </c>
      <c r="D505" s="56" t="str">
        <f aca="false">IF('10 Mild Steel'!$C$71="","",'10 Mild Steel'!C71)</f>
        <v/>
      </c>
      <c r="E505" s="56" t="str">
        <f aca="false">IF('10 Mild Steel'!$C$71="","",'10 Mild Steel'!D71)</f>
        <v/>
      </c>
      <c r="F505" s="56" t="str">
        <f aca="false">IF('10 Mild Steel'!$C$71="","",'10 Mild Steel'!E71)</f>
        <v/>
      </c>
      <c r="G505" s="56" t="str">
        <f aca="false">IF('10 Mild Steel'!$C$71="","",'10 Mild Steel'!F71)</f>
        <v/>
      </c>
      <c r="H505" s="57" t="str">
        <f aca="false">IF('10 Mild Steel'!$C$71="","",'10 Mild Steel'!G71)</f>
        <v/>
      </c>
      <c r="I505" s="58" t="str">
        <f aca="false">IF('10 Mild Steel'!$C$71="","",'10 Mild Steel'!J71)</f>
        <v/>
      </c>
      <c r="J505" s="58" t="str">
        <f aca="false">IF('10 Mild Steel'!$C$71="","",'10 Mild Steel'!K71)</f>
        <v/>
      </c>
      <c r="K505" s="58" t="str">
        <f aca="false">IF('10 Mild Steel'!$C$71="","",'10 Mild Steel'!L71)</f>
        <v/>
      </c>
      <c r="L505" s="57" t="str">
        <f aca="false">IF('10 Mild Steel'!$C$71="","",'10 Mild Steel'!M71)</f>
        <v/>
      </c>
      <c r="M505" s="59" t="str">
        <f aca="false">IF(D505="","",IF(AND(OR(Search!$C$6="All Categories",A505=Search!$C$6),OR(Search!$P$5="",ISNUMBER(SEARCH(" "&amp;Search!$P$5,N505))),OR(Search!$P$6="",ISNUMBER(SEARCH(" "&amp;Search!$P$6,N505))),OR(Search!$P$7="",ISNUMBER(SEARCH(" "&amp;Search!$P$7,N505))),OR(Search!$P$8="",ISNUMBER(SEARCH(" "&amp;Search!$P$8,N505))),OR(Search!$P$9="",ISNUMBER(SEARCH(" "&amp;Search!$P$9,N505))),OR(Search!$P$10="",ISNUMBER(SEARCH(" "&amp;Search!$P$10,N505)))),ROW(),""))</f>
        <v/>
      </c>
      <c r="N505" s="0" t="str">
        <f aca="false">IF(D505="",""," "&amp;SUBSTITUTE(SUBSTITUTE(SUBSTITUTE(SUBSTITUTE(SUBSTITUTE(SUBSTITUTE(SUBSTITUTE(B505&amp;" "&amp;C505&amp;" "&amp;D505&amp;" "&amp;E505&amp;" "&amp;F505&amp;" "&amp;G505&amp;" "&amp;H505&amp;" "&amp;'10 Mild Steel'!R71,"("," "),")"," "),"/"," "),"-"," "),","," "),";"," "),":"," ")&amp;" ")</f>
        <v/>
      </c>
    </row>
    <row r="506" customFormat="false" ht="15" hidden="false" customHeight="false" outlineLevel="0" collapsed="false">
      <c r="A506" s="56" t="str">
        <f aca="false">IF('10 Mild Steel'!$C$72="","","Mild Steel (MS) - Sections, Plates &amp; Sheets")</f>
        <v/>
      </c>
      <c r="B506" s="57" t="str">
        <f aca="false">IF('10 Mild Steel'!$C$72="","",'10 Mild Steel'!A72)</f>
        <v/>
      </c>
      <c r="C506" s="56" t="str">
        <f aca="false">IF('10 Mild Steel'!$C$72="","",'10 Mild Steel'!B72)</f>
        <v/>
      </c>
      <c r="D506" s="56" t="str">
        <f aca="false">IF('10 Mild Steel'!$C$72="","",'10 Mild Steel'!C72)</f>
        <v/>
      </c>
      <c r="E506" s="56" t="str">
        <f aca="false">IF('10 Mild Steel'!$C$72="","",'10 Mild Steel'!D72)</f>
        <v/>
      </c>
      <c r="F506" s="56" t="str">
        <f aca="false">IF('10 Mild Steel'!$C$72="","",'10 Mild Steel'!E72)</f>
        <v/>
      </c>
      <c r="G506" s="56" t="str">
        <f aca="false">IF('10 Mild Steel'!$C$72="","",'10 Mild Steel'!F72)</f>
        <v/>
      </c>
      <c r="H506" s="57" t="str">
        <f aca="false">IF('10 Mild Steel'!$C$72="","",'10 Mild Steel'!G72)</f>
        <v/>
      </c>
      <c r="I506" s="58" t="str">
        <f aca="false">IF('10 Mild Steel'!$C$72="","",'10 Mild Steel'!J72)</f>
        <v/>
      </c>
      <c r="J506" s="58" t="str">
        <f aca="false">IF('10 Mild Steel'!$C$72="","",'10 Mild Steel'!K72)</f>
        <v/>
      </c>
      <c r="K506" s="58" t="str">
        <f aca="false">IF('10 Mild Steel'!$C$72="","",'10 Mild Steel'!L72)</f>
        <v/>
      </c>
      <c r="L506" s="57" t="str">
        <f aca="false">IF('10 Mild Steel'!$C$72="","",'10 Mild Steel'!M72)</f>
        <v/>
      </c>
      <c r="M506" s="59" t="str">
        <f aca="false">IF(D506="","",IF(AND(OR(Search!$C$6="All Categories",A506=Search!$C$6),OR(Search!$P$5="",ISNUMBER(SEARCH(" "&amp;Search!$P$5,N506))),OR(Search!$P$6="",ISNUMBER(SEARCH(" "&amp;Search!$P$6,N506))),OR(Search!$P$7="",ISNUMBER(SEARCH(" "&amp;Search!$P$7,N506))),OR(Search!$P$8="",ISNUMBER(SEARCH(" "&amp;Search!$P$8,N506))),OR(Search!$P$9="",ISNUMBER(SEARCH(" "&amp;Search!$P$9,N506))),OR(Search!$P$10="",ISNUMBER(SEARCH(" "&amp;Search!$P$10,N506)))),ROW(),""))</f>
        <v/>
      </c>
      <c r="N506" s="0" t="str">
        <f aca="false">IF(D506="",""," "&amp;SUBSTITUTE(SUBSTITUTE(SUBSTITUTE(SUBSTITUTE(SUBSTITUTE(SUBSTITUTE(SUBSTITUTE(B506&amp;" "&amp;C506&amp;" "&amp;D506&amp;" "&amp;E506&amp;" "&amp;F506&amp;" "&amp;G506&amp;" "&amp;H506&amp;" "&amp;'10 Mild Steel'!R72,"("," "),")"," "),"/"," "),"-"," "),","," "),";"," "),":"," ")&amp;" ")</f>
        <v/>
      </c>
    </row>
    <row r="507" customFormat="false" ht="15" hidden="false" customHeight="false" outlineLevel="0" collapsed="false">
      <c r="A507" s="56" t="str">
        <f aca="false">IF('10 Mild Steel'!$C$73="","","Mild Steel (MS) - Sections, Plates &amp; Sheets")</f>
        <v/>
      </c>
      <c r="B507" s="57" t="str">
        <f aca="false">IF('10 Mild Steel'!$C$73="","",'10 Mild Steel'!A73)</f>
        <v/>
      </c>
      <c r="C507" s="56" t="str">
        <f aca="false">IF('10 Mild Steel'!$C$73="","",'10 Mild Steel'!B73)</f>
        <v/>
      </c>
      <c r="D507" s="56" t="str">
        <f aca="false">IF('10 Mild Steel'!$C$73="","",'10 Mild Steel'!C73)</f>
        <v/>
      </c>
      <c r="E507" s="56" t="str">
        <f aca="false">IF('10 Mild Steel'!$C$73="","",'10 Mild Steel'!D73)</f>
        <v/>
      </c>
      <c r="F507" s="56" t="str">
        <f aca="false">IF('10 Mild Steel'!$C$73="","",'10 Mild Steel'!E73)</f>
        <v/>
      </c>
      <c r="G507" s="56" t="str">
        <f aca="false">IF('10 Mild Steel'!$C$73="","",'10 Mild Steel'!F73)</f>
        <v/>
      </c>
      <c r="H507" s="57" t="str">
        <f aca="false">IF('10 Mild Steel'!$C$73="","",'10 Mild Steel'!G73)</f>
        <v/>
      </c>
      <c r="I507" s="58" t="str">
        <f aca="false">IF('10 Mild Steel'!$C$73="","",'10 Mild Steel'!J73)</f>
        <v/>
      </c>
      <c r="J507" s="58" t="str">
        <f aca="false">IF('10 Mild Steel'!$C$73="","",'10 Mild Steel'!K73)</f>
        <v/>
      </c>
      <c r="K507" s="58" t="str">
        <f aca="false">IF('10 Mild Steel'!$C$73="","",'10 Mild Steel'!L73)</f>
        <v/>
      </c>
      <c r="L507" s="57" t="str">
        <f aca="false">IF('10 Mild Steel'!$C$73="","",'10 Mild Steel'!M73)</f>
        <v/>
      </c>
      <c r="M507" s="59" t="str">
        <f aca="false">IF(D507="","",IF(AND(OR(Search!$C$6="All Categories",A507=Search!$C$6),OR(Search!$P$5="",ISNUMBER(SEARCH(" "&amp;Search!$P$5,N507))),OR(Search!$P$6="",ISNUMBER(SEARCH(" "&amp;Search!$P$6,N507))),OR(Search!$P$7="",ISNUMBER(SEARCH(" "&amp;Search!$P$7,N507))),OR(Search!$P$8="",ISNUMBER(SEARCH(" "&amp;Search!$P$8,N507))),OR(Search!$P$9="",ISNUMBER(SEARCH(" "&amp;Search!$P$9,N507))),OR(Search!$P$10="",ISNUMBER(SEARCH(" "&amp;Search!$P$10,N507)))),ROW(),""))</f>
        <v/>
      </c>
      <c r="N507" s="0" t="str">
        <f aca="false">IF(D507="",""," "&amp;SUBSTITUTE(SUBSTITUTE(SUBSTITUTE(SUBSTITUTE(SUBSTITUTE(SUBSTITUTE(SUBSTITUTE(B507&amp;" "&amp;C507&amp;" "&amp;D507&amp;" "&amp;E507&amp;" "&amp;F507&amp;" "&amp;G507&amp;" "&amp;H507&amp;" "&amp;'10 Mild Steel'!R73,"("," "),")"," "),"/"," "),"-"," "),","," "),";"," "),":"," ")&amp;" ")</f>
        <v/>
      </c>
    </row>
    <row r="508" customFormat="false" ht="15" hidden="false" customHeight="false" outlineLevel="0" collapsed="false">
      <c r="A508" s="56" t="str">
        <f aca="false">IF('10 Mild Steel'!$C$74="","","Mild Steel (MS) - Sections, Plates &amp; Sheets")</f>
        <v/>
      </c>
      <c r="B508" s="57" t="str">
        <f aca="false">IF('10 Mild Steel'!$C$74="","",'10 Mild Steel'!A74)</f>
        <v/>
      </c>
      <c r="C508" s="56" t="str">
        <f aca="false">IF('10 Mild Steel'!$C$74="","",'10 Mild Steel'!B74)</f>
        <v/>
      </c>
      <c r="D508" s="56" t="str">
        <f aca="false">IF('10 Mild Steel'!$C$74="","",'10 Mild Steel'!C74)</f>
        <v/>
      </c>
      <c r="E508" s="56" t="str">
        <f aca="false">IF('10 Mild Steel'!$C$74="","",'10 Mild Steel'!D74)</f>
        <v/>
      </c>
      <c r="F508" s="56" t="str">
        <f aca="false">IF('10 Mild Steel'!$C$74="","",'10 Mild Steel'!E74)</f>
        <v/>
      </c>
      <c r="G508" s="56" t="str">
        <f aca="false">IF('10 Mild Steel'!$C$74="","",'10 Mild Steel'!F74)</f>
        <v/>
      </c>
      <c r="H508" s="57" t="str">
        <f aca="false">IF('10 Mild Steel'!$C$74="","",'10 Mild Steel'!G74)</f>
        <v/>
      </c>
      <c r="I508" s="58" t="str">
        <f aca="false">IF('10 Mild Steel'!$C$74="","",'10 Mild Steel'!J74)</f>
        <v/>
      </c>
      <c r="J508" s="58" t="str">
        <f aca="false">IF('10 Mild Steel'!$C$74="","",'10 Mild Steel'!K74)</f>
        <v/>
      </c>
      <c r="K508" s="58" t="str">
        <f aca="false">IF('10 Mild Steel'!$C$74="","",'10 Mild Steel'!L74)</f>
        <v/>
      </c>
      <c r="L508" s="57" t="str">
        <f aca="false">IF('10 Mild Steel'!$C$74="","",'10 Mild Steel'!M74)</f>
        <v/>
      </c>
      <c r="M508" s="59" t="str">
        <f aca="false">IF(D508="","",IF(AND(OR(Search!$C$6="All Categories",A508=Search!$C$6),OR(Search!$P$5="",ISNUMBER(SEARCH(" "&amp;Search!$P$5,N508))),OR(Search!$P$6="",ISNUMBER(SEARCH(" "&amp;Search!$P$6,N508))),OR(Search!$P$7="",ISNUMBER(SEARCH(" "&amp;Search!$P$7,N508))),OR(Search!$P$8="",ISNUMBER(SEARCH(" "&amp;Search!$P$8,N508))),OR(Search!$P$9="",ISNUMBER(SEARCH(" "&amp;Search!$P$9,N508))),OR(Search!$P$10="",ISNUMBER(SEARCH(" "&amp;Search!$P$10,N508)))),ROW(),""))</f>
        <v/>
      </c>
      <c r="N508" s="0" t="str">
        <f aca="false">IF(D508="",""," "&amp;SUBSTITUTE(SUBSTITUTE(SUBSTITUTE(SUBSTITUTE(SUBSTITUTE(SUBSTITUTE(SUBSTITUTE(B508&amp;" "&amp;C508&amp;" "&amp;D508&amp;" "&amp;E508&amp;" "&amp;F508&amp;" "&amp;G508&amp;" "&amp;H508&amp;" "&amp;'10 Mild Steel'!R74,"("," "),")"," "),"/"," "),"-"," "),","," "),";"," "),":"," ")&amp;" ")</f>
        <v/>
      </c>
    </row>
    <row r="509" customFormat="false" ht="15" hidden="false" customHeight="false" outlineLevel="0" collapsed="false">
      <c r="A509" s="56" t="str">
        <f aca="false">IF('10 Mild Steel'!$C$75="","","Mild Steel (MS) - Sections, Plates &amp; Sheets")</f>
        <v/>
      </c>
      <c r="B509" s="57" t="str">
        <f aca="false">IF('10 Mild Steel'!$C$75="","",'10 Mild Steel'!A75)</f>
        <v/>
      </c>
      <c r="C509" s="56" t="str">
        <f aca="false">IF('10 Mild Steel'!$C$75="","",'10 Mild Steel'!B75)</f>
        <v/>
      </c>
      <c r="D509" s="56" t="str">
        <f aca="false">IF('10 Mild Steel'!$C$75="","",'10 Mild Steel'!C75)</f>
        <v/>
      </c>
      <c r="E509" s="56" t="str">
        <f aca="false">IF('10 Mild Steel'!$C$75="","",'10 Mild Steel'!D75)</f>
        <v/>
      </c>
      <c r="F509" s="56" t="str">
        <f aca="false">IF('10 Mild Steel'!$C$75="","",'10 Mild Steel'!E75)</f>
        <v/>
      </c>
      <c r="G509" s="56" t="str">
        <f aca="false">IF('10 Mild Steel'!$C$75="","",'10 Mild Steel'!F75)</f>
        <v/>
      </c>
      <c r="H509" s="57" t="str">
        <f aca="false">IF('10 Mild Steel'!$C$75="","",'10 Mild Steel'!G75)</f>
        <v/>
      </c>
      <c r="I509" s="58" t="str">
        <f aca="false">IF('10 Mild Steel'!$C$75="","",'10 Mild Steel'!J75)</f>
        <v/>
      </c>
      <c r="J509" s="58" t="str">
        <f aca="false">IF('10 Mild Steel'!$C$75="","",'10 Mild Steel'!K75)</f>
        <v/>
      </c>
      <c r="K509" s="58" t="str">
        <f aca="false">IF('10 Mild Steel'!$C$75="","",'10 Mild Steel'!L75)</f>
        <v/>
      </c>
      <c r="L509" s="57" t="str">
        <f aca="false">IF('10 Mild Steel'!$C$75="","",'10 Mild Steel'!M75)</f>
        <v/>
      </c>
      <c r="M509" s="59" t="str">
        <f aca="false">IF(D509="","",IF(AND(OR(Search!$C$6="All Categories",A509=Search!$C$6),OR(Search!$P$5="",ISNUMBER(SEARCH(" "&amp;Search!$P$5,N509))),OR(Search!$P$6="",ISNUMBER(SEARCH(" "&amp;Search!$P$6,N509))),OR(Search!$P$7="",ISNUMBER(SEARCH(" "&amp;Search!$P$7,N509))),OR(Search!$P$8="",ISNUMBER(SEARCH(" "&amp;Search!$P$8,N509))),OR(Search!$P$9="",ISNUMBER(SEARCH(" "&amp;Search!$P$9,N509))),OR(Search!$P$10="",ISNUMBER(SEARCH(" "&amp;Search!$P$10,N509)))),ROW(),""))</f>
        <v/>
      </c>
      <c r="N509" s="0" t="str">
        <f aca="false">IF(D509="",""," "&amp;SUBSTITUTE(SUBSTITUTE(SUBSTITUTE(SUBSTITUTE(SUBSTITUTE(SUBSTITUTE(SUBSTITUTE(B509&amp;" "&amp;C509&amp;" "&amp;D509&amp;" "&amp;E509&amp;" "&amp;F509&amp;" "&amp;G509&amp;" "&amp;H509&amp;" "&amp;'10 Mild Steel'!R75,"("," "),")"," "),"/"," "),"-"," "),","," "),";"," "),":"," ")&amp;" ")</f>
        <v/>
      </c>
    </row>
    <row r="510" customFormat="false" ht="15" hidden="false" customHeight="false" outlineLevel="0" collapsed="false">
      <c r="A510" s="56" t="str">
        <f aca="false">IF('10 Mild Steel'!$C$76="","","Mild Steel (MS) - Sections, Plates &amp; Sheets")</f>
        <v/>
      </c>
      <c r="B510" s="57" t="str">
        <f aca="false">IF('10 Mild Steel'!$C$76="","",'10 Mild Steel'!A76)</f>
        <v/>
      </c>
      <c r="C510" s="56" t="str">
        <f aca="false">IF('10 Mild Steel'!$C$76="","",'10 Mild Steel'!B76)</f>
        <v/>
      </c>
      <c r="D510" s="56" t="str">
        <f aca="false">IF('10 Mild Steel'!$C$76="","",'10 Mild Steel'!C76)</f>
        <v/>
      </c>
      <c r="E510" s="56" t="str">
        <f aca="false">IF('10 Mild Steel'!$C$76="","",'10 Mild Steel'!D76)</f>
        <v/>
      </c>
      <c r="F510" s="56" t="str">
        <f aca="false">IF('10 Mild Steel'!$C$76="","",'10 Mild Steel'!E76)</f>
        <v/>
      </c>
      <c r="G510" s="56" t="str">
        <f aca="false">IF('10 Mild Steel'!$C$76="","",'10 Mild Steel'!F76)</f>
        <v/>
      </c>
      <c r="H510" s="57" t="str">
        <f aca="false">IF('10 Mild Steel'!$C$76="","",'10 Mild Steel'!G76)</f>
        <v/>
      </c>
      <c r="I510" s="58" t="str">
        <f aca="false">IF('10 Mild Steel'!$C$76="","",'10 Mild Steel'!J76)</f>
        <v/>
      </c>
      <c r="J510" s="58" t="str">
        <f aca="false">IF('10 Mild Steel'!$C$76="","",'10 Mild Steel'!K76)</f>
        <v/>
      </c>
      <c r="K510" s="58" t="str">
        <f aca="false">IF('10 Mild Steel'!$C$76="","",'10 Mild Steel'!L76)</f>
        <v/>
      </c>
      <c r="L510" s="57" t="str">
        <f aca="false">IF('10 Mild Steel'!$C$76="","",'10 Mild Steel'!M76)</f>
        <v/>
      </c>
      <c r="M510" s="59" t="str">
        <f aca="false">IF(D510="","",IF(AND(OR(Search!$C$6="All Categories",A510=Search!$C$6),OR(Search!$P$5="",ISNUMBER(SEARCH(" "&amp;Search!$P$5,N510))),OR(Search!$P$6="",ISNUMBER(SEARCH(" "&amp;Search!$P$6,N510))),OR(Search!$P$7="",ISNUMBER(SEARCH(" "&amp;Search!$P$7,N510))),OR(Search!$P$8="",ISNUMBER(SEARCH(" "&amp;Search!$P$8,N510))),OR(Search!$P$9="",ISNUMBER(SEARCH(" "&amp;Search!$P$9,N510))),OR(Search!$P$10="",ISNUMBER(SEARCH(" "&amp;Search!$P$10,N510)))),ROW(),""))</f>
        <v/>
      </c>
      <c r="N510" s="0" t="str">
        <f aca="false">IF(D510="",""," "&amp;SUBSTITUTE(SUBSTITUTE(SUBSTITUTE(SUBSTITUTE(SUBSTITUTE(SUBSTITUTE(SUBSTITUTE(B510&amp;" "&amp;C510&amp;" "&amp;D510&amp;" "&amp;E510&amp;" "&amp;F510&amp;" "&amp;G510&amp;" "&amp;H510&amp;" "&amp;'10 Mild Steel'!R76,"("," "),")"," "),"/"," "),"-"," "),","," "),";"," "),":"," ")&amp;" ")</f>
        <v/>
      </c>
    </row>
    <row r="511" customFormat="false" ht="15" hidden="false" customHeight="false" outlineLevel="0" collapsed="false">
      <c r="A511" s="56" t="str">
        <f aca="false">IF('10 Mild Steel'!$C$77="","","Mild Steel (MS) - Sections, Plates &amp; Sheets")</f>
        <v/>
      </c>
      <c r="B511" s="57" t="str">
        <f aca="false">IF('10 Mild Steel'!$C$77="","",'10 Mild Steel'!A77)</f>
        <v/>
      </c>
      <c r="C511" s="56" t="str">
        <f aca="false">IF('10 Mild Steel'!$C$77="","",'10 Mild Steel'!B77)</f>
        <v/>
      </c>
      <c r="D511" s="56" t="str">
        <f aca="false">IF('10 Mild Steel'!$C$77="","",'10 Mild Steel'!C77)</f>
        <v/>
      </c>
      <c r="E511" s="56" t="str">
        <f aca="false">IF('10 Mild Steel'!$C$77="","",'10 Mild Steel'!D77)</f>
        <v/>
      </c>
      <c r="F511" s="56" t="str">
        <f aca="false">IF('10 Mild Steel'!$C$77="","",'10 Mild Steel'!E77)</f>
        <v/>
      </c>
      <c r="G511" s="56" t="str">
        <f aca="false">IF('10 Mild Steel'!$C$77="","",'10 Mild Steel'!F77)</f>
        <v/>
      </c>
      <c r="H511" s="57" t="str">
        <f aca="false">IF('10 Mild Steel'!$C$77="","",'10 Mild Steel'!G77)</f>
        <v/>
      </c>
      <c r="I511" s="58" t="str">
        <f aca="false">IF('10 Mild Steel'!$C$77="","",'10 Mild Steel'!J77)</f>
        <v/>
      </c>
      <c r="J511" s="58" t="str">
        <f aca="false">IF('10 Mild Steel'!$C$77="","",'10 Mild Steel'!K77)</f>
        <v/>
      </c>
      <c r="K511" s="58" t="str">
        <f aca="false">IF('10 Mild Steel'!$C$77="","",'10 Mild Steel'!L77)</f>
        <v/>
      </c>
      <c r="L511" s="57" t="str">
        <f aca="false">IF('10 Mild Steel'!$C$77="","",'10 Mild Steel'!M77)</f>
        <v/>
      </c>
      <c r="M511" s="59" t="str">
        <f aca="false">IF(D511="","",IF(AND(OR(Search!$C$6="All Categories",A511=Search!$C$6),OR(Search!$P$5="",ISNUMBER(SEARCH(" "&amp;Search!$P$5,N511))),OR(Search!$P$6="",ISNUMBER(SEARCH(" "&amp;Search!$P$6,N511))),OR(Search!$P$7="",ISNUMBER(SEARCH(" "&amp;Search!$P$7,N511))),OR(Search!$P$8="",ISNUMBER(SEARCH(" "&amp;Search!$P$8,N511))),OR(Search!$P$9="",ISNUMBER(SEARCH(" "&amp;Search!$P$9,N511))),OR(Search!$P$10="",ISNUMBER(SEARCH(" "&amp;Search!$P$10,N511)))),ROW(),""))</f>
        <v/>
      </c>
      <c r="N511" s="0" t="str">
        <f aca="false">IF(D511="",""," "&amp;SUBSTITUTE(SUBSTITUTE(SUBSTITUTE(SUBSTITUTE(SUBSTITUTE(SUBSTITUTE(SUBSTITUTE(B511&amp;" "&amp;C511&amp;" "&amp;D511&amp;" "&amp;E511&amp;" "&amp;F511&amp;" "&amp;G511&amp;" "&amp;H511&amp;" "&amp;'10 Mild Steel'!R77,"("," "),")"," "),"/"," "),"-"," "),","," "),";"," "),":"," ")&amp;" ")</f>
        <v/>
      </c>
    </row>
    <row r="512" customFormat="false" ht="15" hidden="false" customHeight="false" outlineLevel="0" collapsed="false">
      <c r="A512" s="56" t="str">
        <f aca="false">IF('10 Mild Steel'!$C$78="","","Mild Steel (MS) - Sections, Plates &amp; Sheets")</f>
        <v/>
      </c>
      <c r="B512" s="57" t="str">
        <f aca="false">IF('10 Mild Steel'!$C$78="","",'10 Mild Steel'!A78)</f>
        <v/>
      </c>
      <c r="C512" s="56" t="str">
        <f aca="false">IF('10 Mild Steel'!$C$78="","",'10 Mild Steel'!B78)</f>
        <v/>
      </c>
      <c r="D512" s="56" t="str">
        <f aca="false">IF('10 Mild Steel'!$C$78="","",'10 Mild Steel'!C78)</f>
        <v/>
      </c>
      <c r="E512" s="56" t="str">
        <f aca="false">IF('10 Mild Steel'!$C$78="","",'10 Mild Steel'!D78)</f>
        <v/>
      </c>
      <c r="F512" s="56" t="str">
        <f aca="false">IF('10 Mild Steel'!$C$78="","",'10 Mild Steel'!E78)</f>
        <v/>
      </c>
      <c r="G512" s="56" t="str">
        <f aca="false">IF('10 Mild Steel'!$C$78="","",'10 Mild Steel'!F78)</f>
        <v/>
      </c>
      <c r="H512" s="57" t="str">
        <f aca="false">IF('10 Mild Steel'!$C$78="","",'10 Mild Steel'!G78)</f>
        <v/>
      </c>
      <c r="I512" s="58" t="str">
        <f aca="false">IF('10 Mild Steel'!$C$78="","",'10 Mild Steel'!J78)</f>
        <v/>
      </c>
      <c r="J512" s="58" t="str">
        <f aca="false">IF('10 Mild Steel'!$C$78="","",'10 Mild Steel'!K78)</f>
        <v/>
      </c>
      <c r="K512" s="58" t="str">
        <f aca="false">IF('10 Mild Steel'!$C$78="","",'10 Mild Steel'!L78)</f>
        <v/>
      </c>
      <c r="L512" s="57" t="str">
        <f aca="false">IF('10 Mild Steel'!$C$78="","",'10 Mild Steel'!M78)</f>
        <v/>
      </c>
      <c r="M512" s="59" t="str">
        <f aca="false">IF(D512="","",IF(AND(OR(Search!$C$6="All Categories",A512=Search!$C$6),OR(Search!$P$5="",ISNUMBER(SEARCH(" "&amp;Search!$P$5,N512))),OR(Search!$P$6="",ISNUMBER(SEARCH(" "&amp;Search!$P$6,N512))),OR(Search!$P$7="",ISNUMBER(SEARCH(" "&amp;Search!$P$7,N512))),OR(Search!$P$8="",ISNUMBER(SEARCH(" "&amp;Search!$P$8,N512))),OR(Search!$P$9="",ISNUMBER(SEARCH(" "&amp;Search!$P$9,N512))),OR(Search!$P$10="",ISNUMBER(SEARCH(" "&amp;Search!$P$10,N512)))),ROW(),""))</f>
        <v/>
      </c>
      <c r="N512" s="0" t="str">
        <f aca="false">IF(D512="",""," "&amp;SUBSTITUTE(SUBSTITUTE(SUBSTITUTE(SUBSTITUTE(SUBSTITUTE(SUBSTITUTE(SUBSTITUTE(B512&amp;" "&amp;C512&amp;" "&amp;D512&amp;" "&amp;E512&amp;" "&amp;F512&amp;" "&amp;G512&amp;" "&amp;H512&amp;" "&amp;'10 Mild Steel'!R78,"("," "),")"," "),"/"," "),"-"," "),","," "),";"," "),":"," ")&amp;" ")</f>
        <v/>
      </c>
    </row>
    <row r="513" customFormat="false" ht="15" hidden="false" customHeight="false" outlineLevel="0" collapsed="false">
      <c r="A513" s="56" t="str">
        <f aca="false">IF('10 Mild Steel'!$C$79="","","Mild Steel (MS) - Sections, Plates &amp; Sheets")</f>
        <v/>
      </c>
      <c r="B513" s="57" t="str">
        <f aca="false">IF('10 Mild Steel'!$C$79="","",'10 Mild Steel'!A79)</f>
        <v/>
      </c>
      <c r="C513" s="56" t="str">
        <f aca="false">IF('10 Mild Steel'!$C$79="","",'10 Mild Steel'!B79)</f>
        <v/>
      </c>
      <c r="D513" s="56" t="str">
        <f aca="false">IF('10 Mild Steel'!$C$79="","",'10 Mild Steel'!C79)</f>
        <v/>
      </c>
      <c r="E513" s="56" t="str">
        <f aca="false">IF('10 Mild Steel'!$C$79="","",'10 Mild Steel'!D79)</f>
        <v/>
      </c>
      <c r="F513" s="56" t="str">
        <f aca="false">IF('10 Mild Steel'!$C$79="","",'10 Mild Steel'!E79)</f>
        <v/>
      </c>
      <c r="G513" s="56" t="str">
        <f aca="false">IF('10 Mild Steel'!$C$79="","",'10 Mild Steel'!F79)</f>
        <v/>
      </c>
      <c r="H513" s="57" t="str">
        <f aca="false">IF('10 Mild Steel'!$C$79="","",'10 Mild Steel'!G79)</f>
        <v/>
      </c>
      <c r="I513" s="58" t="str">
        <f aca="false">IF('10 Mild Steel'!$C$79="","",'10 Mild Steel'!J79)</f>
        <v/>
      </c>
      <c r="J513" s="58" t="str">
        <f aca="false">IF('10 Mild Steel'!$C$79="","",'10 Mild Steel'!K79)</f>
        <v/>
      </c>
      <c r="K513" s="58" t="str">
        <f aca="false">IF('10 Mild Steel'!$C$79="","",'10 Mild Steel'!L79)</f>
        <v/>
      </c>
      <c r="L513" s="57" t="str">
        <f aca="false">IF('10 Mild Steel'!$C$79="","",'10 Mild Steel'!M79)</f>
        <v/>
      </c>
      <c r="M513" s="59" t="str">
        <f aca="false">IF(D513="","",IF(AND(OR(Search!$C$6="All Categories",A513=Search!$C$6),OR(Search!$P$5="",ISNUMBER(SEARCH(" "&amp;Search!$P$5,N513))),OR(Search!$P$6="",ISNUMBER(SEARCH(" "&amp;Search!$P$6,N513))),OR(Search!$P$7="",ISNUMBER(SEARCH(" "&amp;Search!$P$7,N513))),OR(Search!$P$8="",ISNUMBER(SEARCH(" "&amp;Search!$P$8,N513))),OR(Search!$P$9="",ISNUMBER(SEARCH(" "&amp;Search!$P$9,N513))),OR(Search!$P$10="",ISNUMBER(SEARCH(" "&amp;Search!$P$10,N513)))),ROW(),""))</f>
        <v/>
      </c>
      <c r="N513" s="0" t="str">
        <f aca="false">IF(D513="",""," "&amp;SUBSTITUTE(SUBSTITUTE(SUBSTITUTE(SUBSTITUTE(SUBSTITUTE(SUBSTITUTE(SUBSTITUTE(B513&amp;" "&amp;C513&amp;" "&amp;D513&amp;" "&amp;E513&amp;" "&amp;F513&amp;" "&amp;G513&amp;" "&amp;H513&amp;" "&amp;'10 Mild Steel'!R79,"("," "),")"," "),"/"," "),"-"," "),","," "),";"," "),":"," ")&amp;" ")</f>
        <v/>
      </c>
    </row>
    <row r="514" customFormat="false" ht="15" hidden="false" customHeight="false" outlineLevel="0" collapsed="false">
      <c r="A514" s="56" t="str">
        <f aca="false">IF('10 Mild Steel'!$C$80="","","Mild Steel (MS) - Sections, Plates &amp; Sheets")</f>
        <v/>
      </c>
      <c r="B514" s="57" t="str">
        <f aca="false">IF('10 Mild Steel'!$C$80="","",'10 Mild Steel'!A80)</f>
        <v/>
      </c>
      <c r="C514" s="56" t="str">
        <f aca="false">IF('10 Mild Steel'!$C$80="","",'10 Mild Steel'!B80)</f>
        <v/>
      </c>
      <c r="D514" s="56" t="str">
        <f aca="false">IF('10 Mild Steel'!$C$80="","",'10 Mild Steel'!C80)</f>
        <v/>
      </c>
      <c r="E514" s="56" t="str">
        <f aca="false">IF('10 Mild Steel'!$C$80="","",'10 Mild Steel'!D80)</f>
        <v/>
      </c>
      <c r="F514" s="56" t="str">
        <f aca="false">IF('10 Mild Steel'!$C$80="","",'10 Mild Steel'!E80)</f>
        <v/>
      </c>
      <c r="G514" s="56" t="str">
        <f aca="false">IF('10 Mild Steel'!$C$80="","",'10 Mild Steel'!F80)</f>
        <v/>
      </c>
      <c r="H514" s="57" t="str">
        <f aca="false">IF('10 Mild Steel'!$C$80="","",'10 Mild Steel'!G80)</f>
        <v/>
      </c>
      <c r="I514" s="58" t="str">
        <f aca="false">IF('10 Mild Steel'!$C$80="","",'10 Mild Steel'!J80)</f>
        <v/>
      </c>
      <c r="J514" s="58" t="str">
        <f aca="false">IF('10 Mild Steel'!$C$80="","",'10 Mild Steel'!K80)</f>
        <v/>
      </c>
      <c r="K514" s="58" t="str">
        <f aca="false">IF('10 Mild Steel'!$C$80="","",'10 Mild Steel'!L80)</f>
        <v/>
      </c>
      <c r="L514" s="57" t="str">
        <f aca="false">IF('10 Mild Steel'!$C$80="","",'10 Mild Steel'!M80)</f>
        <v/>
      </c>
      <c r="M514" s="59" t="str">
        <f aca="false">IF(D514="","",IF(AND(OR(Search!$C$6="All Categories",A514=Search!$C$6),OR(Search!$P$5="",ISNUMBER(SEARCH(" "&amp;Search!$P$5,N514))),OR(Search!$P$6="",ISNUMBER(SEARCH(" "&amp;Search!$P$6,N514))),OR(Search!$P$7="",ISNUMBER(SEARCH(" "&amp;Search!$P$7,N514))),OR(Search!$P$8="",ISNUMBER(SEARCH(" "&amp;Search!$P$8,N514))),OR(Search!$P$9="",ISNUMBER(SEARCH(" "&amp;Search!$P$9,N514))),OR(Search!$P$10="",ISNUMBER(SEARCH(" "&amp;Search!$P$10,N514)))),ROW(),""))</f>
        <v/>
      </c>
      <c r="N514" s="0" t="str">
        <f aca="false">IF(D514="",""," "&amp;SUBSTITUTE(SUBSTITUTE(SUBSTITUTE(SUBSTITUTE(SUBSTITUTE(SUBSTITUTE(SUBSTITUTE(B514&amp;" "&amp;C514&amp;" "&amp;D514&amp;" "&amp;E514&amp;" "&amp;F514&amp;" "&amp;G514&amp;" "&amp;H514&amp;" "&amp;'10 Mild Steel'!R80,"("," "),")"," "),"/"," "),"-"," "),","," "),";"," "),":"," ")&amp;" ")</f>
        <v/>
      </c>
    </row>
    <row r="515" customFormat="false" ht="15" hidden="false" customHeight="false" outlineLevel="0" collapsed="false">
      <c r="A515" s="56" t="str">
        <f aca="false">IF('10 Mild Steel'!$C$81="","","Mild Steel (MS) - Sections, Plates &amp; Sheets")</f>
        <v/>
      </c>
      <c r="B515" s="57" t="str">
        <f aca="false">IF('10 Mild Steel'!$C$81="","",'10 Mild Steel'!A81)</f>
        <v/>
      </c>
      <c r="C515" s="56" t="str">
        <f aca="false">IF('10 Mild Steel'!$C$81="","",'10 Mild Steel'!B81)</f>
        <v/>
      </c>
      <c r="D515" s="56" t="str">
        <f aca="false">IF('10 Mild Steel'!$C$81="","",'10 Mild Steel'!C81)</f>
        <v/>
      </c>
      <c r="E515" s="56" t="str">
        <f aca="false">IF('10 Mild Steel'!$C$81="","",'10 Mild Steel'!D81)</f>
        <v/>
      </c>
      <c r="F515" s="56" t="str">
        <f aca="false">IF('10 Mild Steel'!$C$81="","",'10 Mild Steel'!E81)</f>
        <v/>
      </c>
      <c r="G515" s="56" t="str">
        <f aca="false">IF('10 Mild Steel'!$C$81="","",'10 Mild Steel'!F81)</f>
        <v/>
      </c>
      <c r="H515" s="57" t="str">
        <f aca="false">IF('10 Mild Steel'!$C$81="","",'10 Mild Steel'!G81)</f>
        <v/>
      </c>
      <c r="I515" s="58" t="str">
        <f aca="false">IF('10 Mild Steel'!$C$81="","",'10 Mild Steel'!J81)</f>
        <v/>
      </c>
      <c r="J515" s="58" t="str">
        <f aca="false">IF('10 Mild Steel'!$C$81="","",'10 Mild Steel'!K81)</f>
        <v/>
      </c>
      <c r="K515" s="58" t="str">
        <f aca="false">IF('10 Mild Steel'!$C$81="","",'10 Mild Steel'!L81)</f>
        <v/>
      </c>
      <c r="L515" s="57" t="str">
        <f aca="false">IF('10 Mild Steel'!$C$81="","",'10 Mild Steel'!M81)</f>
        <v/>
      </c>
      <c r="M515" s="59" t="str">
        <f aca="false">IF(D515="","",IF(AND(OR(Search!$C$6="All Categories",A515=Search!$C$6),OR(Search!$P$5="",ISNUMBER(SEARCH(" "&amp;Search!$P$5,N515))),OR(Search!$P$6="",ISNUMBER(SEARCH(" "&amp;Search!$P$6,N515))),OR(Search!$P$7="",ISNUMBER(SEARCH(" "&amp;Search!$P$7,N515))),OR(Search!$P$8="",ISNUMBER(SEARCH(" "&amp;Search!$P$8,N515))),OR(Search!$P$9="",ISNUMBER(SEARCH(" "&amp;Search!$P$9,N515))),OR(Search!$P$10="",ISNUMBER(SEARCH(" "&amp;Search!$P$10,N515)))),ROW(),""))</f>
        <v/>
      </c>
      <c r="N515" s="0" t="str">
        <f aca="false">IF(D515="",""," "&amp;SUBSTITUTE(SUBSTITUTE(SUBSTITUTE(SUBSTITUTE(SUBSTITUTE(SUBSTITUTE(SUBSTITUTE(B515&amp;" "&amp;C515&amp;" "&amp;D515&amp;" "&amp;E515&amp;" "&amp;F515&amp;" "&amp;G515&amp;" "&amp;H515&amp;" "&amp;'10 Mild Steel'!R81,"("," "),")"," "),"/"," "),"-"," "),","," "),";"," "),":"," ")&amp;" ")</f>
        <v/>
      </c>
    </row>
    <row r="516" customFormat="false" ht="15" hidden="false" customHeight="false" outlineLevel="0" collapsed="false">
      <c r="A516" s="56" t="str">
        <f aca="false">IF('10 Mild Steel'!$C$82="","","Mild Steel (MS) - Sections, Plates &amp; Sheets")</f>
        <v/>
      </c>
      <c r="B516" s="57" t="str">
        <f aca="false">IF('10 Mild Steel'!$C$82="","",'10 Mild Steel'!A82)</f>
        <v/>
      </c>
      <c r="C516" s="56" t="str">
        <f aca="false">IF('10 Mild Steel'!$C$82="","",'10 Mild Steel'!B82)</f>
        <v/>
      </c>
      <c r="D516" s="56" t="str">
        <f aca="false">IF('10 Mild Steel'!$C$82="","",'10 Mild Steel'!C82)</f>
        <v/>
      </c>
      <c r="E516" s="56" t="str">
        <f aca="false">IF('10 Mild Steel'!$C$82="","",'10 Mild Steel'!D82)</f>
        <v/>
      </c>
      <c r="F516" s="56" t="str">
        <f aca="false">IF('10 Mild Steel'!$C$82="","",'10 Mild Steel'!E82)</f>
        <v/>
      </c>
      <c r="G516" s="56" t="str">
        <f aca="false">IF('10 Mild Steel'!$C$82="","",'10 Mild Steel'!F82)</f>
        <v/>
      </c>
      <c r="H516" s="57" t="str">
        <f aca="false">IF('10 Mild Steel'!$C$82="","",'10 Mild Steel'!G82)</f>
        <v/>
      </c>
      <c r="I516" s="58" t="str">
        <f aca="false">IF('10 Mild Steel'!$C$82="","",'10 Mild Steel'!J82)</f>
        <v/>
      </c>
      <c r="J516" s="58" t="str">
        <f aca="false">IF('10 Mild Steel'!$C$82="","",'10 Mild Steel'!K82)</f>
        <v/>
      </c>
      <c r="K516" s="58" t="str">
        <f aca="false">IF('10 Mild Steel'!$C$82="","",'10 Mild Steel'!L82)</f>
        <v/>
      </c>
      <c r="L516" s="57" t="str">
        <f aca="false">IF('10 Mild Steel'!$C$82="","",'10 Mild Steel'!M82)</f>
        <v/>
      </c>
      <c r="M516" s="59" t="str">
        <f aca="false">IF(D516="","",IF(AND(OR(Search!$C$6="All Categories",A516=Search!$C$6),OR(Search!$P$5="",ISNUMBER(SEARCH(" "&amp;Search!$P$5,N516))),OR(Search!$P$6="",ISNUMBER(SEARCH(" "&amp;Search!$P$6,N516))),OR(Search!$P$7="",ISNUMBER(SEARCH(" "&amp;Search!$P$7,N516))),OR(Search!$P$8="",ISNUMBER(SEARCH(" "&amp;Search!$P$8,N516))),OR(Search!$P$9="",ISNUMBER(SEARCH(" "&amp;Search!$P$9,N516))),OR(Search!$P$10="",ISNUMBER(SEARCH(" "&amp;Search!$P$10,N516)))),ROW(),""))</f>
        <v/>
      </c>
      <c r="N516" s="0" t="str">
        <f aca="false">IF(D516="",""," "&amp;SUBSTITUTE(SUBSTITUTE(SUBSTITUTE(SUBSTITUTE(SUBSTITUTE(SUBSTITUTE(SUBSTITUTE(B516&amp;" "&amp;C516&amp;" "&amp;D516&amp;" "&amp;E516&amp;" "&amp;F516&amp;" "&amp;G516&amp;" "&amp;H516&amp;" "&amp;'10 Mild Steel'!R82,"("," "),")"," "),"/"," "),"-"," "),","," "),";"," "),":"," ")&amp;" ")</f>
        <v/>
      </c>
    </row>
    <row r="517" customFormat="false" ht="22.35" hidden="false" customHeight="false" outlineLevel="0" collapsed="false">
      <c r="A517" s="56" t="str">
        <f aca="false">IF('11 Stainless Steel'!$C$5="","","Stainless Steel (SS) - Tubes, Sheets &amp; Drains")</f>
        <v>Stainless Steel (SS) - Tubes, Sheets &amp; Drains</v>
      </c>
      <c r="B517" s="57" t="str">
        <f aca="false">IF('11 Stainless Steel'!$C$5="","",'11 Stainless Steel'!A5)</f>
        <v>SS-001</v>
      </c>
      <c r="C517" s="56" t="str">
        <f aca="false">IF('11 Stainless Steel'!$C$5="","",'11 Stainless Steel'!B5)</f>
        <v>Round Tube</v>
      </c>
      <c r="D517" s="56" t="str">
        <f aca="false">IF('11 Stainless Steel'!$C$5="","",'11 Stainless Steel'!C5)</f>
        <v>SS round tube</v>
      </c>
      <c r="E517" s="56" t="str">
        <f aca="false">IF('11 Stainless Steel'!$C$5="","",'11 Stainless Steel'!D5)</f>
        <v>25.4 x 1.2 mm (0.73 kg/m)</v>
      </c>
      <c r="F517" s="56" t="str">
        <f aca="false">IF('11 Stainless Steel'!$C$5="","",'11 Stainless Steel'!E5)</f>
        <v>SS 304 hairline</v>
      </c>
      <c r="G517" s="56" t="str">
        <f aca="false">IF('11 Stainless Steel'!$C$5="","",'11 Stainless Steel'!F5)</f>
        <v>Local / Imported</v>
      </c>
      <c r="H517" s="57" t="str">
        <f aca="false">IF('11 Stainless Steel'!$C$5="","",'11 Stainless Steel'!G5)</f>
        <v>lm</v>
      </c>
      <c r="I517" s="58" t="n">
        <f aca="false">IF('11 Stainless Steel'!$C$5="","",'11 Stainless Steel'!J5)</f>
        <v>13.03</v>
      </c>
      <c r="J517" s="58" t="n">
        <f aca="false">IF('11 Stainless Steel'!$C$5="","",'11 Stainless Steel'!K5)</f>
        <v>15.64</v>
      </c>
      <c r="K517" s="58" t="n">
        <f aca="false">IF('11 Stainless Steel'!$C$5="","",'11 Stainless Steel'!L5)</f>
        <v>16.42</v>
      </c>
      <c r="L517" s="57" t="str">
        <f aca="false">IF('11 Stainless Steel'!$C$5="","",'11 Stainless Steel'!M5)</f>
        <v>Indicative</v>
      </c>
      <c r="M517" s="59" t="str">
        <f aca="false">IF(D517="","",IF(AND(OR(Search!$C$6="All Categories",A517=Search!$C$6),OR(Search!$P$5="",ISNUMBER(SEARCH(" "&amp;Search!$P$5,N517))),OR(Search!$P$6="",ISNUMBER(SEARCH(" "&amp;Search!$P$6,N517))),OR(Search!$P$7="",ISNUMBER(SEARCH(" "&amp;Search!$P$7,N517))),OR(Search!$P$8="",ISNUMBER(SEARCH(" "&amp;Search!$P$8,N517))),OR(Search!$P$9="",ISNUMBER(SEARCH(" "&amp;Search!$P$9,N517))),OR(Search!$P$10="",ISNUMBER(SEARCH(" "&amp;Search!$P$10,N517)))),ROW(),""))</f>
        <v/>
      </c>
      <c r="N517" s="0" t="str">
        <f aca="false">IF(D517="",""," "&amp;SUBSTITUTE(SUBSTITUTE(SUBSTITUTE(SUBSTITUTE(SUBSTITUTE(SUBSTITUTE(SUBSTITUTE(B517&amp;" "&amp;C517&amp;" "&amp;D517&amp;" "&amp;E517&amp;" "&amp;F517&amp;" "&amp;G517&amp;" "&amp;H517&amp;" "&amp;'11 Stainless Steel'!R5,"("," "),")"," "),"/"," "),"-"," "),","," "),";"," "),":"," ")&amp;" ")</f>
        <v> SS 001 Round Tube SS round tube 25.4 x 1.2 mm  0.73 kg m  SS 304 hairline Local   Imported lm 25.4x1.2 1.2mm ss304 sus304 pipe satin brushed stainless steel </v>
      </c>
    </row>
    <row r="518" customFormat="false" ht="22.35" hidden="false" customHeight="false" outlineLevel="0" collapsed="false">
      <c r="A518" s="56" t="str">
        <f aca="false">IF('11 Stainless Steel'!$C$6="","","Stainless Steel (SS) - Tubes, Sheets &amp; Drains")</f>
        <v>Stainless Steel (SS) - Tubes, Sheets &amp; Drains</v>
      </c>
      <c r="B518" s="57" t="str">
        <f aca="false">IF('11 Stainless Steel'!$C$6="","",'11 Stainless Steel'!A6)</f>
        <v>SS-002</v>
      </c>
      <c r="C518" s="56" t="str">
        <f aca="false">IF('11 Stainless Steel'!$C$6="","",'11 Stainless Steel'!B6)</f>
        <v>Round Tube</v>
      </c>
      <c r="D518" s="56" t="str">
        <f aca="false">IF('11 Stainless Steel'!$C$6="","",'11 Stainless Steel'!C6)</f>
        <v>SS round tube</v>
      </c>
      <c r="E518" s="56" t="str">
        <f aca="false">IF('11 Stainless Steel'!$C$6="","",'11 Stainless Steel'!D6)</f>
        <v>38.1 x 1.5 mm (1.37 kg/m)</v>
      </c>
      <c r="F518" s="56" t="str">
        <f aca="false">IF('11 Stainless Steel'!$C$6="","",'11 Stainless Steel'!E6)</f>
        <v>SS 304 hairline</v>
      </c>
      <c r="G518" s="56" t="str">
        <f aca="false">IF('11 Stainless Steel'!$C$6="","",'11 Stainless Steel'!F6)</f>
        <v>Local / Imported</v>
      </c>
      <c r="H518" s="57" t="str">
        <f aca="false">IF('11 Stainless Steel'!$C$6="","",'11 Stainless Steel'!G6)</f>
        <v>lm</v>
      </c>
      <c r="I518" s="58" t="n">
        <f aca="false">IF('11 Stainless Steel'!$C$6="","",'11 Stainless Steel'!J6)</f>
        <v>24.45</v>
      </c>
      <c r="J518" s="58" t="n">
        <f aca="false">IF('11 Stainless Steel'!$C$6="","",'11 Stainless Steel'!K6)</f>
        <v>29.34</v>
      </c>
      <c r="K518" s="58" t="n">
        <f aca="false">IF('11 Stainless Steel'!$C$6="","",'11 Stainless Steel'!L6)</f>
        <v>30.81</v>
      </c>
      <c r="L518" s="57" t="str">
        <f aca="false">IF('11 Stainless Steel'!$C$6="","",'11 Stainless Steel'!M6)</f>
        <v>Indicative</v>
      </c>
      <c r="M518" s="59" t="str">
        <f aca="false">IF(D518="","",IF(AND(OR(Search!$C$6="All Categories",A518=Search!$C$6),OR(Search!$P$5="",ISNUMBER(SEARCH(" "&amp;Search!$P$5,N518))),OR(Search!$P$6="",ISNUMBER(SEARCH(" "&amp;Search!$P$6,N518))),OR(Search!$P$7="",ISNUMBER(SEARCH(" "&amp;Search!$P$7,N518))),OR(Search!$P$8="",ISNUMBER(SEARCH(" "&amp;Search!$P$8,N518))),OR(Search!$P$9="",ISNUMBER(SEARCH(" "&amp;Search!$P$9,N518))),OR(Search!$P$10="",ISNUMBER(SEARCH(" "&amp;Search!$P$10,N518)))),ROW(),""))</f>
        <v/>
      </c>
      <c r="N518" s="0" t="str">
        <f aca="false">IF(D518="",""," "&amp;SUBSTITUTE(SUBSTITUTE(SUBSTITUTE(SUBSTITUTE(SUBSTITUTE(SUBSTITUTE(SUBSTITUTE(B518&amp;" "&amp;C518&amp;" "&amp;D518&amp;" "&amp;E518&amp;" "&amp;F518&amp;" "&amp;G518&amp;" "&amp;H518&amp;" "&amp;'11 Stainless Steel'!R6,"("," "),")"," "),"/"," "),"-"," "),","," "),";"," "),":"," ")&amp;" ")</f>
        <v> SS 002 Round Tube SS round tube 38.1 x 1.5 mm  1.37 kg m  SS 304 hairline Local   Imported lm 38.1x1.5 1.5mm ss304 sus304 pipe satin brushed stainless steel </v>
      </c>
    </row>
    <row r="519" customFormat="false" ht="22.35" hidden="false" customHeight="false" outlineLevel="0" collapsed="false">
      <c r="A519" s="56" t="str">
        <f aca="false">IF('11 Stainless Steel'!$C$7="","","Stainless Steel (SS) - Tubes, Sheets &amp; Drains")</f>
        <v>Stainless Steel (SS) - Tubes, Sheets &amp; Drains</v>
      </c>
      <c r="B519" s="57" t="str">
        <f aca="false">IF('11 Stainless Steel'!$C$7="","",'11 Stainless Steel'!A7)</f>
        <v>SS-003</v>
      </c>
      <c r="C519" s="56" t="str">
        <f aca="false">IF('11 Stainless Steel'!$C$7="","",'11 Stainless Steel'!B7)</f>
        <v>Round Tube</v>
      </c>
      <c r="D519" s="56" t="str">
        <f aca="false">IF('11 Stainless Steel'!$C$7="","",'11 Stainless Steel'!C7)</f>
        <v>SS round tube</v>
      </c>
      <c r="E519" s="56" t="str">
        <f aca="false">IF('11 Stainless Steel'!$C$7="","",'11 Stainless Steel'!D7)</f>
        <v>42.4 x 1.5 mm (1.53 kg/m)</v>
      </c>
      <c r="F519" s="56" t="str">
        <f aca="false">IF('11 Stainless Steel'!$C$7="","",'11 Stainless Steel'!E7)</f>
        <v>SS 304 hairline</v>
      </c>
      <c r="G519" s="56" t="str">
        <f aca="false">IF('11 Stainless Steel'!$C$7="","",'11 Stainless Steel'!F7)</f>
        <v>Local / Imported</v>
      </c>
      <c r="H519" s="57" t="str">
        <f aca="false">IF('11 Stainless Steel'!$C$7="","",'11 Stainless Steel'!G7)</f>
        <v>lm</v>
      </c>
      <c r="I519" s="58" t="n">
        <f aca="false">IF('11 Stainless Steel'!$C$7="","",'11 Stainless Steel'!J7)</f>
        <v>27.31</v>
      </c>
      <c r="J519" s="58" t="n">
        <f aca="false">IF('11 Stainless Steel'!$C$7="","",'11 Stainless Steel'!K7)</f>
        <v>32.77</v>
      </c>
      <c r="K519" s="58" t="n">
        <f aca="false">IF('11 Stainless Steel'!$C$7="","",'11 Stainless Steel'!L7)</f>
        <v>34.41</v>
      </c>
      <c r="L519" s="57" t="str">
        <f aca="false">IF('11 Stainless Steel'!$C$7="","",'11 Stainless Steel'!M7)</f>
        <v>Indicative</v>
      </c>
      <c r="M519" s="59" t="str">
        <f aca="false">IF(D519="","",IF(AND(OR(Search!$C$6="All Categories",A519=Search!$C$6),OR(Search!$P$5="",ISNUMBER(SEARCH(" "&amp;Search!$P$5,N519))),OR(Search!$P$6="",ISNUMBER(SEARCH(" "&amp;Search!$P$6,N519))),OR(Search!$P$7="",ISNUMBER(SEARCH(" "&amp;Search!$P$7,N519))),OR(Search!$P$8="",ISNUMBER(SEARCH(" "&amp;Search!$P$8,N519))),OR(Search!$P$9="",ISNUMBER(SEARCH(" "&amp;Search!$P$9,N519))),OR(Search!$P$10="",ISNUMBER(SEARCH(" "&amp;Search!$P$10,N519)))),ROW(),""))</f>
        <v/>
      </c>
      <c r="N519" s="0" t="str">
        <f aca="false">IF(D519="",""," "&amp;SUBSTITUTE(SUBSTITUTE(SUBSTITUTE(SUBSTITUTE(SUBSTITUTE(SUBSTITUTE(SUBSTITUTE(B519&amp;" "&amp;C519&amp;" "&amp;D519&amp;" "&amp;E519&amp;" "&amp;F519&amp;" "&amp;G519&amp;" "&amp;H519&amp;" "&amp;'11 Stainless Steel'!R7,"("," "),")"," "),"/"," "),"-"," "),","," "),";"," "),":"," ")&amp;" ")</f>
        <v> SS 003 Round Tube SS round tube 42.4 x 1.5 mm  1.53 kg m  SS 304 hairline Local   Imported lm 42.4x1.5 1.5mm ss304 sus304 pipe satin brushed stainless steel </v>
      </c>
    </row>
    <row r="520" customFormat="false" ht="22.35" hidden="false" customHeight="false" outlineLevel="0" collapsed="false">
      <c r="A520" s="56" t="str">
        <f aca="false">IF('11 Stainless Steel'!$C$8="","","Stainless Steel (SS) - Tubes, Sheets &amp; Drains")</f>
        <v>Stainless Steel (SS) - Tubes, Sheets &amp; Drains</v>
      </c>
      <c r="B520" s="57" t="str">
        <f aca="false">IF('11 Stainless Steel'!$C$8="","",'11 Stainless Steel'!A8)</f>
        <v>SS-004</v>
      </c>
      <c r="C520" s="56" t="str">
        <f aca="false">IF('11 Stainless Steel'!$C$8="","",'11 Stainless Steel'!B8)</f>
        <v>Round Tube</v>
      </c>
      <c r="D520" s="56" t="str">
        <f aca="false">IF('11 Stainless Steel'!$C$8="","",'11 Stainless Steel'!C8)</f>
        <v>SS round tube</v>
      </c>
      <c r="E520" s="56" t="str">
        <f aca="false">IF('11 Stainless Steel'!$C$8="","",'11 Stainless Steel'!D8)</f>
        <v>50.8 x 1.5 mm (1.85 kg/m)</v>
      </c>
      <c r="F520" s="56" t="str">
        <f aca="false">IF('11 Stainless Steel'!$C$8="","",'11 Stainless Steel'!E8)</f>
        <v>SS 304 hairline</v>
      </c>
      <c r="G520" s="56" t="str">
        <f aca="false">IF('11 Stainless Steel'!$C$8="","",'11 Stainless Steel'!F8)</f>
        <v>Local / Imported</v>
      </c>
      <c r="H520" s="57" t="str">
        <f aca="false">IF('11 Stainless Steel'!$C$8="","",'11 Stainless Steel'!G8)</f>
        <v>lm</v>
      </c>
      <c r="I520" s="58" t="n">
        <f aca="false">IF('11 Stainless Steel'!$C$8="","",'11 Stainless Steel'!J8)</f>
        <v>33.02</v>
      </c>
      <c r="J520" s="58" t="n">
        <f aca="false">IF('11 Stainless Steel'!$C$8="","",'11 Stainless Steel'!K8)</f>
        <v>39.62</v>
      </c>
      <c r="K520" s="58" t="n">
        <f aca="false">IF('11 Stainless Steel'!$C$8="","",'11 Stainless Steel'!L8)</f>
        <v>41.6</v>
      </c>
      <c r="L520" s="57" t="str">
        <f aca="false">IF('11 Stainless Steel'!$C$8="","",'11 Stainless Steel'!M8)</f>
        <v>Indicative</v>
      </c>
      <c r="M520" s="59" t="str">
        <f aca="false">IF(D520="","",IF(AND(OR(Search!$C$6="All Categories",A520=Search!$C$6),OR(Search!$P$5="",ISNUMBER(SEARCH(" "&amp;Search!$P$5,N520))),OR(Search!$P$6="",ISNUMBER(SEARCH(" "&amp;Search!$P$6,N520))),OR(Search!$P$7="",ISNUMBER(SEARCH(" "&amp;Search!$P$7,N520))),OR(Search!$P$8="",ISNUMBER(SEARCH(" "&amp;Search!$P$8,N520))),OR(Search!$P$9="",ISNUMBER(SEARCH(" "&amp;Search!$P$9,N520))),OR(Search!$P$10="",ISNUMBER(SEARCH(" "&amp;Search!$P$10,N520)))),ROW(),""))</f>
        <v/>
      </c>
      <c r="N520" s="0" t="str">
        <f aca="false">IF(D520="",""," "&amp;SUBSTITUTE(SUBSTITUTE(SUBSTITUTE(SUBSTITUTE(SUBSTITUTE(SUBSTITUTE(SUBSTITUTE(B520&amp;" "&amp;C520&amp;" "&amp;D520&amp;" "&amp;E520&amp;" "&amp;F520&amp;" "&amp;G520&amp;" "&amp;H520&amp;" "&amp;'11 Stainless Steel'!R8,"("," "),")"," "),"/"," "),"-"," "),","," "),";"," "),":"," ")&amp;" ")</f>
        <v> SS 004 Round Tube SS round tube 50.8 x 1.5 mm  1.85 kg m  SS 304 hairline Local   Imported lm 50.8x1.5 1.5mm ss304 sus304 pipe satin brushed stainless steel </v>
      </c>
    </row>
    <row r="521" customFormat="false" ht="22.35" hidden="false" customHeight="false" outlineLevel="0" collapsed="false">
      <c r="A521" s="56" t="str">
        <f aca="false">IF('11 Stainless Steel'!$C$9="","","Stainless Steel (SS) - Tubes, Sheets &amp; Drains")</f>
        <v>Stainless Steel (SS) - Tubes, Sheets &amp; Drains</v>
      </c>
      <c r="B521" s="57" t="str">
        <f aca="false">IF('11 Stainless Steel'!$C$9="","",'11 Stainless Steel'!A9)</f>
        <v>SS-005</v>
      </c>
      <c r="C521" s="56" t="str">
        <f aca="false">IF('11 Stainless Steel'!$C$9="","",'11 Stainless Steel'!B9)</f>
        <v>Round Tube</v>
      </c>
      <c r="D521" s="56" t="str">
        <f aca="false">IF('11 Stainless Steel'!$C$9="","",'11 Stainless Steel'!C9)</f>
        <v>SS round tube</v>
      </c>
      <c r="E521" s="56" t="str">
        <f aca="false">IF('11 Stainless Steel'!$C$9="","",'11 Stainless Steel'!D9)</f>
        <v>50.8 x 2.0 mm (2.44 kg/m)</v>
      </c>
      <c r="F521" s="56" t="str">
        <f aca="false">IF('11 Stainless Steel'!$C$9="","",'11 Stainless Steel'!E9)</f>
        <v>SS 304 hairline</v>
      </c>
      <c r="G521" s="56" t="str">
        <f aca="false">IF('11 Stainless Steel'!$C$9="","",'11 Stainless Steel'!F9)</f>
        <v>Local / Imported</v>
      </c>
      <c r="H521" s="57" t="str">
        <f aca="false">IF('11 Stainless Steel'!$C$9="","",'11 Stainless Steel'!G9)</f>
        <v>lm</v>
      </c>
      <c r="I521" s="58" t="n">
        <f aca="false">IF('11 Stainless Steel'!$C$9="","",'11 Stainless Steel'!J9)</f>
        <v>43.55</v>
      </c>
      <c r="J521" s="58" t="n">
        <f aca="false">IF('11 Stainless Steel'!$C$9="","",'11 Stainless Steel'!K9)</f>
        <v>52.26</v>
      </c>
      <c r="K521" s="58" t="n">
        <f aca="false">IF('11 Stainless Steel'!$C$9="","",'11 Stainless Steel'!L9)</f>
        <v>54.87</v>
      </c>
      <c r="L521" s="57" t="str">
        <f aca="false">IF('11 Stainless Steel'!$C$9="","",'11 Stainless Steel'!M9)</f>
        <v>Indicative</v>
      </c>
      <c r="M521" s="59" t="str">
        <f aca="false">IF(D521="","",IF(AND(OR(Search!$C$6="All Categories",A521=Search!$C$6),OR(Search!$P$5="",ISNUMBER(SEARCH(" "&amp;Search!$P$5,N521))),OR(Search!$P$6="",ISNUMBER(SEARCH(" "&amp;Search!$P$6,N521))),OR(Search!$P$7="",ISNUMBER(SEARCH(" "&amp;Search!$P$7,N521))),OR(Search!$P$8="",ISNUMBER(SEARCH(" "&amp;Search!$P$8,N521))),OR(Search!$P$9="",ISNUMBER(SEARCH(" "&amp;Search!$P$9,N521))),OR(Search!$P$10="",ISNUMBER(SEARCH(" "&amp;Search!$P$10,N521)))),ROW(),""))</f>
        <v/>
      </c>
      <c r="N521" s="0" t="str">
        <f aca="false">IF(D521="",""," "&amp;SUBSTITUTE(SUBSTITUTE(SUBSTITUTE(SUBSTITUTE(SUBSTITUTE(SUBSTITUTE(SUBSTITUTE(B521&amp;" "&amp;C521&amp;" "&amp;D521&amp;" "&amp;E521&amp;" "&amp;F521&amp;" "&amp;G521&amp;" "&amp;H521&amp;" "&amp;'11 Stainless Steel'!R9,"("," "),")"," "),"/"," "),"-"," "),","," "),";"," "),":"," ")&amp;" ")</f>
        <v> SS 005 Round Tube SS round tube 50.8 x 2.0 mm  2.44 kg m  SS 304 hairline Local   Imported lm 50.8x2.0 2.0mm ss304 sus304 pipe satin brushed stainless steel </v>
      </c>
    </row>
    <row r="522" customFormat="false" ht="22.35" hidden="false" customHeight="false" outlineLevel="0" collapsed="false">
      <c r="A522" s="56" t="str">
        <f aca="false">IF('11 Stainless Steel'!$C$10="","","Stainless Steel (SS) - Tubes, Sheets &amp; Drains")</f>
        <v>Stainless Steel (SS) - Tubes, Sheets &amp; Drains</v>
      </c>
      <c r="B522" s="57" t="str">
        <f aca="false">IF('11 Stainless Steel'!$C$10="","",'11 Stainless Steel'!A10)</f>
        <v>SS-006</v>
      </c>
      <c r="C522" s="56" t="str">
        <f aca="false">IF('11 Stainless Steel'!$C$10="","",'11 Stainless Steel'!B10)</f>
        <v>Round Tube</v>
      </c>
      <c r="D522" s="56" t="str">
        <f aca="false">IF('11 Stainless Steel'!$C$10="","",'11 Stainless Steel'!C10)</f>
        <v>SS round tube</v>
      </c>
      <c r="E522" s="56" t="str">
        <f aca="false">IF('11 Stainless Steel'!$C$10="","",'11 Stainless Steel'!D10)</f>
        <v>63.5 x 2.0 mm (3.07 kg/m)</v>
      </c>
      <c r="F522" s="56" t="str">
        <f aca="false">IF('11 Stainless Steel'!$C$10="","",'11 Stainless Steel'!E10)</f>
        <v>SS 304 hairline</v>
      </c>
      <c r="G522" s="56" t="str">
        <f aca="false">IF('11 Stainless Steel'!$C$10="","",'11 Stainless Steel'!F10)</f>
        <v>Local / Imported</v>
      </c>
      <c r="H522" s="57" t="str">
        <f aca="false">IF('11 Stainless Steel'!$C$10="","",'11 Stainless Steel'!G10)</f>
        <v>lm</v>
      </c>
      <c r="I522" s="58" t="n">
        <f aca="false">IF('11 Stainless Steel'!$C$10="","",'11 Stainless Steel'!J10)</f>
        <v>54.8</v>
      </c>
      <c r="J522" s="58" t="n">
        <f aca="false">IF('11 Stainless Steel'!$C$10="","",'11 Stainless Steel'!K10)</f>
        <v>65.76</v>
      </c>
      <c r="K522" s="58" t="n">
        <f aca="false">IF('11 Stainless Steel'!$C$10="","",'11 Stainless Steel'!L10)</f>
        <v>69.05</v>
      </c>
      <c r="L522" s="57" t="str">
        <f aca="false">IF('11 Stainless Steel'!$C$10="","",'11 Stainless Steel'!M10)</f>
        <v>Indicative</v>
      </c>
      <c r="M522" s="59" t="str">
        <f aca="false">IF(D522="","",IF(AND(OR(Search!$C$6="All Categories",A522=Search!$C$6),OR(Search!$P$5="",ISNUMBER(SEARCH(" "&amp;Search!$P$5,N522))),OR(Search!$P$6="",ISNUMBER(SEARCH(" "&amp;Search!$P$6,N522))),OR(Search!$P$7="",ISNUMBER(SEARCH(" "&amp;Search!$P$7,N522))),OR(Search!$P$8="",ISNUMBER(SEARCH(" "&amp;Search!$P$8,N522))),OR(Search!$P$9="",ISNUMBER(SEARCH(" "&amp;Search!$P$9,N522))),OR(Search!$P$10="",ISNUMBER(SEARCH(" "&amp;Search!$P$10,N522)))),ROW(),""))</f>
        <v/>
      </c>
      <c r="N522" s="0" t="str">
        <f aca="false">IF(D522="",""," "&amp;SUBSTITUTE(SUBSTITUTE(SUBSTITUTE(SUBSTITUTE(SUBSTITUTE(SUBSTITUTE(SUBSTITUTE(B522&amp;" "&amp;C522&amp;" "&amp;D522&amp;" "&amp;E522&amp;" "&amp;F522&amp;" "&amp;G522&amp;" "&amp;H522&amp;" "&amp;'11 Stainless Steel'!R10,"("," "),")"," "),"/"," "),"-"," "),","," "),";"," "),":"," ")&amp;" ")</f>
        <v> SS 006 Round Tube SS round tube 63.5 x 2.0 mm  3.07 kg m  SS 304 hairline Local   Imported lm 63.5x2.0 2.0mm ss304 sus304 pipe satin brushed stainless steel </v>
      </c>
    </row>
    <row r="523" customFormat="false" ht="22.35" hidden="false" customHeight="false" outlineLevel="0" collapsed="false">
      <c r="A523" s="56" t="str">
        <f aca="false">IF('11 Stainless Steel'!$C$11="","","Stainless Steel (SS) - Tubes, Sheets &amp; Drains")</f>
        <v>Stainless Steel (SS) - Tubes, Sheets &amp; Drains</v>
      </c>
      <c r="B523" s="57" t="str">
        <f aca="false">IF('11 Stainless Steel'!$C$11="","",'11 Stainless Steel'!A11)</f>
        <v>SS-007</v>
      </c>
      <c r="C523" s="56" t="str">
        <f aca="false">IF('11 Stainless Steel'!$C$11="","",'11 Stainless Steel'!B11)</f>
        <v>Round Tube</v>
      </c>
      <c r="D523" s="56" t="str">
        <f aca="false">IF('11 Stainless Steel'!$C$11="","",'11 Stainless Steel'!C11)</f>
        <v>SS round tube</v>
      </c>
      <c r="E523" s="56" t="str">
        <f aca="false">IF('11 Stainless Steel'!$C$11="","",'11 Stainless Steel'!D11)</f>
        <v>76.2 x 2.0 mm (3.71 kg/m)</v>
      </c>
      <c r="F523" s="56" t="str">
        <f aca="false">IF('11 Stainless Steel'!$C$11="","",'11 Stainless Steel'!E11)</f>
        <v>SS 304 hairline</v>
      </c>
      <c r="G523" s="56" t="str">
        <f aca="false">IF('11 Stainless Steel'!$C$11="","",'11 Stainless Steel'!F11)</f>
        <v>Local / Imported</v>
      </c>
      <c r="H523" s="57" t="str">
        <f aca="false">IF('11 Stainless Steel'!$C$11="","",'11 Stainless Steel'!G11)</f>
        <v>lm</v>
      </c>
      <c r="I523" s="58" t="n">
        <f aca="false">IF('11 Stainless Steel'!$C$11="","",'11 Stainless Steel'!J11)</f>
        <v>66.22</v>
      </c>
      <c r="J523" s="58" t="n">
        <f aca="false">IF('11 Stainless Steel'!$C$11="","",'11 Stainless Steel'!K11)</f>
        <v>79.46</v>
      </c>
      <c r="K523" s="58" t="n">
        <f aca="false">IF('11 Stainless Steel'!$C$11="","",'11 Stainless Steel'!L11)</f>
        <v>83.43</v>
      </c>
      <c r="L523" s="57" t="str">
        <f aca="false">IF('11 Stainless Steel'!$C$11="","",'11 Stainless Steel'!M11)</f>
        <v>Indicative</v>
      </c>
      <c r="M523" s="59" t="str">
        <f aca="false">IF(D523="","",IF(AND(OR(Search!$C$6="All Categories",A523=Search!$C$6),OR(Search!$P$5="",ISNUMBER(SEARCH(" "&amp;Search!$P$5,N523))),OR(Search!$P$6="",ISNUMBER(SEARCH(" "&amp;Search!$P$6,N523))),OR(Search!$P$7="",ISNUMBER(SEARCH(" "&amp;Search!$P$7,N523))),OR(Search!$P$8="",ISNUMBER(SEARCH(" "&amp;Search!$P$8,N523))),OR(Search!$P$9="",ISNUMBER(SEARCH(" "&amp;Search!$P$9,N523))),OR(Search!$P$10="",ISNUMBER(SEARCH(" "&amp;Search!$P$10,N523)))),ROW(),""))</f>
        <v/>
      </c>
      <c r="N523" s="0" t="str">
        <f aca="false">IF(D523="",""," "&amp;SUBSTITUTE(SUBSTITUTE(SUBSTITUTE(SUBSTITUTE(SUBSTITUTE(SUBSTITUTE(SUBSTITUTE(B523&amp;" "&amp;C523&amp;" "&amp;D523&amp;" "&amp;E523&amp;" "&amp;F523&amp;" "&amp;G523&amp;" "&amp;H523&amp;" "&amp;'11 Stainless Steel'!R11,"("," "),")"," "),"/"," "),"-"," "),","," "),";"," "),":"," ")&amp;" ")</f>
        <v> SS 007 Round Tube SS round tube 76.2 x 2.0 mm  3.71 kg m  SS 304 hairline Local   Imported lm 76.2x2.0 2.0mm ss304 sus304 pipe satin brushed stainless steel </v>
      </c>
    </row>
    <row r="524" customFormat="false" ht="22.35" hidden="false" customHeight="false" outlineLevel="0" collapsed="false">
      <c r="A524" s="56" t="str">
        <f aca="false">IF('11 Stainless Steel'!$C$12="","","Stainless Steel (SS) - Tubes, Sheets &amp; Drains")</f>
        <v>Stainless Steel (SS) - Tubes, Sheets &amp; Drains</v>
      </c>
      <c r="B524" s="57" t="str">
        <f aca="false">IF('11 Stainless Steel'!$C$12="","",'11 Stainless Steel'!A12)</f>
        <v>SS-008</v>
      </c>
      <c r="C524" s="56" t="str">
        <f aca="false">IF('11 Stainless Steel'!$C$12="","",'11 Stainless Steel'!B12)</f>
        <v>Round Tube</v>
      </c>
      <c r="D524" s="56" t="str">
        <f aca="false">IF('11 Stainless Steel'!$C$12="","",'11 Stainless Steel'!C12)</f>
        <v>SS round tube</v>
      </c>
      <c r="E524" s="56" t="str">
        <f aca="false">IF('11 Stainless Steel'!$C$12="","",'11 Stainless Steel'!D12)</f>
        <v>42.4 x 2.0 mm (2.02 kg/m)</v>
      </c>
      <c r="F524" s="56" t="str">
        <f aca="false">IF('11 Stainless Steel'!$C$12="","",'11 Stainless Steel'!E12)</f>
        <v>SS 316 hairline</v>
      </c>
      <c r="G524" s="56" t="str">
        <f aca="false">IF('11 Stainless Steel'!$C$12="","",'11 Stainless Steel'!F12)</f>
        <v>Local / Imported</v>
      </c>
      <c r="H524" s="57" t="str">
        <f aca="false">IF('11 Stainless Steel'!$C$12="","",'11 Stainless Steel'!G12)</f>
        <v>lm</v>
      </c>
      <c r="I524" s="58" t="n">
        <f aca="false">IF('11 Stainless Steel'!$C$12="","",'11 Stainless Steel'!J12)</f>
        <v>50.9</v>
      </c>
      <c r="J524" s="58" t="n">
        <f aca="false">IF('11 Stainless Steel'!$C$12="","",'11 Stainless Steel'!K12)</f>
        <v>61.08</v>
      </c>
      <c r="K524" s="58" t="n">
        <f aca="false">IF('11 Stainless Steel'!$C$12="","",'11 Stainless Steel'!L12)</f>
        <v>64.13</v>
      </c>
      <c r="L524" s="57" t="str">
        <f aca="false">IF('11 Stainless Steel'!$C$12="","",'11 Stainless Steel'!M12)</f>
        <v>Indicative</v>
      </c>
      <c r="M524" s="59" t="str">
        <f aca="false">IF(D524="","",IF(AND(OR(Search!$C$6="All Categories",A524=Search!$C$6),OR(Search!$P$5="",ISNUMBER(SEARCH(" "&amp;Search!$P$5,N524))),OR(Search!$P$6="",ISNUMBER(SEARCH(" "&amp;Search!$P$6,N524))),OR(Search!$P$7="",ISNUMBER(SEARCH(" "&amp;Search!$P$7,N524))),OR(Search!$P$8="",ISNUMBER(SEARCH(" "&amp;Search!$P$8,N524))),OR(Search!$P$9="",ISNUMBER(SEARCH(" "&amp;Search!$P$9,N524))),OR(Search!$P$10="",ISNUMBER(SEARCH(" "&amp;Search!$P$10,N524)))),ROW(),""))</f>
        <v/>
      </c>
      <c r="N524" s="0" t="str">
        <f aca="false">IF(D524="",""," "&amp;SUBSTITUTE(SUBSTITUTE(SUBSTITUTE(SUBSTITUTE(SUBSTITUTE(SUBSTITUTE(SUBSTITUTE(B524&amp;" "&amp;C524&amp;" "&amp;D524&amp;" "&amp;E524&amp;" "&amp;F524&amp;" "&amp;G524&amp;" "&amp;H524&amp;" "&amp;'11 Stainless Steel'!R12,"("," "),")"," "),"/"," "),"-"," "),","," "),";"," "),":"," ")&amp;" ")</f>
        <v> SS 008 Round Tube SS round tube 42.4 x 2.0 mm  2.02 kg m  SS 316 hairline Local   Imported lm 42.4x2.0 2.0mm ss316 sus316 pipe satin brushed stainless steel </v>
      </c>
    </row>
    <row r="525" customFormat="false" ht="22.35" hidden="false" customHeight="false" outlineLevel="0" collapsed="false">
      <c r="A525" s="56" t="str">
        <f aca="false">IF('11 Stainless Steel'!$C$13="","","Stainless Steel (SS) - Tubes, Sheets &amp; Drains")</f>
        <v>Stainless Steel (SS) - Tubes, Sheets &amp; Drains</v>
      </c>
      <c r="B525" s="57" t="str">
        <f aca="false">IF('11 Stainless Steel'!$C$13="","",'11 Stainless Steel'!A13)</f>
        <v>SS-009</v>
      </c>
      <c r="C525" s="56" t="str">
        <f aca="false">IF('11 Stainless Steel'!$C$13="","",'11 Stainless Steel'!B13)</f>
        <v>Round Tube</v>
      </c>
      <c r="D525" s="56" t="str">
        <f aca="false">IF('11 Stainless Steel'!$C$13="","",'11 Stainless Steel'!C13)</f>
        <v>SS round tube</v>
      </c>
      <c r="E525" s="56" t="str">
        <f aca="false">IF('11 Stainless Steel'!$C$13="","",'11 Stainless Steel'!D13)</f>
        <v>50.8 x 2.0 mm (2.44 kg/m)</v>
      </c>
      <c r="F525" s="56" t="str">
        <f aca="false">IF('11 Stainless Steel'!$C$13="","",'11 Stainless Steel'!E13)</f>
        <v>SS 316 hairline</v>
      </c>
      <c r="G525" s="56" t="str">
        <f aca="false">IF('11 Stainless Steel'!$C$13="","",'11 Stainless Steel'!F13)</f>
        <v>Local / Imported</v>
      </c>
      <c r="H525" s="57" t="str">
        <f aca="false">IF('11 Stainless Steel'!$C$13="","",'11 Stainless Steel'!G13)</f>
        <v>lm</v>
      </c>
      <c r="I525" s="58" t="n">
        <f aca="false">IF('11 Stainless Steel'!$C$13="","",'11 Stainless Steel'!J13)</f>
        <v>61.49</v>
      </c>
      <c r="J525" s="58" t="n">
        <f aca="false">IF('11 Stainless Steel'!$C$13="","",'11 Stainless Steel'!K13)</f>
        <v>73.79</v>
      </c>
      <c r="K525" s="58" t="n">
        <f aca="false">IF('11 Stainless Steel'!$C$13="","",'11 Stainless Steel'!L13)</f>
        <v>77.48</v>
      </c>
      <c r="L525" s="57" t="str">
        <f aca="false">IF('11 Stainless Steel'!$C$13="","",'11 Stainless Steel'!M13)</f>
        <v>Indicative</v>
      </c>
      <c r="M525" s="59" t="str">
        <f aca="false">IF(D525="","",IF(AND(OR(Search!$C$6="All Categories",A525=Search!$C$6),OR(Search!$P$5="",ISNUMBER(SEARCH(" "&amp;Search!$P$5,N525))),OR(Search!$P$6="",ISNUMBER(SEARCH(" "&amp;Search!$P$6,N525))),OR(Search!$P$7="",ISNUMBER(SEARCH(" "&amp;Search!$P$7,N525))),OR(Search!$P$8="",ISNUMBER(SEARCH(" "&amp;Search!$P$8,N525))),OR(Search!$P$9="",ISNUMBER(SEARCH(" "&amp;Search!$P$9,N525))),OR(Search!$P$10="",ISNUMBER(SEARCH(" "&amp;Search!$P$10,N525)))),ROW(),""))</f>
        <v/>
      </c>
      <c r="N525" s="0" t="str">
        <f aca="false">IF(D525="",""," "&amp;SUBSTITUTE(SUBSTITUTE(SUBSTITUTE(SUBSTITUTE(SUBSTITUTE(SUBSTITUTE(SUBSTITUTE(B525&amp;" "&amp;C525&amp;" "&amp;D525&amp;" "&amp;E525&amp;" "&amp;F525&amp;" "&amp;G525&amp;" "&amp;H525&amp;" "&amp;'11 Stainless Steel'!R13,"("," "),")"," "),"/"," "),"-"," "),","," "),";"," "),":"," ")&amp;" ")</f>
        <v> SS 009 Round Tube SS round tube 50.8 x 2.0 mm  2.44 kg m  SS 316 hairline Local   Imported lm 50.8x2.0 2.0mm ss316 sus316 pipe satin brushed stainless steel </v>
      </c>
    </row>
    <row r="526" customFormat="false" ht="22.35" hidden="false" customHeight="false" outlineLevel="0" collapsed="false">
      <c r="A526" s="56" t="str">
        <f aca="false">IF('11 Stainless Steel'!$C$14="","","Stainless Steel (SS) - Tubes, Sheets &amp; Drains")</f>
        <v>Stainless Steel (SS) - Tubes, Sheets &amp; Drains</v>
      </c>
      <c r="B526" s="57" t="str">
        <f aca="false">IF('11 Stainless Steel'!$C$14="","",'11 Stainless Steel'!A14)</f>
        <v>SS-010</v>
      </c>
      <c r="C526" s="56" t="str">
        <f aca="false">IF('11 Stainless Steel'!$C$14="","",'11 Stainless Steel'!B14)</f>
        <v>Square / Rect. Tube</v>
      </c>
      <c r="D526" s="56" t="str">
        <f aca="false">IF('11 Stainless Steel'!$C$14="","",'11 Stainless Steel'!C14)</f>
        <v>SS square tube</v>
      </c>
      <c r="E526" s="56" t="str">
        <f aca="false">IF('11 Stainless Steel'!$C$14="","",'11 Stainless Steel'!D14)</f>
        <v>25 x 25 x 1.2 mm (0.92 kg/m)</v>
      </c>
      <c r="F526" s="56" t="str">
        <f aca="false">IF('11 Stainless Steel'!$C$14="","",'11 Stainless Steel'!E14)</f>
        <v>SS 304 hairline</v>
      </c>
      <c r="G526" s="56" t="str">
        <f aca="false">IF('11 Stainless Steel'!$C$14="","",'11 Stainless Steel'!F14)</f>
        <v>Local / Imported</v>
      </c>
      <c r="H526" s="57" t="str">
        <f aca="false">IF('11 Stainless Steel'!$C$14="","",'11 Stainless Steel'!G14)</f>
        <v>lm</v>
      </c>
      <c r="I526" s="58" t="n">
        <f aca="false">IF('11 Stainless Steel'!$C$14="","",'11 Stainless Steel'!J14)</f>
        <v>16.42</v>
      </c>
      <c r="J526" s="58" t="n">
        <f aca="false">IF('11 Stainless Steel'!$C$14="","",'11 Stainless Steel'!K14)</f>
        <v>19.7</v>
      </c>
      <c r="K526" s="58" t="n">
        <f aca="false">IF('11 Stainless Steel'!$C$14="","",'11 Stainless Steel'!L14)</f>
        <v>20.69</v>
      </c>
      <c r="L526" s="57" t="str">
        <f aca="false">IF('11 Stainless Steel'!$C$14="","",'11 Stainless Steel'!M14)</f>
        <v>Indicative</v>
      </c>
      <c r="M526" s="59" t="str">
        <f aca="false">IF(D526="","",IF(AND(OR(Search!$C$6="All Categories",A526=Search!$C$6),OR(Search!$P$5="",ISNUMBER(SEARCH(" "&amp;Search!$P$5,N526))),OR(Search!$P$6="",ISNUMBER(SEARCH(" "&amp;Search!$P$6,N526))),OR(Search!$P$7="",ISNUMBER(SEARCH(" "&amp;Search!$P$7,N526))),OR(Search!$P$8="",ISNUMBER(SEARCH(" "&amp;Search!$P$8,N526))),OR(Search!$P$9="",ISNUMBER(SEARCH(" "&amp;Search!$P$9,N526))),OR(Search!$P$10="",ISNUMBER(SEARCH(" "&amp;Search!$P$10,N526)))),ROW(),""))</f>
        <v/>
      </c>
      <c r="N526" s="0" t="str">
        <f aca="false">IF(D526="",""," "&amp;SUBSTITUTE(SUBSTITUTE(SUBSTITUTE(SUBSTITUTE(SUBSTITUTE(SUBSTITUTE(SUBSTITUTE(B526&amp;" "&amp;C526&amp;" "&amp;D526&amp;" "&amp;E526&amp;" "&amp;F526&amp;" "&amp;G526&amp;" "&amp;H526&amp;" "&amp;'11 Stainless Steel'!R14,"("," "),")"," "),"/"," "),"-"," "),","," "),";"," "),":"," ")&amp;" ")</f>
        <v> SS 010 Square   Rect. Tube SS square tube 25 x 25 x 1.2 mm  0.92 kg m  SS 304 hairline Local   Imported lm 25x25 25x25x1.2 1.2mm ss304 sus304 pipe box satin brushed stainless steel </v>
      </c>
    </row>
    <row r="527" customFormat="false" ht="22.35" hidden="false" customHeight="false" outlineLevel="0" collapsed="false">
      <c r="A527" s="56" t="str">
        <f aca="false">IF('11 Stainless Steel'!$C$15="","","Stainless Steel (SS) - Tubes, Sheets &amp; Drains")</f>
        <v>Stainless Steel (SS) - Tubes, Sheets &amp; Drains</v>
      </c>
      <c r="B527" s="57" t="str">
        <f aca="false">IF('11 Stainless Steel'!$C$15="","",'11 Stainless Steel'!A15)</f>
        <v>SS-011</v>
      </c>
      <c r="C527" s="56" t="str">
        <f aca="false">IF('11 Stainless Steel'!$C$15="","",'11 Stainless Steel'!B15)</f>
        <v>Square / Rect. Tube</v>
      </c>
      <c r="D527" s="56" t="str">
        <f aca="false">IF('11 Stainless Steel'!$C$15="","",'11 Stainless Steel'!C15)</f>
        <v>SS square tube</v>
      </c>
      <c r="E527" s="56" t="str">
        <f aca="false">IF('11 Stainless Steel'!$C$15="","",'11 Stainless Steel'!D15)</f>
        <v>40 x 40 x 1.5 mm (1.83 kg/m)</v>
      </c>
      <c r="F527" s="56" t="str">
        <f aca="false">IF('11 Stainless Steel'!$C$15="","",'11 Stainless Steel'!E15)</f>
        <v>SS 304 hairline</v>
      </c>
      <c r="G527" s="56" t="str">
        <f aca="false">IF('11 Stainless Steel'!$C$15="","",'11 Stainless Steel'!F15)</f>
        <v>Local / Imported</v>
      </c>
      <c r="H527" s="57" t="str">
        <f aca="false">IF('11 Stainless Steel'!$C$15="","",'11 Stainless Steel'!G15)</f>
        <v>lm</v>
      </c>
      <c r="I527" s="58" t="n">
        <f aca="false">IF('11 Stainless Steel'!$C$15="","",'11 Stainless Steel'!J15)</f>
        <v>32.67</v>
      </c>
      <c r="J527" s="58" t="n">
        <f aca="false">IF('11 Stainless Steel'!$C$15="","",'11 Stainless Steel'!K15)</f>
        <v>39.2</v>
      </c>
      <c r="K527" s="58" t="n">
        <f aca="false">IF('11 Stainless Steel'!$C$15="","",'11 Stainless Steel'!L15)</f>
        <v>41.16</v>
      </c>
      <c r="L527" s="57" t="str">
        <f aca="false">IF('11 Stainless Steel'!$C$15="","",'11 Stainless Steel'!M15)</f>
        <v>Indicative</v>
      </c>
      <c r="M527" s="59" t="str">
        <f aca="false">IF(D527="","",IF(AND(OR(Search!$C$6="All Categories",A527=Search!$C$6),OR(Search!$P$5="",ISNUMBER(SEARCH(" "&amp;Search!$P$5,N527))),OR(Search!$P$6="",ISNUMBER(SEARCH(" "&amp;Search!$P$6,N527))),OR(Search!$P$7="",ISNUMBER(SEARCH(" "&amp;Search!$P$7,N527))),OR(Search!$P$8="",ISNUMBER(SEARCH(" "&amp;Search!$P$8,N527))),OR(Search!$P$9="",ISNUMBER(SEARCH(" "&amp;Search!$P$9,N527))),OR(Search!$P$10="",ISNUMBER(SEARCH(" "&amp;Search!$P$10,N527)))),ROW(),""))</f>
        <v/>
      </c>
      <c r="N527" s="0" t="str">
        <f aca="false">IF(D527="",""," "&amp;SUBSTITUTE(SUBSTITUTE(SUBSTITUTE(SUBSTITUTE(SUBSTITUTE(SUBSTITUTE(SUBSTITUTE(B527&amp;" "&amp;C527&amp;" "&amp;D527&amp;" "&amp;E527&amp;" "&amp;F527&amp;" "&amp;G527&amp;" "&amp;H527&amp;" "&amp;'11 Stainless Steel'!R15,"("," "),")"," "),"/"," "),"-"," "),","," "),";"," "),":"," ")&amp;" ")</f>
        <v> SS 011 Square   Rect. Tube SS square tube 40 x 40 x 1.5 mm  1.83 kg m  SS 304 hairline Local   Imported lm 40x40 40x40x1.5 1.5mm ss304 sus304 pipe box satin brushed stainless steel </v>
      </c>
    </row>
    <row r="528" customFormat="false" ht="22.35" hidden="false" customHeight="false" outlineLevel="0" collapsed="false">
      <c r="A528" s="56" t="str">
        <f aca="false">IF('11 Stainless Steel'!$C$16="","","Stainless Steel (SS) - Tubes, Sheets &amp; Drains")</f>
        <v>Stainless Steel (SS) - Tubes, Sheets &amp; Drains</v>
      </c>
      <c r="B528" s="57" t="str">
        <f aca="false">IF('11 Stainless Steel'!$C$16="","",'11 Stainless Steel'!A16)</f>
        <v>SS-012</v>
      </c>
      <c r="C528" s="56" t="str">
        <f aca="false">IF('11 Stainless Steel'!$C$16="","",'11 Stainless Steel'!B16)</f>
        <v>Square / Rect. Tube</v>
      </c>
      <c r="D528" s="56" t="str">
        <f aca="false">IF('11 Stainless Steel'!$C$16="","",'11 Stainless Steel'!C16)</f>
        <v>SS square tube</v>
      </c>
      <c r="E528" s="56" t="str">
        <f aca="false">IF('11 Stainless Steel'!$C$16="","",'11 Stainless Steel'!D16)</f>
        <v>50 x 50 x 1.5 mm (2.31 kg/m)</v>
      </c>
      <c r="F528" s="56" t="str">
        <f aca="false">IF('11 Stainless Steel'!$C$16="","",'11 Stainless Steel'!E16)</f>
        <v>SS 304 hairline</v>
      </c>
      <c r="G528" s="56" t="str">
        <f aca="false">IF('11 Stainless Steel'!$C$16="","",'11 Stainless Steel'!F16)</f>
        <v>Local / Imported</v>
      </c>
      <c r="H528" s="57" t="str">
        <f aca="false">IF('11 Stainless Steel'!$C$16="","",'11 Stainless Steel'!G16)</f>
        <v>lm</v>
      </c>
      <c r="I528" s="58" t="n">
        <f aca="false">IF('11 Stainless Steel'!$C$16="","",'11 Stainless Steel'!J16)</f>
        <v>41.23</v>
      </c>
      <c r="J528" s="58" t="n">
        <f aca="false">IF('11 Stainless Steel'!$C$16="","",'11 Stainless Steel'!K16)</f>
        <v>49.48</v>
      </c>
      <c r="K528" s="58" t="n">
        <f aca="false">IF('11 Stainless Steel'!$C$16="","",'11 Stainless Steel'!L16)</f>
        <v>51.95</v>
      </c>
      <c r="L528" s="57" t="str">
        <f aca="false">IF('11 Stainless Steel'!$C$16="","",'11 Stainless Steel'!M16)</f>
        <v>Indicative</v>
      </c>
      <c r="M528" s="59" t="str">
        <f aca="false">IF(D528="","",IF(AND(OR(Search!$C$6="All Categories",A528=Search!$C$6),OR(Search!$P$5="",ISNUMBER(SEARCH(" "&amp;Search!$P$5,N528))),OR(Search!$P$6="",ISNUMBER(SEARCH(" "&amp;Search!$P$6,N528))),OR(Search!$P$7="",ISNUMBER(SEARCH(" "&amp;Search!$P$7,N528))),OR(Search!$P$8="",ISNUMBER(SEARCH(" "&amp;Search!$P$8,N528))),OR(Search!$P$9="",ISNUMBER(SEARCH(" "&amp;Search!$P$9,N528))),OR(Search!$P$10="",ISNUMBER(SEARCH(" "&amp;Search!$P$10,N528)))),ROW(),""))</f>
        <v/>
      </c>
      <c r="N528" s="0" t="str">
        <f aca="false">IF(D528="",""," "&amp;SUBSTITUTE(SUBSTITUTE(SUBSTITUTE(SUBSTITUTE(SUBSTITUTE(SUBSTITUTE(SUBSTITUTE(B528&amp;" "&amp;C528&amp;" "&amp;D528&amp;" "&amp;E528&amp;" "&amp;F528&amp;" "&amp;G528&amp;" "&amp;H528&amp;" "&amp;'11 Stainless Steel'!R16,"("," "),")"," "),"/"," "),"-"," "),","," "),";"," "),":"," ")&amp;" ")</f>
        <v> SS 012 Square   Rect. Tube SS square tube 50 x 50 x 1.5 mm  2.31 kg m  SS 304 hairline Local   Imported lm 50x50 50x50x1.5 1.5mm ss304 sus304 pipe box satin brushed stainless steel </v>
      </c>
    </row>
    <row r="529" customFormat="false" ht="22.35" hidden="false" customHeight="false" outlineLevel="0" collapsed="false">
      <c r="A529" s="56" t="str">
        <f aca="false">IF('11 Stainless Steel'!$C$17="","","Stainless Steel (SS) - Tubes, Sheets &amp; Drains")</f>
        <v>Stainless Steel (SS) - Tubes, Sheets &amp; Drains</v>
      </c>
      <c r="B529" s="57" t="str">
        <f aca="false">IF('11 Stainless Steel'!$C$17="","",'11 Stainless Steel'!A17)</f>
        <v>SS-013</v>
      </c>
      <c r="C529" s="56" t="str">
        <f aca="false">IF('11 Stainless Steel'!$C$17="","",'11 Stainless Steel'!B17)</f>
        <v>Square / Rect. Tube</v>
      </c>
      <c r="D529" s="56" t="str">
        <f aca="false">IF('11 Stainless Steel'!$C$17="","",'11 Stainless Steel'!C17)</f>
        <v>SS square tube</v>
      </c>
      <c r="E529" s="56" t="str">
        <f aca="false">IF('11 Stainless Steel'!$C$17="","",'11 Stainless Steel'!D17)</f>
        <v>50 x 50 x 2.0 mm (3.05 kg/m)</v>
      </c>
      <c r="F529" s="56" t="str">
        <f aca="false">IF('11 Stainless Steel'!$C$17="","",'11 Stainless Steel'!E17)</f>
        <v>SS 316 hairline</v>
      </c>
      <c r="G529" s="56" t="str">
        <f aca="false">IF('11 Stainless Steel'!$C$17="","",'11 Stainless Steel'!F17)</f>
        <v>Local / Imported</v>
      </c>
      <c r="H529" s="57" t="str">
        <f aca="false">IF('11 Stainless Steel'!$C$17="","",'11 Stainless Steel'!G17)</f>
        <v>lm</v>
      </c>
      <c r="I529" s="58" t="n">
        <f aca="false">IF('11 Stainless Steel'!$C$17="","",'11 Stainless Steel'!J17)</f>
        <v>76.86</v>
      </c>
      <c r="J529" s="58" t="n">
        <f aca="false">IF('11 Stainless Steel'!$C$17="","",'11 Stainless Steel'!K17)</f>
        <v>92.23</v>
      </c>
      <c r="K529" s="58" t="n">
        <f aca="false">IF('11 Stainless Steel'!$C$17="","",'11 Stainless Steel'!L17)</f>
        <v>96.84</v>
      </c>
      <c r="L529" s="57" t="str">
        <f aca="false">IF('11 Stainless Steel'!$C$17="","",'11 Stainless Steel'!M17)</f>
        <v>Indicative</v>
      </c>
      <c r="M529" s="59" t="str">
        <f aca="false">IF(D529="","",IF(AND(OR(Search!$C$6="All Categories",A529=Search!$C$6),OR(Search!$P$5="",ISNUMBER(SEARCH(" "&amp;Search!$P$5,N529))),OR(Search!$P$6="",ISNUMBER(SEARCH(" "&amp;Search!$P$6,N529))),OR(Search!$P$7="",ISNUMBER(SEARCH(" "&amp;Search!$P$7,N529))),OR(Search!$P$8="",ISNUMBER(SEARCH(" "&amp;Search!$P$8,N529))),OR(Search!$P$9="",ISNUMBER(SEARCH(" "&amp;Search!$P$9,N529))),OR(Search!$P$10="",ISNUMBER(SEARCH(" "&amp;Search!$P$10,N529)))),ROW(),""))</f>
        <v/>
      </c>
      <c r="N529" s="0" t="str">
        <f aca="false">IF(D529="",""," "&amp;SUBSTITUTE(SUBSTITUTE(SUBSTITUTE(SUBSTITUTE(SUBSTITUTE(SUBSTITUTE(SUBSTITUTE(B529&amp;" "&amp;C529&amp;" "&amp;D529&amp;" "&amp;E529&amp;" "&amp;F529&amp;" "&amp;G529&amp;" "&amp;H529&amp;" "&amp;'11 Stainless Steel'!R17,"("," "),")"," "),"/"," "),"-"," "),","," "),";"," "),":"," ")&amp;" ")</f>
        <v> SS 013 Square   Rect. Tube SS square tube 50 x 50 x 2.0 mm  3.05 kg m  SS 316 hairline Local   Imported lm 50x50 50x50x2.0 50x50x2 2.0mm ss316 sus316 pipe box satin brushed stainless steel </v>
      </c>
    </row>
    <row r="530" customFormat="false" ht="22.35" hidden="false" customHeight="false" outlineLevel="0" collapsed="false">
      <c r="A530" s="56" t="str">
        <f aca="false">IF('11 Stainless Steel'!$C$18="","","Stainless Steel (SS) - Tubes, Sheets &amp; Drains")</f>
        <v>Stainless Steel (SS) - Tubes, Sheets &amp; Drains</v>
      </c>
      <c r="B530" s="57" t="str">
        <f aca="false">IF('11 Stainless Steel'!$C$18="","",'11 Stainless Steel'!A18)</f>
        <v>SS-014</v>
      </c>
      <c r="C530" s="56" t="str">
        <f aca="false">IF('11 Stainless Steel'!$C$18="","",'11 Stainless Steel'!B18)</f>
        <v>Square / Rect. Tube</v>
      </c>
      <c r="D530" s="56" t="str">
        <f aca="false">IF('11 Stainless Steel'!$C$18="","",'11 Stainless Steel'!C18)</f>
        <v>SS rectangular tube</v>
      </c>
      <c r="E530" s="56" t="str">
        <f aca="false">IF('11 Stainless Steel'!$C$18="","",'11 Stainless Steel'!D18)</f>
        <v>40 x 20 x 1.2 mm (1.10 kg/m)</v>
      </c>
      <c r="F530" s="56" t="str">
        <f aca="false">IF('11 Stainless Steel'!$C$18="","",'11 Stainless Steel'!E18)</f>
        <v>SS 304 hairline</v>
      </c>
      <c r="G530" s="56" t="str">
        <f aca="false">IF('11 Stainless Steel'!$C$18="","",'11 Stainless Steel'!F18)</f>
        <v>Local / Imported</v>
      </c>
      <c r="H530" s="57" t="str">
        <f aca="false">IF('11 Stainless Steel'!$C$18="","",'11 Stainless Steel'!G18)</f>
        <v>lm</v>
      </c>
      <c r="I530" s="58" t="n">
        <f aca="false">IF('11 Stainless Steel'!$C$18="","",'11 Stainless Steel'!J18)</f>
        <v>19.64</v>
      </c>
      <c r="J530" s="58" t="n">
        <f aca="false">IF('11 Stainless Steel'!$C$18="","",'11 Stainless Steel'!K18)</f>
        <v>23.57</v>
      </c>
      <c r="K530" s="58" t="n">
        <f aca="false">IF('11 Stainless Steel'!$C$18="","",'11 Stainless Steel'!L18)</f>
        <v>24.75</v>
      </c>
      <c r="L530" s="57" t="str">
        <f aca="false">IF('11 Stainless Steel'!$C$18="","",'11 Stainless Steel'!M18)</f>
        <v>Indicative</v>
      </c>
      <c r="M530" s="59" t="str">
        <f aca="false">IF(D530="","",IF(AND(OR(Search!$C$6="All Categories",A530=Search!$C$6),OR(Search!$P$5="",ISNUMBER(SEARCH(" "&amp;Search!$P$5,N530))),OR(Search!$P$6="",ISNUMBER(SEARCH(" "&amp;Search!$P$6,N530))),OR(Search!$P$7="",ISNUMBER(SEARCH(" "&amp;Search!$P$7,N530))),OR(Search!$P$8="",ISNUMBER(SEARCH(" "&amp;Search!$P$8,N530))),OR(Search!$P$9="",ISNUMBER(SEARCH(" "&amp;Search!$P$9,N530))),OR(Search!$P$10="",ISNUMBER(SEARCH(" "&amp;Search!$P$10,N530)))),ROW(),""))</f>
        <v/>
      </c>
      <c r="N530" s="0" t="str">
        <f aca="false">IF(D530="",""," "&amp;SUBSTITUTE(SUBSTITUTE(SUBSTITUTE(SUBSTITUTE(SUBSTITUTE(SUBSTITUTE(SUBSTITUTE(B530&amp;" "&amp;C530&amp;" "&amp;D530&amp;" "&amp;E530&amp;" "&amp;F530&amp;" "&amp;G530&amp;" "&amp;H530&amp;" "&amp;'11 Stainless Steel'!R18,"("," "),")"," "),"/"," "),"-"," "),","," "),";"," "),":"," ")&amp;" ")</f>
        <v> SS 014 Square   Rect. Tube SS rectangular tube 40 x 20 x 1.2 mm  1.10 kg m  SS 304 hairline Local   Imported lm 40x20 40x20x1.2 1.2mm ss304 sus304 pipe box satin brushed stainless steel </v>
      </c>
    </row>
    <row r="531" customFormat="false" ht="22.35" hidden="false" customHeight="false" outlineLevel="0" collapsed="false">
      <c r="A531" s="56" t="str">
        <f aca="false">IF('11 Stainless Steel'!$C$19="","","Stainless Steel (SS) - Tubes, Sheets &amp; Drains")</f>
        <v>Stainless Steel (SS) - Tubes, Sheets &amp; Drains</v>
      </c>
      <c r="B531" s="57" t="str">
        <f aca="false">IF('11 Stainless Steel'!$C$19="","",'11 Stainless Steel'!A19)</f>
        <v>SS-015</v>
      </c>
      <c r="C531" s="56" t="str">
        <f aca="false">IF('11 Stainless Steel'!$C$19="","",'11 Stainless Steel'!B19)</f>
        <v>Square / Rect. Tube</v>
      </c>
      <c r="D531" s="56" t="str">
        <f aca="false">IF('11 Stainless Steel'!$C$19="","",'11 Stainless Steel'!C19)</f>
        <v>SS rectangular tube</v>
      </c>
      <c r="E531" s="56" t="str">
        <f aca="false">IF('11 Stainless Steel'!$C$19="","",'11 Stainless Steel'!D19)</f>
        <v>50 x 25 x 1.5 mm (1.73 kg/m)</v>
      </c>
      <c r="F531" s="56" t="str">
        <f aca="false">IF('11 Stainless Steel'!$C$19="","",'11 Stainless Steel'!E19)</f>
        <v>SS 304 hairline</v>
      </c>
      <c r="G531" s="56" t="str">
        <f aca="false">IF('11 Stainless Steel'!$C$19="","",'11 Stainless Steel'!F19)</f>
        <v>Local / Imported</v>
      </c>
      <c r="H531" s="57" t="str">
        <f aca="false">IF('11 Stainless Steel'!$C$19="","",'11 Stainless Steel'!G19)</f>
        <v>lm</v>
      </c>
      <c r="I531" s="58" t="n">
        <f aca="false">IF('11 Stainless Steel'!$C$19="","",'11 Stainless Steel'!J19)</f>
        <v>30.88</v>
      </c>
      <c r="J531" s="58" t="n">
        <f aca="false">IF('11 Stainless Steel'!$C$19="","",'11 Stainless Steel'!K19)</f>
        <v>37.06</v>
      </c>
      <c r="K531" s="58" t="n">
        <f aca="false">IF('11 Stainless Steel'!$C$19="","",'11 Stainless Steel'!L19)</f>
        <v>38.91</v>
      </c>
      <c r="L531" s="57" t="str">
        <f aca="false">IF('11 Stainless Steel'!$C$19="","",'11 Stainless Steel'!M19)</f>
        <v>Indicative</v>
      </c>
      <c r="M531" s="59" t="str">
        <f aca="false">IF(D531="","",IF(AND(OR(Search!$C$6="All Categories",A531=Search!$C$6),OR(Search!$P$5="",ISNUMBER(SEARCH(" "&amp;Search!$P$5,N531))),OR(Search!$P$6="",ISNUMBER(SEARCH(" "&amp;Search!$P$6,N531))),OR(Search!$P$7="",ISNUMBER(SEARCH(" "&amp;Search!$P$7,N531))),OR(Search!$P$8="",ISNUMBER(SEARCH(" "&amp;Search!$P$8,N531))),OR(Search!$P$9="",ISNUMBER(SEARCH(" "&amp;Search!$P$9,N531))),OR(Search!$P$10="",ISNUMBER(SEARCH(" "&amp;Search!$P$10,N531)))),ROW(),""))</f>
        <v/>
      </c>
      <c r="N531" s="0" t="str">
        <f aca="false">IF(D531="",""," "&amp;SUBSTITUTE(SUBSTITUTE(SUBSTITUTE(SUBSTITUTE(SUBSTITUTE(SUBSTITUTE(SUBSTITUTE(B531&amp;" "&amp;C531&amp;" "&amp;D531&amp;" "&amp;E531&amp;" "&amp;F531&amp;" "&amp;G531&amp;" "&amp;H531&amp;" "&amp;'11 Stainless Steel'!R19,"("," "),")"," "),"/"," "),"-"," "),","," "),";"," "),":"," ")&amp;" ")</f>
        <v> SS 015 Square   Rect. Tube SS rectangular tube 50 x 25 x 1.5 mm  1.73 kg m  SS 304 hairline Local   Imported lm 50x25 50x25x1.5 1.5mm ss304 sus304 pipe box satin brushed stainless steel </v>
      </c>
    </row>
    <row r="532" customFormat="false" ht="22.35" hidden="false" customHeight="false" outlineLevel="0" collapsed="false">
      <c r="A532" s="56" t="str">
        <f aca="false">IF('11 Stainless Steel'!$C$20="","","Stainless Steel (SS) - Tubes, Sheets &amp; Drains")</f>
        <v>Stainless Steel (SS) - Tubes, Sheets &amp; Drains</v>
      </c>
      <c r="B532" s="57" t="str">
        <f aca="false">IF('11 Stainless Steel'!$C$20="","",'11 Stainless Steel'!A20)</f>
        <v>SS-016</v>
      </c>
      <c r="C532" s="56" t="str">
        <f aca="false">IF('11 Stainless Steel'!$C$20="","",'11 Stainless Steel'!B20)</f>
        <v>Square / Rect. Tube</v>
      </c>
      <c r="D532" s="56" t="str">
        <f aca="false">IF('11 Stainless Steel'!$C$20="","",'11 Stainless Steel'!C20)</f>
        <v>SS rectangular tube</v>
      </c>
      <c r="E532" s="56" t="str">
        <f aca="false">IF('11 Stainless Steel'!$C$20="","",'11 Stainless Steel'!D20)</f>
        <v>60 x 40 x 1.5 mm (2.31 kg/m)</v>
      </c>
      <c r="F532" s="56" t="str">
        <f aca="false">IF('11 Stainless Steel'!$C$20="","",'11 Stainless Steel'!E20)</f>
        <v>SS 304 hairline</v>
      </c>
      <c r="G532" s="56" t="str">
        <f aca="false">IF('11 Stainless Steel'!$C$20="","",'11 Stainless Steel'!F20)</f>
        <v>Local / Imported</v>
      </c>
      <c r="H532" s="57" t="str">
        <f aca="false">IF('11 Stainless Steel'!$C$20="","",'11 Stainless Steel'!G20)</f>
        <v>lm</v>
      </c>
      <c r="I532" s="58" t="n">
        <f aca="false">IF('11 Stainless Steel'!$C$20="","",'11 Stainless Steel'!J20)</f>
        <v>41.23</v>
      </c>
      <c r="J532" s="58" t="n">
        <f aca="false">IF('11 Stainless Steel'!$C$20="","",'11 Stainless Steel'!K20)</f>
        <v>49.48</v>
      </c>
      <c r="K532" s="58" t="n">
        <f aca="false">IF('11 Stainless Steel'!$C$20="","",'11 Stainless Steel'!L20)</f>
        <v>51.95</v>
      </c>
      <c r="L532" s="57" t="str">
        <f aca="false">IF('11 Stainless Steel'!$C$20="","",'11 Stainless Steel'!M20)</f>
        <v>Indicative</v>
      </c>
      <c r="M532" s="59" t="str">
        <f aca="false">IF(D532="","",IF(AND(OR(Search!$C$6="All Categories",A532=Search!$C$6),OR(Search!$P$5="",ISNUMBER(SEARCH(" "&amp;Search!$P$5,N532))),OR(Search!$P$6="",ISNUMBER(SEARCH(" "&amp;Search!$P$6,N532))),OR(Search!$P$7="",ISNUMBER(SEARCH(" "&amp;Search!$P$7,N532))),OR(Search!$P$8="",ISNUMBER(SEARCH(" "&amp;Search!$P$8,N532))),OR(Search!$P$9="",ISNUMBER(SEARCH(" "&amp;Search!$P$9,N532))),OR(Search!$P$10="",ISNUMBER(SEARCH(" "&amp;Search!$P$10,N532)))),ROW(),""))</f>
        <v/>
      </c>
      <c r="N532" s="0" t="str">
        <f aca="false">IF(D532="",""," "&amp;SUBSTITUTE(SUBSTITUTE(SUBSTITUTE(SUBSTITUTE(SUBSTITUTE(SUBSTITUTE(SUBSTITUTE(B532&amp;" "&amp;C532&amp;" "&amp;D532&amp;" "&amp;E532&amp;" "&amp;F532&amp;" "&amp;G532&amp;" "&amp;H532&amp;" "&amp;'11 Stainless Steel'!R20,"("," "),")"," "),"/"," "),"-"," "),","," "),";"," "),":"," ")&amp;" ")</f>
        <v> SS 016 Square   Rect. Tube SS rectangular tube 60 x 40 x 1.5 mm  2.31 kg m  SS 304 hairline Local   Imported lm 60x40 60x40x1.5 1.5mm ss304 sus304 pipe box satin brushed stainless steel </v>
      </c>
    </row>
    <row r="533" customFormat="false" ht="22.35" hidden="false" customHeight="false" outlineLevel="0" collapsed="false">
      <c r="A533" s="56" t="str">
        <f aca="false">IF('11 Stainless Steel'!$C$21="","","Stainless Steel (SS) - Tubes, Sheets &amp; Drains")</f>
        <v>Stainless Steel (SS) - Tubes, Sheets &amp; Drains</v>
      </c>
      <c r="B533" s="57" t="str">
        <f aca="false">IF('11 Stainless Steel'!$C$21="","",'11 Stainless Steel'!A21)</f>
        <v>SS-017</v>
      </c>
      <c r="C533" s="56" t="str">
        <f aca="false">IF('11 Stainless Steel'!$C$21="","",'11 Stainless Steel'!B21)</f>
        <v>Square / Rect. Tube</v>
      </c>
      <c r="D533" s="56" t="str">
        <f aca="false">IF('11 Stainless Steel'!$C$21="","",'11 Stainless Steel'!C21)</f>
        <v>SS rectangular tube</v>
      </c>
      <c r="E533" s="56" t="str">
        <f aca="false">IF('11 Stainless Steel'!$C$21="","",'11 Stainless Steel'!D21)</f>
        <v>100 x 50 x 2.0 mm (4.59 kg/m)</v>
      </c>
      <c r="F533" s="56" t="str">
        <f aca="false">IF('11 Stainless Steel'!$C$21="","",'11 Stainless Steel'!E21)</f>
        <v>SS 304 hairline</v>
      </c>
      <c r="G533" s="56" t="str">
        <f aca="false">IF('11 Stainless Steel'!$C$21="","",'11 Stainless Steel'!F21)</f>
        <v>Local / Imported</v>
      </c>
      <c r="H533" s="57" t="str">
        <f aca="false">IF('11 Stainless Steel'!$C$21="","",'11 Stainless Steel'!G21)</f>
        <v>lm</v>
      </c>
      <c r="I533" s="58" t="n">
        <f aca="false">IF('11 Stainless Steel'!$C$21="","",'11 Stainless Steel'!J21)</f>
        <v>81.93</v>
      </c>
      <c r="J533" s="58" t="n">
        <f aca="false">IF('11 Stainless Steel'!$C$21="","",'11 Stainless Steel'!K21)</f>
        <v>98.32</v>
      </c>
      <c r="K533" s="58" t="n">
        <f aca="false">IF('11 Stainless Steel'!$C$21="","",'11 Stainless Steel'!L21)</f>
        <v>103.24</v>
      </c>
      <c r="L533" s="57" t="str">
        <f aca="false">IF('11 Stainless Steel'!$C$21="","",'11 Stainless Steel'!M21)</f>
        <v>Indicative</v>
      </c>
      <c r="M533" s="59" t="str">
        <f aca="false">IF(D533="","",IF(AND(OR(Search!$C$6="All Categories",A533=Search!$C$6),OR(Search!$P$5="",ISNUMBER(SEARCH(" "&amp;Search!$P$5,N533))),OR(Search!$P$6="",ISNUMBER(SEARCH(" "&amp;Search!$P$6,N533))),OR(Search!$P$7="",ISNUMBER(SEARCH(" "&amp;Search!$P$7,N533))),OR(Search!$P$8="",ISNUMBER(SEARCH(" "&amp;Search!$P$8,N533))),OR(Search!$P$9="",ISNUMBER(SEARCH(" "&amp;Search!$P$9,N533))),OR(Search!$P$10="",ISNUMBER(SEARCH(" "&amp;Search!$P$10,N533)))),ROW(),""))</f>
        <v/>
      </c>
      <c r="N533" s="0" t="str">
        <f aca="false">IF(D533="",""," "&amp;SUBSTITUTE(SUBSTITUTE(SUBSTITUTE(SUBSTITUTE(SUBSTITUTE(SUBSTITUTE(SUBSTITUTE(B533&amp;" "&amp;C533&amp;" "&amp;D533&amp;" "&amp;E533&amp;" "&amp;F533&amp;" "&amp;G533&amp;" "&amp;H533&amp;" "&amp;'11 Stainless Steel'!R21,"("," "),")"," "),"/"," "),"-"," "),","," "),";"," "),":"," ")&amp;" ")</f>
        <v> SS 017 Square   Rect. Tube SS rectangular tube 100 x 50 x 2.0 mm  4.59 kg m  SS 304 hairline Local   Imported lm 100x50 100x50x2.0 100x50x2 2.0mm ss304 sus304 pipe box satin brushed stainless steel </v>
      </c>
    </row>
    <row r="534" customFormat="false" ht="22.35" hidden="false" customHeight="false" outlineLevel="0" collapsed="false">
      <c r="A534" s="56" t="str">
        <f aca="false">IF('11 Stainless Steel'!$C$22="","","Stainless Steel (SS) - Tubes, Sheets &amp; Drains")</f>
        <v>Stainless Steel (SS) - Tubes, Sheets &amp; Drains</v>
      </c>
      <c r="B534" s="57" t="str">
        <f aca="false">IF('11 Stainless Steel'!$C$22="","",'11 Stainless Steel'!A22)</f>
        <v>SS-018</v>
      </c>
      <c r="C534" s="56" t="str">
        <f aca="false">IF('11 Stainless Steel'!$C$22="","",'11 Stainless Steel'!B22)</f>
        <v>Flats, Rods &amp; Angles</v>
      </c>
      <c r="D534" s="56" t="str">
        <f aca="false">IF('11 Stainless Steel'!$C$22="","",'11 Stainless Steel'!C22)</f>
        <v>SS flat bar</v>
      </c>
      <c r="E534" s="56" t="str">
        <f aca="false">IF('11 Stainless Steel'!$C$22="","",'11 Stainless Steel'!D22)</f>
        <v>40 x 5 mm (1.59 kg/m)</v>
      </c>
      <c r="F534" s="56" t="str">
        <f aca="false">IF('11 Stainless Steel'!$C$22="","",'11 Stainless Steel'!E22)</f>
        <v>SS 304</v>
      </c>
      <c r="G534" s="56" t="str">
        <f aca="false">IF('11 Stainless Steel'!$C$22="","",'11 Stainless Steel'!F22)</f>
        <v>Local / Imported</v>
      </c>
      <c r="H534" s="57" t="str">
        <f aca="false">IF('11 Stainless Steel'!$C$22="","",'11 Stainless Steel'!G22)</f>
        <v>lm</v>
      </c>
      <c r="I534" s="58" t="n">
        <f aca="false">IF('11 Stainless Steel'!$C$22="","",'11 Stainless Steel'!J22)</f>
        <v>28.38</v>
      </c>
      <c r="J534" s="58" t="n">
        <f aca="false">IF('11 Stainless Steel'!$C$22="","",'11 Stainless Steel'!K22)</f>
        <v>34.06</v>
      </c>
      <c r="K534" s="58" t="n">
        <f aca="false">IF('11 Stainless Steel'!$C$22="","",'11 Stainless Steel'!L22)</f>
        <v>35.76</v>
      </c>
      <c r="L534" s="57" t="str">
        <f aca="false">IF('11 Stainless Steel'!$C$22="","",'11 Stainless Steel'!M22)</f>
        <v>Indicative</v>
      </c>
      <c r="M534" s="59" t="str">
        <f aca="false">IF(D534="","",IF(AND(OR(Search!$C$6="All Categories",A534=Search!$C$6),OR(Search!$P$5="",ISNUMBER(SEARCH(" "&amp;Search!$P$5,N534))),OR(Search!$P$6="",ISNUMBER(SEARCH(" "&amp;Search!$P$6,N534))),OR(Search!$P$7="",ISNUMBER(SEARCH(" "&amp;Search!$P$7,N534))),OR(Search!$P$8="",ISNUMBER(SEARCH(" "&amp;Search!$P$8,N534))),OR(Search!$P$9="",ISNUMBER(SEARCH(" "&amp;Search!$P$9,N534))),OR(Search!$P$10="",ISNUMBER(SEARCH(" "&amp;Search!$P$10,N534)))),ROW(),""))</f>
        <v/>
      </c>
      <c r="N534" s="0" t="str">
        <f aca="false">IF(D534="",""," "&amp;SUBSTITUTE(SUBSTITUTE(SUBSTITUTE(SUBSTITUTE(SUBSTITUTE(SUBSTITUTE(SUBSTITUTE(B534&amp;" "&amp;C534&amp;" "&amp;D534&amp;" "&amp;E534&amp;" "&amp;F534&amp;" "&amp;G534&amp;" "&amp;H534&amp;" "&amp;'11 Stainless Steel'!R22,"("," "),")"," "),"/"," "),"-"," "),","," "),";"," "),":"," ")&amp;" ")</f>
        <v> SS 018 Flats  Rods &amp; Angles SS flat bar 40 x 5 mm  1.59 kg m  SS 304 Local   Imported lm 40x5 5mm ss304 sus304 patti strip stainless steel </v>
      </c>
    </row>
    <row r="535" customFormat="false" ht="22.35" hidden="false" customHeight="false" outlineLevel="0" collapsed="false">
      <c r="A535" s="56" t="str">
        <f aca="false">IF('11 Stainless Steel'!$C$23="","","Stainless Steel (SS) - Tubes, Sheets &amp; Drains")</f>
        <v>Stainless Steel (SS) - Tubes, Sheets &amp; Drains</v>
      </c>
      <c r="B535" s="57" t="str">
        <f aca="false">IF('11 Stainless Steel'!$C$23="","",'11 Stainless Steel'!A23)</f>
        <v>SS-019</v>
      </c>
      <c r="C535" s="56" t="str">
        <f aca="false">IF('11 Stainless Steel'!$C$23="","",'11 Stainless Steel'!B23)</f>
        <v>Flats, Rods &amp; Angles</v>
      </c>
      <c r="D535" s="56" t="str">
        <f aca="false">IF('11 Stainless Steel'!$C$23="","",'11 Stainless Steel'!C23)</f>
        <v>SS flat bar</v>
      </c>
      <c r="E535" s="56" t="str">
        <f aca="false">IF('11 Stainless Steel'!$C$23="","",'11 Stainless Steel'!D23)</f>
        <v>50 x 10 mm (3.97 kg/m)</v>
      </c>
      <c r="F535" s="56" t="str">
        <f aca="false">IF('11 Stainless Steel'!$C$23="","",'11 Stainless Steel'!E23)</f>
        <v>SS 304</v>
      </c>
      <c r="G535" s="56" t="str">
        <f aca="false">IF('11 Stainless Steel'!$C$23="","",'11 Stainless Steel'!F23)</f>
        <v>Local / Imported</v>
      </c>
      <c r="H535" s="57" t="str">
        <f aca="false">IF('11 Stainless Steel'!$C$23="","",'11 Stainless Steel'!G23)</f>
        <v>lm</v>
      </c>
      <c r="I535" s="58" t="n">
        <f aca="false">IF('11 Stainless Steel'!$C$23="","",'11 Stainless Steel'!J23)</f>
        <v>70.86</v>
      </c>
      <c r="J535" s="58" t="n">
        <f aca="false">IF('11 Stainless Steel'!$C$23="","",'11 Stainless Steel'!K23)</f>
        <v>85.03</v>
      </c>
      <c r="K535" s="58" t="n">
        <f aca="false">IF('11 Stainless Steel'!$C$23="","",'11 Stainless Steel'!L23)</f>
        <v>89.28</v>
      </c>
      <c r="L535" s="57" t="str">
        <f aca="false">IF('11 Stainless Steel'!$C$23="","",'11 Stainless Steel'!M23)</f>
        <v>Indicative</v>
      </c>
      <c r="M535" s="59" t="str">
        <f aca="false">IF(D535="","",IF(AND(OR(Search!$C$6="All Categories",A535=Search!$C$6),OR(Search!$P$5="",ISNUMBER(SEARCH(" "&amp;Search!$P$5,N535))),OR(Search!$P$6="",ISNUMBER(SEARCH(" "&amp;Search!$P$6,N535))),OR(Search!$P$7="",ISNUMBER(SEARCH(" "&amp;Search!$P$7,N535))),OR(Search!$P$8="",ISNUMBER(SEARCH(" "&amp;Search!$P$8,N535))),OR(Search!$P$9="",ISNUMBER(SEARCH(" "&amp;Search!$P$9,N535))),OR(Search!$P$10="",ISNUMBER(SEARCH(" "&amp;Search!$P$10,N535)))),ROW(),""))</f>
        <v/>
      </c>
      <c r="N535" s="0" t="str">
        <f aca="false">IF(D535="",""," "&amp;SUBSTITUTE(SUBSTITUTE(SUBSTITUTE(SUBSTITUTE(SUBSTITUTE(SUBSTITUTE(SUBSTITUTE(B535&amp;" "&amp;C535&amp;" "&amp;D535&amp;" "&amp;E535&amp;" "&amp;F535&amp;" "&amp;G535&amp;" "&amp;H535&amp;" "&amp;'11 Stainless Steel'!R23,"("," "),")"," "),"/"," "),"-"," "),","," "),";"," "),":"," ")&amp;" ")</f>
        <v> SS 019 Flats  Rods &amp; Angles SS flat bar 50 x 10 mm  3.97 kg m  SS 304 Local   Imported lm 50x10 10mm ss304 sus304 patti strip stainless steel </v>
      </c>
    </row>
    <row r="536" customFormat="false" ht="22.35" hidden="false" customHeight="false" outlineLevel="0" collapsed="false">
      <c r="A536" s="56" t="str">
        <f aca="false">IF('11 Stainless Steel'!$C$24="","","Stainless Steel (SS) - Tubes, Sheets &amp; Drains")</f>
        <v>Stainless Steel (SS) - Tubes, Sheets &amp; Drains</v>
      </c>
      <c r="B536" s="57" t="str">
        <f aca="false">IF('11 Stainless Steel'!$C$24="","",'11 Stainless Steel'!A24)</f>
        <v>SS-020</v>
      </c>
      <c r="C536" s="56" t="str">
        <f aca="false">IF('11 Stainless Steel'!$C$24="","",'11 Stainless Steel'!B24)</f>
        <v>Flats, Rods &amp; Angles</v>
      </c>
      <c r="D536" s="56" t="str">
        <f aca="false">IF('11 Stainless Steel'!$C$24="","",'11 Stainless Steel'!C24)</f>
        <v>SS round rod</v>
      </c>
      <c r="E536" s="56" t="str">
        <f aca="false">IF('11 Stainless Steel'!$C$24="","",'11 Stainless Steel'!D24)</f>
        <v>Dia 10 mm (0.62 kg/m)</v>
      </c>
      <c r="F536" s="56" t="str">
        <f aca="false">IF('11 Stainless Steel'!$C$24="","",'11 Stainless Steel'!E24)</f>
        <v>SS 304</v>
      </c>
      <c r="G536" s="56" t="str">
        <f aca="false">IF('11 Stainless Steel'!$C$24="","",'11 Stainless Steel'!F24)</f>
        <v>Local / Imported</v>
      </c>
      <c r="H536" s="57" t="str">
        <f aca="false">IF('11 Stainless Steel'!$C$24="","",'11 Stainless Steel'!G24)</f>
        <v>lm</v>
      </c>
      <c r="I536" s="58" t="n">
        <f aca="false">IF('11 Stainless Steel'!$C$24="","",'11 Stainless Steel'!J24)</f>
        <v>11.07</v>
      </c>
      <c r="J536" s="58" t="n">
        <f aca="false">IF('11 Stainless Steel'!$C$24="","",'11 Stainless Steel'!K24)</f>
        <v>13.28</v>
      </c>
      <c r="K536" s="58" t="n">
        <f aca="false">IF('11 Stainless Steel'!$C$24="","",'11 Stainless Steel'!L24)</f>
        <v>13.94</v>
      </c>
      <c r="L536" s="57" t="str">
        <f aca="false">IF('11 Stainless Steel'!$C$24="","",'11 Stainless Steel'!M24)</f>
        <v>Indicative</v>
      </c>
      <c r="M536" s="59" t="str">
        <f aca="false">IF(D536="","",IF(AND(OR(Search!$C$6="All Categories",A536=Search!$C$6),OR(Search!$P$5="",ISNUMBER(SEARCH(" "&amp;Search!$P$5,N536))),OR(Search!$P$6="",ISNUMBER(SEARCH(" "&amp;Search!$P$6,N536))),OR(Search!$P$7="",ISNUMBER(SEARCH(" "&amp;Search!$P$7,N536))),OR(Search!$P$8="",ISNUMBER(SEARCH(" "&amp;Search!$P$8,N536))),OR(Search!$P$9="",ISNUMBER(SEARCH(" "&amp;Search!$P$9,N536))),OR(Search!$P$10="",ISNUMBER(SEARCH(" "&amp;Search!$P$10,N536)))),ROW(),""))</f>
        <v/>
      </c>
      <c r="N536" s="0" t="str">
        <f aca="false">IF(D536="",""," "&amp;SUBSTITUTE(SUBSTITUTE(SUBSTITUTE(SUBSTITUTE(SUBSTITUTE(SUBSTITUTE(SUBSTITUTE(B536&amp;" "&amp;C536&amp;" "&amp;D536&amp;" "&amp;E536&amp;" "&amp;F536&amp;" "&amp;G536&amp;" "&amp;H536&amp;" "&amp;'11 Stainless Steel'!R24,"("," "),")"," "),"/"," "),"-"," "),","," "),";"," "),":"," ")&amp;" ")</f>
        <v> SS 020 Flats  Rods &amp; Angles SS round rod Dia 10 mm  0.62 kg m  SS 304 Local   Imported lm 10mm ss304 sus304 stainless steel </v>
      </c>
    </row>
    <row r="537" customFormat="false" ht="22.35" hidden="false" customHeight="false" outlineLevel="0" collapsed="false">
      <c r="A537" s="56" t="str">
        <f aca="false">IF('11 Stainless Steel'!$C$25="","","Stainless Steel (SS) - Tubes, Sheets &amp; Drains")</f>
        <v>Stainless Steel (SS) - Tubes, Sheets &amp; Drains</v>
      </c>
      <c r="B537" s="57" t="str">
        <f aca="false">IF('11 Stainless Steel'!$C$25="","",'11 Stainless Steel'!A25)</f>
        <v>SS-021</v>
      </c>
      <c r="C537" s="56" t="str">
        <f aca="false">IF('11 Stainless Steel'!$C$25="","",'11 Stainless Steel'!B25)</f>
        <v>Flats, Rods &amp; Angles</v>
      </c>
      <c r="D537" s="56" t="str">
        <f aca="false">IF('11 Stainless Steel'!$C$25="","",'11 Stainless Steel'!C25)</f>
        <v>SS round rod</v>
      </c>
      <c r="E537" s="56" t="str">
        <f aca="false">IF('11 Stainless Steel'!$C$25="","",'11 Stainless Steel'!D25)</f>
        <v>Dia 12 mm (0.89 kg/m)</v>
      </c>
      <c r="F537" s="56" t="str">
        <f aca="false">IF('11 Stainless Steel'!$C$25="","",'11 Stainless Steel'!E25)</f>
        <v>SS 304</v>
      </c>
      <c r="G537" s="56" t="str">
        <f aca="false">IF('11 Stainless Steel'!$C$25="","",'11 Stainless Steel'!F25)</f>
        <v>Local / Imported</v>
      </c>
      <c r="H537" s="57" t="str">
        <f aca="false">IF('11 Stainless Steel'!$C$25="","",'11 Stainless Steel'!G25)</f>
        <v>lm</v>
      </c>
      <c r="I537" s="58" t="n">
        <f aca="false">IF('11 Stainless Steel'!$C$25="","",'11 Stainless Steel'!J25)</f>
        <v>15.89</v>
      </c>
      <c r="J537" s="58" t="n">
        <f aca="false">IF('11 Stainless Steel'!$C$25="","",'11 Stainless Steel'!K25)</f>
        <v>19.07</v>
      </c>
      <c r="K537" s="58" t="n">
        <f aca="false">IF('11 Stainless Steel'!$C$25="","",'11 Stainless Steel'!L25)</f>
        <v>20.02</v>
      </c>
      <c r="L537" s="57" t="str">
        <f aca="false">IF('11 Stainless Steel'!$C$25="","",'11 Stainless Steel'!M25)</f>
        <v>Indicative</v>
      </c>
      <c r="M537" s="59" t="str">
        <f aca="false">IF(D537="","",IF(AND(OR(Search!$C$6="All Categories",A537=Search!$C$6),OR(Search!$P$5="",ISNUMBER(SEARCH(" "&amp;Search!$P$5,N537))),OR(Search!$P$6="",ISNUMBER(SEARCH(" "&amp;Search!$P$6,N537))),OR(Search!$P$7="",ISNUMBER(SEARCH(" "&amp;Search!$P$7,N537))),OR(Search!$P$8="",ISNUMBER(SEARCH(" "&amp;Search!$P$8,N537))),OR(Search!$P$9="",ISNUMBER(SEARCH(" "&amp;Search!$P$9,N537))),OR(Search!$P$10="",ISNUMBER(SEARCH(" "&amp;Search!$P$10,N537)))),ROW(),""))</f>
        <v/>
      </c>
      <c r="N537" s="0" t="str">
        <f aca="false">IF(D537="",""," "&amp;SUBSTITUTE(SUBSTITUTE(SUBSTITUTE(SUBSTITUTE(SUBSTITUTE(SUBSTITUTE(SUBSTITUTE(B537&amp;" "&amp;C537&amp;" "&amp;D537&amp;" "&amp;E537&amp;" "&amp;F537&amp;" "&amp;G537&amp;" "&amp;H537&amp;" "&amp;'11 Stainless Steel'!R25,"("," "),")"," "),"/"," "),"-"," "),","," "),";"," "),":"," ")&amp;" ")</f>
        <v> SS 021 Flats  Rods &amp; Angles SS round rod Dia 12 mm  0.89 kg m  SS 304 Local   Imported lm 12mm ss304 sus304 stainless steel </v>
      </c>
    </row>
    <row r="538" customFormat="false" ht="22.35" hidden="false" customHeight="false" outlineLevel="0" collapsed="false">
      <c r="A538" s="56" t="str">
        <f aca="false">IF('11 Stainless Steel'!$C$26="","","Stainless Steel (SS) - Tubes, Sheets &amp; Drains")</f>
        <v>Stainless Steel (SS) - Tubes, Sheets &amp; Drains</v>
      </c>
      <c r="B538" s="57" t="str">
        <f aca="false">IF('11 Stainless Steel'!$C$26="","",'11 Stainless Steel'!A26)</f>
        <v>SS-022</v>
      </c>
      <c r="C538" s="56" t="str">
        <f aca="false">IF('11 Stainless Steel'!$C$26="","",'11 Stainless Steel'!B26)</f>
        <v>Flats, Rods &amp; Angles</v>
      </c>
      <c r="D538" s="56" t="str">
        <f aca="false">IF('11 Stainless Steel'!$C$26="","",'11 Stainless Steel'!C26)</f>
        <v>SS equal angle</v>
      </c>
      <c r="E538" s="56" t="str">
        <f aca="false">IF('11 Stainless Steel'!$C$26="","",'11 Stainless Steel'!D26)</f>
        <v>40 x 40 x 4 mm (2.45 kg/m)</v>
      </c>
      <c r="F538" s="56" t="str">
        <f aca="false">IF('11 Stainless Steel'!$C$26="","",'11 Stainless Steel'!E26)</f>
        <v>SS 304</v>
      </c>
      <c r="G538" s="56" t="str">
        <f aca="false">IF('11 Stainless Steel'!$C$26="","",'11 Stainless Steel'!F26)</f>
        <v>Local / Imported</v>
      </c>
      <c r="H538" s="57" t="str">
        <f aca="false">IF('11 Stainless Steel'!$C$26="","",'11 Stainless Steel'!G26)</f>
        <v>lm</v>
      </c>
      <c r="I538" s="58" t="n">
        <f aca="false">IF('11 Stainless Steel'!$C$26="","",'11 Stainless Steel'!J26)</f>
        <v>43.73</v>
      </c>
      <c r="J538" s="58" t="n">
        <f aca="false">IF('11 Stainless Steel'!$C$26="","",'11 Stainless Steel'!K26)</f>
        <v>52.48</v>
      </c>
      <c r="K538" s="58" t="n">
        <f aca="false">IF('11 Stainless Steel'!$C$26="","",'11 Stainless Steel'!L26)</f>
        <v>55.1</v>
      </c>
      <c r="L538" s="57" t="str">
        <f aca="false">IF('11 Stainless Steel'!$C$26="","",'11 Stainless Steel'!M26)</f>
        <v>Indicative</v>
      </c>
      <c r="M538" s="59" t="str">
        <f aca="false">IF(D538="","",IF(AND(OR(Search!$C$6="All Categories",A538=Search!$C$6),OR(Search!$P$5="",ISNUMBER(SEARCH(" "&amp;Search!$P$5,N538))),OR(Search!$P$6="",ISNUMBER(SEARCH(" "&amp;Search!$P$6,N538))),OR(Search!$P$7="",ISNUMBER(SEARCH(" "&amp;Search!$P$7,N538))),OR(Search!$P$8="",ISNUMBER(SEARCH(" "&amp;Search!$P$8,N538))),OR(Search!$P$9="",ISNUMBER(SEARCH(" "&amp;Search!$P$9,N538))),OR(Search!$P$10="",ISNUMBER(SEARCH(" "&amp;Search!$P$10,N538)))),ROW(),""))</f>
        <v/>
      </c>
      <c r="N538" s="0" t="str">
        <f aca="false">IF(D538="",""," "&amp;SUBSTITUTE(SUBSTITUTE(SUBSTITUTE(SUBSTITUTE(SUBSTITUTE(SUBSTITUTE(SUBSTITUTE(B538&amp;" "&amp;C538&amp;" "&amp;D538&amp;" "&amp;E538&amp;" "&amp;F538&amp;" "&amp;G538&amp;" "&amp;H538&amp;" "&amp;'11 Stainless Steel'!R26,"("," "),")"," "),"/"," "),"-"," "),","," "),";"," "),":"," ")&amp;" ")</f>
        <v> SS 022 Flats  Rods &amp; Angles SS equal angle 40 x 40 x 4 mm  2.45 kg m  SS 304 Local   Imported lm 40x40 40x40x4 4mm ss304 sus304 angle l stainless steel </v>
      </c>
    </row>
    <row r="539" customFormat="false" ht="22.35" hidden="false" customHeight="false" outlineLevel="0" collapsed="false">
      <c r="A539" s="56" t="str">
        <f aca="false">IF('11 Stainless Steel'!$C$27="","","Stainless Steel (SS) - Tubes, Sheets &amp; Drains")</f>
        <v>Stainless Steel (SS) - Tubes, Sheets &amp; Drains</v>
      </c>
      <c r="B539" s="57" t="str">
        <f aca="false">IF('11 Stainless Steel'!$C$27="","",'11 Stainless Steel'!A27)</f>
        <v>SS-023</v>
      </c>
      <c r="C539" s="56" t="str">
        <f aca="false">IF('11 Stainless Steel'!$C$27="","",'11 Stainless Steel'!B27)</f>
        <v>Sheets</v>
      </c>
      <c r="D539" s="56" t="str">
        <f aca="false">IF('11 Stainless Steel'!$C$27="","",'11 Stainless Steel'!C27)</f>
        <v>SS sheet</v>
      </c>
      <c r="E539" s="56" t="str">
        <f aca="false">IF('11 Stainless Steel'!$C$27="","",'11 Stainless Steel'!D27)</f>
        <v>1.0 mm (7.93 kg/m2)</v>
      </c>
      <c r="F539" s="56" t="str">
        <f aca="false">IF('11 Stainless Steel'!$C$27="","",'11 Stainless Steel'!E27)</f>
        <v>SS 304 hairline (#4)</v>
      </c>
      <c r="G539" s="56" t="str">
        <f aca="false">IF('11 Stainless Steel'!$C$27="","",'11 Stainless Steel'!F27)</f>
        <v>Local / Imported</v>
      </c>
      <c r="H539" s="57" t="str">
        <f aca="false">IF('11 Stainless Steel'!$C$27="","",'11 Stainless Steel'!G27)</f>
        <v>m2</v>
      </c>
      <c r="I539" s="58" t="n">
        <f aca="false">IF('11 Stainless Steel'!$C$27="","",'11 Stainless Steel'!J27)</f>
        <v>141.55</v>
      </c>
      <c r="J539" s="58" t="n">
        <f aca="false">IF('11 Stainless Steel'!$C$27="","",'11 Stainless Steel'!K27)</f>
        <v>169.86</v>
      </c>
      <c r="K539" s="58" t="n">
        <f aca="false">IF('11 Stainless Steel'!$C$27="","",'11 Stainless Steel'!L27)</f>
        <v>178.35</v>
      </c>
      <c r="L539" s="57" t="str">
        <f aca="false">IF('11 Stainless Steel'!$C$27="","",'11 Stainless Steel'!M27)</f>
        <v>Indicative</v>
      </c>
      <c r="M539" s="59" t="str">
        <f aca="false">IF(D539="","",IF(AND(OR(Search!$C$6="All Categories",A539=Search!$C$6),OR(Search!$P$5="",ISNUMBER(SEARCH(" "&amp;Search!$P$5,N539))),OR(Search!$P$6="",ISNUMBER(SEARCH(" "&amp;Search!$P$6,N539))),OR(Search!$P$7="",ISNUMBER(SEARCH(" "&amp;Search!$P$7,N539))),OR(Search!$P$8="",ISNUMBER(SEARCH(" "&amp;Search!$P$8,N539))),OR(Search!$P$9="",ISNUMBER(SEARCH(" "&amp;Search!$P$9,N539))),OR(Search!$P$10="",ISNUMBER(SEARCH(" "&amp;Search!$P$10,N539)))),ROW(),""))</f>
        <v/>
      </c>
      <c r="N539" s="0" t="str">
        <f aca="false">IF(D539="",""," "&amp;SUBSTITUTE(SUBSTITUTE(SUBSTITUTE(SUBSTITUTE(SUBSTITUTE(SUBSTITUTE(SUBSTITUTE(B539&amp;" "&amp;C539&amp;" "&amp;D539&amp;" "&amp;E539&amp;" "&amp;F539&amp;" "&amp;G539&amp;" "&amp;H539&amp;" "&amp;'11 Stainless Steel'!R27,"("," "),")"," "),"/"," "),"-"," "),","," "),";"," "),":"," ")&amp;" ")</f>
        <v> SS 023 Sheets SS sheet 1.0 mm  7.93 kg m2  SS 304 hairline  #4  Local   Imported m2 1.0mm ss304 sus304 satin brushed stainless steel </v>
      </c>
    </row>
    <row r="540" customFormat="false" ht="22.35" hidden="false" customHeight="false" outlineLevel="0" collapsed="false">
      <c r="A540" s="56" t="str">
        <f aca="false">IF('11 Stainless Steel'!$C$28="","","Stainless Steel (SS) - Tubes, Sheets &amp; Drains")</f>
        <v>Stainless Steel (SS) - Tubes, Sheets &amp; Drains</v>
      </c>
      <c r="B540" s="57" t="str">
        <f aca="false">IF('11 Stainless Steel'!$C$28="","",'11 Stainless Steel'!A28)</f>
        <v>SS-024</v>
      </c>
      <c r="C540" s="56" t="str">
        <f aca="false">IF('11 Stainless Steel'!$C$28="","",'11 Stainless Steel'!B28)</f>
        <v>Sheets</v>
      </c>
      <c r="D540" s="56" t="str">
        <f aca="false">IF('11 Stainless Steel'!$C$28="","",'11 Stainless Steel'!C28)</f>
        <v>SS sheet</v>
      </c>
      <c r="E540" s="56" t="str">
        <f aca="false">IF('11 Stainless Steel'!$C$28="","",'11 Stainless Steel'!D28)</f>
        <v>1.2 mm (9.52 kg/m2)</v>
      </c>
      <c r="F540" s="56" t="str">
        <f aca="false">IF('11 Stainless Steel'!$C$28="","",'11 Stainless Steel'!E28)</f>
        <v>SS 304 hairline (#4)</v>
      </c>
      <c r="G540" s="56" t="str">
        <f aca="false">IF('11 Stainless Steel'!$C$28="","",'11 Stainless Steel'!F28)</f>
        <v>Local / Imported</v>
      </c>
      <c r="H540" s="57" t="str">
        <f aca="false">IF('11 Stainless Steel'!$C$28="","",'11 Stainless Steel'!G28)</f>
        <v>m2</v>
      </c>
      <c r="I540" s="58" t="n">
        <f aca="false">IF('11 Stainless Steel'!$C$28="","",'11 Stainless Steel'!J28)</f>
        <v>169.93</v>
      </c>
      <c r="J540" s="58" t="n">
        <f aca="false">IF('11 Stainless Steel'!$C$28="","",'11 Stainless Steel'!K28)</f>
        <v>203.92</v>
      </c>
      <c r="K540" s="58" t="n">
        <f aca="false">IF('11 Stainless Steel'!$C$28="","",'11 Stainless Steel'!L28)</f>
        <v>214.12</v>
      </c>
      <c r="L540" s="57" t="str">
        <f aca="false">IF('11 Stainless Steel'!$C$28="","",'11 Stainless Steel'!M28)</f>
        <v>Indicative</v>
      </c>
      <c r="M540" s="59" t="str">
        <f aca="false">IF(D540="","",IF(AND(OR(Search!$C$6="All Categories",A540=Search!$C$6),OR(Search!$P$5="",ISNUMBER(SEARCH(" "&amp;Search!$P$5,N540))),OR(Search!$P$6="",ISNUMBER(SEARCH(" "&amp;Search!$P$6,N540))),OR(Search!$P$7="",ISNUMBER(SEARCH(" "&amp;Search!$P$7,N540))),OR(Search!$P$8="",ISNUMBER(SEARCH(" "&amp;Search!$P$8,N540))),OR(Search!$P$9="",ISNUMBER(SEARCH(" "&amp;Search!$P$9,N540))),OR(Search!$P$10="",ISNUMBER(SEARCH(" "&amp;Search!$P$10,N540)))),ROW(),""))</f>
        <v/>
      </c>
      <c r="N540" s="0" t="str">
        <f aca="false">IF(D540="",""," "&amp;SUBSTITUTE(SUBSTITUTE(SUBSTITUTE(SUBSTITUTE(SUBSTITUTE(SUBSTITUTE(SUBSTITUTE(B540&amp;" "&amp;C540&amp;" "&amp;D540&amp;" "&amp;E540&amp;" "&amp;F540&amp;" "&amp;G540&amp;" "&amp;H540&amp;" "&amp;'11 Stainless Steel'!R28,"("," "),")"," "),"/"," "),"-"," "),","," "),";"," "),":"," ")&amp;" ")</f>
        <v> SS 024 Sheets SS sheet 1.2 mm  9.52 kg m2  SS 304 hairline  #4  Local   Imported m2 1.2mm ss304 sus304 satin brushed stainless steel </v>
      </c>
    </row>
    <row r="541" customFormat="false" ht="22.35" hidden="false" customHeight="false" outlineLevel="0" collapsed="false">
      <c r="A541" s="56" t="str">
        <f aca="false">IF('11 Stainless Steel'!$C$29="","","Stainless Steel (SS) - Tubes, Sheets &amp; Drains")</f>
        <v>Stainless Steel (SS) - Tubes, Sheets &amp; Drains</v>
      </c>
      <c r="B541" s="57" t="str">
        <f aca="false">IF('11 Stainless Steel'!$C$29="","",'11 Stainless Steel'!A29)</f>
        <v>SS-025</v>
      </c>
      <c r="C541" s="56" t="str">
        <f aca="false">IF('11 Stainless Steel'!$C$29="","",'11 Stainless Steel'!B29)</f>
        <v>Sheets</v>
      </c>
      <c r="D541" s="56" t="str">
        <f aca="false">IF('11 Stainless Steel'!$C$29="","",'11 Stainless Steel'!C29)</f>
        <v>SS sheet</v>
      </c>
      <c r="E541" s="56" t="str">
        <f aca="false">IF('11 Stainless Steel'!$C$29="","",'11 Stainless Steel'!D29)</f>
        <v>1.5 mm (11.90 kg/m2)</v>
      </c>
      <c r="F541" s="56" t="str">
        <f aca="false">IF('11 Stainless Steel'!$C$29="","",'11 Stainless Steel'!E29)</f>
        <v>SS 304 hairline (#4)</v>
      </c>
      <c r="G541" s="56" t="str">
        <f aca="false">IF('11 Stainless Steel'!$C$29="","",'11 Stainless Steel'!F29)</f>
        <v>Local / Imported</v>
      </c>
      <c r="H541" s="57" t="str">
        <f aca="false">IF('11 Stainless Steel'!$C$29="","",'11 Stainless Steel'!G29)</f>
        <v>m2</v>
      </c>
      <c r="I541" s="58" t="n">
        <f aca="false">IF('11 Stainless Steel'!$C$29="","",'11 Stainless Steel'!J29)</f>
        <v>212.42</v>
      </c>
      <c r="J541" s="58" t="n">
        <f aca="false">IF('11 Stainless Steel'!$C$29="","",'11 Stainless Steel'!K29)</f>
        <v>254.9</v>
      </c>
      <c r="K541" s="58" t="n">
        <f aca="false">IF('11 Stainless Steel'!$C$29="","",'11 Stainless Steel'!L29)</f>
        <v>267.65</v>
      </c>
      <c r="L541" s="57" t="str">
        <f aca="false">IF('11 Stainless Steel'!$C$29="","",'11 Stainless Steel'!M29)</f>
        <v>Indicative</v>
      </c>
      <c r="M541" s="59" t="str">
        <f aca="false">IF(D541="","",IF(AND(OR(Search!$C$6="All Categories",A541=Search!$C$6),OR(Search!$P$5="",ISNUMBER(SEARCH(" "&amp;Search!$P$5,N541))),OR(Search!$P$6="",ISNUMBER(SEARCH(" "&amp;Search!$P$6,N541))),OR(Search!$P$7="",ISNUMBER(SEARCH(" "&amp;Search!$P$7,N541))),OR(Search!$P$8="",ISNUMBER(SEARCH(" "&amp;Search!$P$8,N541))),OR(Search!$P$9="",ISNUMBER(SEARCH(" "&amp;Search!$P$9,N541))),OR(Search!$P$10="",ISNUMBER(SEARCH(" "&amp;Search!$P$10,N541)))),ROW(),""))</f>
        <v/>
      </c>
      <c r="N541" s="0" t="str">
        <f aca="false">IF(D541="",""," "&amp;SUBSTITUTE(SUBSTITUTE(SUBSTITUTE(SUBSTITUTE(SUBSTITUTE(SUBSTITUTE(SUBSTITUTE(B541&amp;" "&amp;C541&amp;" "&amp;D541&amp;" "&amp;E541&amp;" "&amp;F541&amp;" "&amp;G541&amp;" "&amp;H541&amp;" "&amp;'11 Stainless Steel'!R29,"("," "),")"," "),"/"," "),"-"," "),","," "),";"," "),":"," ")&amp;" ")</f>
        <v> SS 025 Sheets SS sheet 1.5 mm  11.90 kg m2  SS 304 hairline  #4  Local   Imported m2 1.5mm ss304 sus304 satin brushed stainless steel </v>
      </c>
    </row>
    <row r="542" customFormat="false" ht="22.35" hidden="false" customHeight="false" outlineLevel="0" collapsed="false">
      <c r="A542" s="56" t="str">
        <f aca="false">IF('11 Stainless Steel'!$C$30="","","Stainless Steel (SS) - Tubes, Sheets &amp; Drains")</f>
        <v>Stainless Steel (SS) - Tubes, Sheets &amp; Drains</v>
      </c>
      <c r="B542" s="57" t="str">
        <f aca="false">IF('11 Stainless Steel'!$C$30="","",'11 Stainless Steel'!A30)</f>
        <v>SS-026</v>
      </c>
      <c r="C542" s="56" t="str">
        <f aca="false">IF('11 Stainless Steel'!$C$30="","",'11 Stainless Steel'!B30)</f>
        <v>Sheets</v>
      </c>
      <c r="D542" s="56" t="str">
        <f aca="false">IF('11 Stainless Steel'!$C$30="","",'11 Stainless Steel'!C30)</f>
        <v>SS sheet</v>
      </c>
      <c r="E542" s="56" t="str">
        <f aca="false">IF('11 Stainless Steel'!$C$30="","",'11 Stainless Steel'!D30)</f>
        <v>2.0 mm (15.86 kg/m2)</v>
      </c>
      <c r="F542" s="56" t="str">
        <f aca="false">IF('11 Stainless Steel'!$C$30="","",'11 Stainless Steel'!E30)</f>
        <v>SS 304 hairline (#4)</v>
      </c>
      <c r="G542" s="56" t="str">
        <f aca="false">IF('11 Stainless Steel'!$C$30="","",'11 Stainless Steel'!F30)</f>
        <v>Local / Imported</v>
      </c>
      <c r="H542" s="57" t="str">
        <f aca="false">IF('11 Stainless Steel'!$C$30="","",'11 Stainless Steel'!G30)</f>
        <v>m2</v>
      </c>
      <c r="I542" s="58" t="n">
        <f aca="false">IF('11 Stainless Steel'!$C$30="","",'11 Stainless Steel'!J30)</f>
        <v>283.1</v>
      </c>
      <c r="J542" s="58" t="n">
        <f aca="false">IF('11 Stainless Steel'!$C$30="","",'11 Stainless Steel'!K30)</f>
        <v>339.72</v>
      </c>
      <c r="K542" s="58" t="n">
        <f aca="false">IF('11 Stainless Steel'!$C$30="","",'11 Stainless Steel'!L30)</f>
        <v>356.71</v>
      </c>
      <c r="L542" s="57" t="str">
        <f aca="false">IF('11 Stainless Steel'!$C$30="","",'11 Stainless Steel'!M30)</f>
        <v>Indicative</v>
      </c>
      <c r="M542" s="59" t="str">
        <f aca="false">IF(D542="","",IF(AND(OR(Search!$C$6="All Categories",A542=Search!$C$6),OR(Search!$P$5="",ISNUMBER(SEARCH(" "&amp;Search!$P$5,N542))),OR(Search!$P$6="",ISNUMBER(SEARCH(" "&amp;Search!$P$6,N542))),OR(Search!$P$7="",ISNUMBER(SEARCH(" "&amp;Search!$P$7,N542))),OR(Search!$P$8="",ISNUMBER(SEARCH(" "&amp;Search!$P$8,N542))),OR(Search!$P$9="",ISNUMBER(SEARCH(" "&amp;Search!$P$9,N542))),OR(Search!$P$10="",ISNUMBER(SEARCH(" "&amp;Search!$P$10,N542)))),ROW(),""))</f>
        <v/>
      </c>
      <c r="N542" s="0" t="str">
        <f aca="false">IF(D542="",""," "&amp;SUBSTITUTE(SUBSTITUTE(SUBSTITUTE(SUBSTITUTE(SUBSTITUTE(SUBSTITUTE(SUBSTITUTE(B542&amp;" "&amp;C542&amp;" "&amp;D542&amp;" "&amp;E542&amp;" "&amp;F542&amp;" "&amp;G542&amp;" "&amp;H542&amp;" "&amp;'11 Stainless Steel'!R30,"("," "),")"," "),"/"," "),"-"," "),","," "),";"," "),":"," ")&amp;" ")</f>
        <v> SS 026 Sheets SS sheet 2.0 mm  15.86 kg m2  SS 304 hairline  #4  Local   Imported m2 2.0mm ss304 sus304 satin brushed stainless steel </v>
      </c>
    </row>
    <row r="543" customFormat="false" ht="22.35" hidden="false" customHeight="false" outlineLevel="0" collapsed="false">
      <c r="A543" s="56" t="str">
        <f aca="false">IF('11 Stainless Steel'!$C$31="","","Stainless Steel (SS) - Tubes, Sheets &amp; Drains")</f>
        <v>Stainless Steel (SS) - Tubes, Sheets &amp; Drains</v>
      </c>
      <c r="B543" s="57" t="str">
        <f aca="false">IF('11 Stainless Steel'!$C$31="","",'11 Stainless Steel'!A31)</f>
        <v>SS-027</v>
      </c>
      <c r="C543" s="56" t="str">
        <f aca="false">IF('11 Stainless Steel'!$C$31="","",'11 Stainless Steel'!B31)</f>
        <v>Sheets</v>
      </c>
      <c r="D543" s="56" t="str">
        <f aca="false">IF('11 Stainless Steel'!$C$31="","",'11 Stainless Steel'!C31)</f>
        <v>SS sheet</v>
      </c>
      <c r="E543" s="56" t="str">
        <f aca="false">IF('11 Stainless Steel'!$C$31="","",'11 Stainless Steel'!D31)</f>
        <v>3.0 mm (23.79 kg/m2)</v>
      </c>
      <c r="F543" s="56" t="str">
        <f aca="false">IF('11 Stainless Steel'!$C$31="","",'11 Stainless Steel'!E31)</f>
        <v>SS 304 hairline (#4)</v>
      </c>
      <c r="G543" s="56" t="str">
        <f aca="false">IF('11 Stainless Steel'!$C$31="","",'11 Stainless Steel'!F31)</f>
        <v>Local / Imported</v>
      </c>
      <c r="H543" s="57" t="str">
        <f aca="false">IF('11 Stainless Steel'!$C$31="","",'11 Stainless Steel'!G31)</f>
        <v>m2</v>
      </c>
      <c r="I543" s="58" t="n">
        <f aca="false">IF('11 Stainless Steel'!$C$31="","",'11 Stainless Steel'!J31)</f>
        <v>424.65</v>
      </c>
      <c r="J543" s="58" t="n">
        <f aca="false">IF('11 Stainless Steel'!$C$31="","",'11 Stainless Steel'!K31)</f>
        <v>509.58</v>
      </c>
      <c r="K543" s="58" t="n">
        <f aca="false">IF('11 Stainless Steel'!$C$31="","",'11 Stainless Steel'!L31)</f>
        <v>535.06</v>
      </c>
      <c r="L543" s="57" t="str">
        <f aca="false">IF('11 Stainless Steel'!$C$31="","",'11 Stainless Steel'!M31)</f>
        <v>Indicative</v>
      </c>
      <c r="M543" s="59" t="str">
        <f aca="false">IF(D543="","",IF(AND(OR(Search!$C$6="All Categories",A543=Search!$C$6),OR(Search!$P$5="",ISNUMBER(SEARCH(" "&amp;Search!$P$5,N543))),OR(Search!$P$6="",ISNUMBER(SEARCH(" "&amp;Search!$P$6,N543))),OR(Search!$P$7="",ISNUMBER(SEARCH(" "&amp;Search!$P$7,N543))),OR(Search!$P$8="",ISNUMBER(SEARCH(" "&amp;Search!$P$8,N543))),OR(Search!$P$9="",ISNUMBER(SEARCH(" "&amp;Search!$P$9,N543))),OR(Search!$P$10="",ISNUMBER(SEARCH(" "&amp;Search!$P$10,N543)))),ROW(),""))</f>
        <v/>
      </c>
      <c r="N543" s="0" t="str">
        <f aca="false">IF(D543="",""," "&amp;SUBSTITUTE(SUBSTITUTE(SUBSTITUTE(SUBSTITUTE(SUBSTITUTE(SUBSTITUTE(SUBSTITUTE(B543&amp;" "&amp;C543&amp;" "&amp;D543&amp;" "&amp;E543&amp;" "&amp;F543&amp;" "&amp;G543&amp;" "&amp;H543&amp;" "&amp;'11 Stainless Steel'!R31,"("," "),")"," "),"/"," "),"-"," "),","," "),";"," "),":"," ")&amp;" ")</f>
        <v> SS 027 Sheets SS sheet 3.0 mm  23.79 kg m2  SS 304 hairline  #4  Local   Imported m2 3.0mm ss304 sus304 satin brushed stainless steel </v>
      </c>
    </row>
    <row r="544" customFormat="false" ht="22.35" hidden="false" customHeight="false" outlineLevel="0" collapsed="false">
      <c r="A544" s="56" t="str">
        <f aca="false">IF('11 Stainless Steel'!$C$32="","","Stainless Steel (SS) - Tubes, Sheets &amp; Drains")</f>
        <v>Stainless Steel (SS) - Tubes, Sheets &amp; Drains</v>
      </c>
      <c r="B544" s="57" t="str">
        <f aca="false">IF('11 Stainless Steel'!$C$32="","",'11 Stainless Steel'!A32)</f>
        <v>SS-028</v>
      </c>
      <c r="C544" s="56" t="str">
        <f aca="false">IF('11 Stainless Steel'!$C$32="","",'11 Stainless Steel'!B32)</f>
        <v>Sheets</v>
      </c>
      <c r="D544" s="56" t="str">
        <f aca="false">IF('11 Stainless Steel'!$C$32="","",'11 Stainless Steel'!C32)</f>
        <v>SS sheet</v>
      </c>
      <c r="E544" s="56" t="str">
        <f aca="false">IF('11 Stainless Steel'!$C$32="","",'11 Stainless Steel'!D32)</f>
        <v>1.5 mm (11.90 kg/m2)</v>
      </c>
      <c r="F544" s="56" t="str">
        <f aca="false">IF('11 Stainless Steel'!$C$32="","",'11 Stainless Steel'!E32)</f>
        <v>SS 304 mirror (#8)</v>
      </c>
      <c r="G544" s="56" t="str">
        <f aca="false">IF('11 Stainless Steel'!$C$32="","",'11 Stainless Steel'!F32)</f>
        <v>Local / Imported</v>
      </c>
      <c r="H544" s="57" t="str">
        <f aca="false">IF('11 Stainless Steel'!$C$32="","",'11 Stainless Steel'!G32)</f>
        <v>m2</v>
      </c>
      <c r="I544" s="58" t="n">
        <f aca="false">IF('11 Stainless Steel'!$C$32="","",'11 Stainless Steel'!J32)</f>
        <v>249.9</v>
      </c>
      <c r="J544" s="58" t="n">
        <f aca="false">IF('11 Stainless Steel'!$C$32="","",'11 Stainless Steel'!K32)</f>
        <v>299.88</v>
      </c>
      <c r="K544" s="58" t="n">
        <f aca="false">IF('11 Stainless Steel'!$C$32="","",'11 Stainless Steel'!L32)</f>
        <v>314.87</v>
      </c>
      <c r="L544" s="57" t="str">
        <f aca="false">IF('11 Stainless Steel'!$C$32="","",'11 Stainless Steel'!M32)</f>
        <v>Indicative</v>
      </c>
      <c r="M544" s="59" t="str">
        <f aca="false">IF(D544="","",IF(AND(OR(Search!$C$6="All Categories",A544=Search!$C$6),OR(Search!$P$5="",ISNUMBER(SEARCH(" "&amp;Search!$P$5,N544))),OR(Search!$P$6="",ISNUMBER(SEARCH(" "&amp;Search!$P$6,N544))),OR(Search!$P$7="",ISNUMBER(SEARCH(" "&amp;Search!$P$7,N544))),OR(Search!$P$8="",ISNUMBER(SEARCH(" "&amp;Search!$P$8,N544))),OR(Search!$P$9="",ISNUMBER(SEARCH(" "&amp;Search!$P$9,N544))),OR(Search!$P$10="",ISNUMBER(SEARCH(" "&amp;Search!$P$10,N544)))),ROW(),""))</f>
        <v/>
      </c>
      <c r="N544" s="0" t="str">
        <f aca="false">IF(D544="",""," "&amp;SUBSTITUTE(SUBSTITUTE(SUBSTITUTE(SUBSTITUTE(SUBSTITUTE(SUBSTITUTE(SUBSTITUTE(B544&amp;" "&amp;C544&amp;" "&amp;D544&amp;" "&amp;E544&amp;" "&amp;F544&amp;" "&amp;G544&amp;" "&amp;H544&amp;" "&amp;'11 Stainless Steel'!R32,"("," "),")"," "),"/"," "),"-"," "),","," "),";"," "),":"," ")&amp;" ")</f>
        <v> SS 028 Sheets SS sheet 1.5 mm  11.90 kg m2  SS 304 mirror  #8  Local   Imported m2 1.5mm ss304 sus304 glass polished stainless steel </v>
      </c>
    </row>
    <row r="545" customFormat="false" ht="22.35" hidden="false" customHeight="false" outlineLevel="0" collapsed="false">
      <c r="A545" s="56" t="str">
        <f aca="false">IF('11 Stainless Steel'!$C$33="","","Stainless Steel (SS) - Tubes, Sheets &amp; Drains")</f>
        <v>Stainless Steel (SS) - Tubes, Sheets &amp; Drains</v>
      </c>
      <c r="B545" s="57" t="str">
        <f aca="false">IF('11 Stainless Steel'!$C$33="","",'11 Stainless Steel'!A33)</f>
        <v>SS-029</v>
      </c>
      <c r="C545" s="56" t="str">
        <f aca="false">IF('11 Stainless Steel'!$C$33="","",'11 Stainless Steel'!B33)</f>
        <v>Sheets</v>
      </c>
      <c r="D545" s="56" t="str">
        <f aca="false">IF('11 Stainless Steel'!$C$33="","",'11 Stainless Steel'!C33)</f>
        <v>SS sheet</v>
      </c>
      <c r="E545" s="56" t="str">
        <f aca="false">IF('11 Stainless Steel'!$C$33="","",'11 Stainless Steel'!D33)</f>
        <v>1.5 mm (11.90 kg/m2)</v>
      </c>
      <c r="F545" s="56" t="str">
        <f aca="false">IF('11 Stainless Steel'!$C$33="","",'11 Stainless Steel'!E33)</f>
        <v>SS 316 hairline (#4)</v>
      </c>
      <c r="G545" s="56" t="str">
        <f aca="false">IF('11 Stainless Steel'!$C$33="","",'11 Stainless Steel'!F33)</f>
        <v>Local / Imported</v>
      </c>
      <c r="H545" s="57" t="str">
        <f aca="false">IF('11 Stainless Steel'!$C$33="","",'11 Stainless Steel'!G33)</f>
        <v>m2</v>
      </c>
      <c r="I545" s="58" t="n">
        <f aca="false">IF('11 Stainless Steel'!$C$33="","",'11 Stainless Steel'!J33)</f>
        <v>299.88</v>
      </c>
      <c r="J545" s="58" t="n">
        <f aca="false">IF('11 Stainless Steel'!$C$33="","",'11 Stainless Steel'!K33)</f>
        <v>359.86</v>
      </c>
      <c r="K545" s="58" t="n">
        <f aca="false">IF('11 Stainless Steel'!$C$33="","",'11 Stainless Steel'!L33)</f>
        <v>377.85</v>
      </c>
      <c r="L545" s="57" t="str">
        <f aca="false">IF('11 Stainless Steel'!$C$33="","",'11 Stainless Steel'!M33)</f>
        <v>Indicative</v>
      </c>
      <c r="M545" s="59" t="str">
        <f aca="false">IF(D545="","",IF(AND(OR(Search!$C$6="All Categories",A545=Search!$C$6),OR(Search!$P$5="",ISNUMBER(SEARCH(" "&amp;Search!$P$5,N545))),OR(Search!$P$6="",ISNUMBER(SEARCH(" "&amp;Search!$P$6,N545))),OR(Search!$P$7="",ISNUMBER(SEARCH(" "&amp;Search!$P$7,N545))),OR(Search!$P$8="",ISNUMBER(SEARCH(" "&amp;Search!$P$8,N545))),OR(Search!$P$9="",ISNUMBER(SEARCH(" "&amp;Search!$P$9,N545))),OR(Search!$P$10="",ISNUMBER(SEARCH(" "&amp;Search!$P$10,N545)))),ROW(),""))</f>
        <v/>
      </c>
      <c r="N545" s="0" t="str">
        <f aca="false">IF(D545="",""," "&amp;SUBSTITUTE(SUBSTITUTE(SUBSTITUTE(SUBSTITUTE(SUBSTITUTE(SUBSTITUTE(SUBSTITUTE(B545&amp;" "&amp;C545&amp;" "&amp;D545&amp;" "&amp;E545&amp;" "&amp;F545&amp;" "&amp;G545&amp;" "&amp;H545&amp;" "&amp;'11 Stainless Steel'!R33,"("," "),")"," "),"/"," "),"-"," "),","," "),";"," "),":"," ")&amp;" ")</f>
        <v> SS 029 Sheets SS sheet 1.5 mm  11.90 kg m2  SS 316 hairline  #4  Local   Imported m2 1.5mm ss316 sus316 satin brushed stainless steel </v>
      </c>
    </row>
    <row r="546" customFormat="false" ht="22.35" hidden="false" customHeight="false" outlineLevel="0" collapsed="false">
      <c r="A546" s="56" t="str">
        <f aca="false">IF('11 Stainless Steel'!$C$34="","","Stainless Steel (SS) - Tubes, Sheets &amp; Drains")</f>
        <v>Stainless Steel (SS) - Tubes, Sheets &amp; Drains</v>
      </c>
      <c r="B546" s="57" t="str">
        <f aca="false">IF('11 Stainless Steel'!$C$34="","",'11 Stainless Steel'!A34)</f>
        <v>SS-030</v>
      </c>
      <c r="C546" s="56" t="str">
        <f aca="false">IF('11 Stainless Steel'!$C$34="","",'11 Stainless Steel'!B34)</f>
        <v>Sheets</v>
      </c>
      <c r="D546" s="56" t="str">
        <f aca="false">IF('11 Stainless Steel'!$C$34="","",'11 Stainless Steel'!C34)</f>
        <v>SS sheet</v>
      </c>
      <c r="E546" s="56" t="str">
        <f aca="false">IF('11 Stainless Steel'!$C$34="","",'11 Stainless Steel'!D34)</f>
        <v>2.0 mm (15.86 kg/m2)</v>
      </c>
      <c r="F546" s="56" t="str">
        <f aca="false">IF('11 Stainless Steel'!$C$34="","",'11 Stainless Steel'!E34)</f>
        <v>SS 316 hairline (#4)</v>
      </c>
      <c r="G546" s="56" t="str">
        <f aca="false">IF('11 Stainless Steel'!$C$34="","",'11 Stainless Steel'!F34)</f>
        <v>Local / Imported</v>
      </c>
      <c r="H546" s="57" t="str">
        <f aca="false">IF('11 Stainless Steel'!$C$34="","",'11 Stainless Steel'!G34)</f>
        <v>m2</v>
      </c>
      <c r="I546" s="58" t="n">
        <f aca="false">IF('11 Stainless Steel'!$C$34="","",'11 Stainless Steel'!J34)</f>
        <v>399.67</v>
      </c>
      <c r="J546" s="58" t="n">
        <f aca="false">IF('11 Stainless Steel'!$C$34="","",'11 Stainless Steel'!K34)</f>
        <v>479.6</v>
      </c>
      <c r="K546" s="58" t="n">
        <f aca="false">IF('11 Stainless Steel'!$C$34="","",'11 Stainless Steel'!L34)</f>
        <v>503.58</v>
      </c>
      <c r="L546" s="57" t="str">
        <f aca="false">IF('11 Stainless Steel'!$C$34="","",'11 Stainless Steel'!M34)</f>
        <v>Indicative</v>
      </c>
      <c r="M546" s="59" t="str">
        <f aca="false">IF(D546="","",IF(AND(OR(Search!$C$6="All Categories",A546=Search!$C$6),OR(Search!$P$5="",ISNUMBER(SEARCH(" "&amp;Search!$P$5,N546))),OR(Search!$P$6="",ISNUMBER(SEARCH(" "&amp;Search!$P$6,N546))),OR(Search!$P$7="",ISNUMBER(SEARCH(" "&amp;Search!$P$7,N546))),OR(Search!$P$8="",ISNUMBER(SEARCH(" "&amp;Search!$P$8,N546))),OR(Search!$P$9="",ISNUMBER(SEARCH(" "&amp;Search!$P$9,N546))),OR(Search!$P$10="",ISNUMBER(SEARCH(" "&amp;Search!$P$10,N546)))),ROW(),""))</f>
        <v/>
      </c>
      <c r="N546" s="0" t="str">
        <f aca="false">IF(D546="",""," "&amp;SUBSTITUTE(SUBSTITUTE(SUBSTITUTE(SUBSTITUTE(SUBSTITUTE(SUBSTITUTE(SUBSTITUTE(B546&amp;" "&amp;C546&amp;" "&amp;D546&amp;" "&amp;E546&amp;" "&amp;F546&amp;" "&amp;G546&amp;" "&amp;H546&amp;" "&amp;'11 Stainless Steel'!R34,"("," "),")"," "),"/"," "),"-"," "),","," "),";"," "),":"," ")&amp;" ")</f>
        <v> SS 030 Sheets SS sheet 2.0 mm  15.86 kg m2  SS 316 hairline  #4  Local   Imported m2 2.0mm ss316 sus316 satin brushed stainless steel </v>
      </c>
    </row>
    <row r="547" customFormat="false" ht="22.35" hidden="false" customHeight="false" outlineLevel="0" collapsed="false">
      <c r="A547" s="56" t="str">
        <f aca="false">IF('11 Stainless Steel'!$C$35="","","Stainless Steel (SS) - Tubes, Sheets &amp; Drains")</f>
        <v>Stainless Steel (SS) - Tubes, Sheets &amp; Drains</v>
      </c>
      <c r="B547" s="57" t="str">
        <f aca="false">IF('11 Stainless Steel'!$C$35="","",'11 Stainless Steel'!A35)</f>
        <v>SS-031</v>
      </c>
      <c r="C547" s="56" t="str">
        <f aca="false">IF('11 Stainless Steel'!$C$35="","",'11 Stainless Steel'!B35)</f>
        <v>Sheets</v>
      </c>
      <c r="D547" s="56" t="str">
        <f aca="false">IF('11 Stainless Steel'!$C$35="","",'11 Stainless Steel'!C35)</f>
        <v>SS PVD coloured sheet</v>
      </c>
      <c r="E547" s="56" t="str">
        <f aca="false">IF('11 Stainless Steel'!$C$35="","",'11 Stainless Steel'!D35)</f>
        <v>1.2 mm</v>
      </c>
      <c r="F547" s="56" t="str">
        <f aca="false">IF('11 Stainless Steel'!$C$35="","",'11 Stainless Steel'!E35)</f>
        <v>Gold / Rose gold / Black</v>
      </c>
      <c r="G547" s="56" t="str">
        <f aca="false">IF('11 Stainless Steel'!$C$35="","",'11 Stainless Steel'!F35)</f>
        <v>Imported</v>
      </c>
      <c r="H547" s="57" t="str">
        <f aca="false">IF('11 Stainless Steel'!$C$35="","",'11 Stainless Steel'!G35)</f>
        <v>m2</v>
      </c>
      <c r="I547" s="58" t="n">
        <f aca="false">IF('11 Stainless Steel'!$C$35="","",'11 Stainless Steel'!J35)</f>
        <v>441</v>
      </c>
      <c r="J547" s="58" t="n">
        <f aca="false">IF('11 Stainless Steel'!$C$35="","",'11 Stainless Steel'!K35)</f>
        <v>529.2</v>
      </c>
      <c r="K547" s="58" t="n">
        <f aca="false">IF('11 Stainless Steel'!$C$35="","",'11 Stainless Steel'!L35)</f>
        <v>555.66</v>
      </c>
      <c r="L547" s="57" t="str">
        <f aca="false">IF('11 Stainless Steel'!$C$35="","",'11 Stainless Steel'!M35)</f>
        <v>Indicative</v>
      </c>
      <c r="M547" s="59" t="str">
        <f aca="false">IF(D547="","",IF(AND(OR(Search!$C$6="All Categories",A547=Search!$C$6),OR(Search!$P$5="",ISNUMBER(SEARCH(" "&amp;Search!$P$5,N547))),OR(Search!$P$6="",ISNUMBER(SEARCH(" "&amp;Search!$P$6,N547))),OR(Search!$P$7="",ISNUMBER(SEARCH(" "&amp;Search!$P$7,N547))),OR(Search!$P$8="",ISNUMBER(SEARCH(" "&amp;Search!$P$8,N547))),OR(Search!$P$9="",ISNUMBER(SEARCH(" "&amp;Search!$P$9,N547))),OR(Search!$P$10="",ISNUMBER(SEARCH(" "&amp;Search!$P$10,N547)))),ROW(),""))</f>
        <v/>
      </c>
      <c r="N547" s="0" t="str">
        <f aca="false">IF(D547="",""," "&amp;SUBSTITUTE(SUBSTITUTE(SUBSTITUTE(SUBSTITUTE(SUBSTITUTE(SUBSTITUTE(SUBSTITUTE(B547&amp;" "&amp;C547&amp;" "&amp;D547&amp;" "&amp;E547&amp;" "&amp;F547&amp;" "&amp;G547&amp;" "&amp;H547&amp;" "&amp;'11 Stainless Steel'!R35,"("," "),")"," "),"/"," "),"-"," "),","," "),";"," "),":"," ")&amp;" ")</f>
        <v> SS 031 Sheets SS PVD coloured sheet 1.2 mm Gold   Rose gold   Black Imported m2 1.2mm stainless steel </v>
      </c>
    </row>
    <row r="548" customFormat="false" ht="22.35" hidden="false" customHeight="false" outlineLevel="0" collapsed="false">
      <c r="A548" s="56" t="str">
        <f aca="false">IF('11 Stainless Steel'!$C$36="","","Stainless Steel (SS) - Tubes, Sheets &amp; Drains")</f>
        <v>Stainless Steel (SS) - Tubes, Sheets &amp; Drains</v>
      </c>
      <c r="B548" s="57" t="str">
        <f aca="false">IF('11 Stainless Steel'!$C$36="","",'11 Stainless Steel'!A36)</f>
        <v>SS-032</v>
      </c>
      <c r="C548" s="56" t="str">
        <f aca="false">IF('11 Stainless Steel'!$C$36="","",'11 Stainless Steel'!B36)</f>
        <v>Sheets</v>
      </c>
      <c r="D548" s="56" t="str">
        <f aca="false">IF('11 Stainless Steel'!$C$36="","",'11 Stainless Steel'!C36)</f>
        <v>SS chequered / anti-slip plate</v>
      </c>
      <c r="E548" s="56" t="str">
        <f aca="false">IF('11 Stainless Steel'!$C$36="","",'11 Stainless Steel'!D36)</f>
        <v>3.0 mm</v>
      </c>
      <c r="F548" s="56" t="str">
        <f aca="false">IF('11 Stainless Steel'!$C$36="","",'11 Stainless Steel'!E36)</f>
        <v>SS 304</v>
      </c>
      <c r="G548" s="56" t="str">
        <f aca="false">IF('11 Stainless Steel'!$C$36="","",'11 Stainless Steel'!F36)</f>
        <v>Imported</v>
      </c>
      <c r="H548" s="57" t="str">
        <f aca="false">IF('11 Stainless Steel'!$C$36="","",'11 Stainless Steel'!G36)</f>
        <v>m2</v>
      </c>
      <c r="I548" s="58" t="n">
        <f aca="false">IF('11 Stainless Steel'!$C$36="","",'11 Stainless Steel'!J36)</f>
        <v>546</v>
      </c>
      <c r="J548" s="58" t="n">
        <f aca="false">IF('11 Stainless Steel'!$C$36="","",'11 Stainless Steel'!K36)</f>
        <v>655.2</v>
      </c>
      <c r="K548" s="58" t="n">
        <f aca="false">IF('11 Stainless Steel'!$C$36="","",'11 Stainless Steel'!L36)</f>
        <v>687.96</v>
      </c>
      <c r="L548" s="57" t="str">
        <f aca="false">IF('11 Stainless Steel'!$C$36="","",'11 Stainless Steel'!M36)</f>
        <v>Indicative</v>
      </c>
      <c r="M548" s="59" t="str">
        <f aca="false">IF(D548="","",IF(AND(OR(Search!$C$6="All Categories",A548=Search!$C$6),OR(Search!$P$5="",ISNUMBER(SEARCH(" "&amp;Search!$P$5,N548))),OR(Search!$P$6="",ISNUMBER(SEARCH(" "&amp;Search!$P$6,N548))),OR(Search!$P$7="",ISNUMBER(SEARCH(" "&amp;Search!$P$7,N548))),OR(Search!$P$8="",ISNUMBER(SEARCH(" "&amp;Search!$P$8,N548))),OR(Search!$P$9="",ISNUMBER(SEARCH(" "&amp;Search!$P$9,N548))),OR(Search!$P$10="",ISNUMBER(SEARCH(" "&amp;Search!$P$10,N548)))),ROW(),""))</f>
        <v/>
      </c>
      <c r="N548" s="0" t="str">
        <f aca="false">IF(D548="",""," "&amp;SUBSTITUTE(SUBSTITUTE(SUBSTITUTE(SUBSTITUTE(SUBSTITUTE(SUBSTITUTE(SUBSTITUTE(B548&amp;" "&amp;C548&amp;" "&amp;D548&amp;" "&amp;E548&amp;" "&amp;F548&amp;" "&amp;G548&amp;" "&amp;H548&amp;" "&amp;'11 Stainless Steel'!R36,"("," "),")"," "),"/"," "),"-"," "),","," "),";"," "),":"," ")&amp;" ")</f>
        <v> SS 032 Sheets SS chequered   anti slip plate 3.0 mm SS 304 Imported m2 3.0mm ss304 sus304 checker anti slip stainless steel </v>
      </c>
    </row>
    <row r="549" customFormat="false" ht="22.35" hidden="false" customHeight="false" outlineLevel="0" collapsed="false">
      <c r="A549" s="56" t="str">
        <f aca="false">IF('11 Stainless Steel'!$C$37="","","Stainless Steel (SS) - Tubes, Sheets &amp; Drains")</f>
        <v>Stainless Steel (SS) - Tubes, Sheets &amp; Drains</v>
      </c>
      <c r="B549" s="57" t="str">
        <f aca="false">IF('11 Stainless Steel'!$C$37="","",'11 Stainless Steel'!A37)</f>
        <v>SS-033</v>
      </c>
      <c r="C549" s="56" t="str">
        <f aca="false">IF('11 Stainless Steel'!$C$37="","",'11 Stainless Steel'!B37)</f>
        <v>Linear Drains</v>
      </c>
      <c r="D549" s="56" t="str">
        <f aca="false">IF('11 Stainless Steel'!$C$37="","",'11 Stainless Steel'!C37)</f>
        <v>Linear shower drain - tile insert</v>
      </c>
      <c r="E549" s="56" t="str">
        <f aca="false">IF('11 Stainless Steel'!$C$37="","",'11 Stainless Steel'!D37)</f>
        <v>600 mm, SS 304</v>
      </c>
      <c r="F549" s="56" t="str">
        <f aca="false">IF('11 Stainless Steel'!$C$37="","",'11 Stainless Steel'!E37)</f>
        <v>Satin</v>
      </c>
      <c r="G549" s="56" t="str">
        <f aca="false">IF('11 Stainless Steel'!$C$37="","",'11 Stainless Steel'!F37)</f>
        <v>Local / Imported</v>
      </c>
      <c r="H549" s="57" t="str">
        <f aca="false">IF('11 Stainless Steel'!$C$37="","",'11 Stainless Steel'!G37)</f>
        <v>nos</v>
      </c>
      <c r="I549" s="58" t="n">
        <f aca="false">IF('11 Stainless Steel'!$C$37="","",'11 Stainless Steel'!J37)</f>
        <v>262.5</v>
      </c>
      <c r="J549" s="58" t="n">
        <f aca="false">IF('11 Stainless Steel'!$C$37="","",'11 Stainless Steel'!K37)</f>
        <v>315</v>
      </c>
      <c r="K549" s="58" t="n">
        <f aca="false">IF('11 Stainless Steel'!$C$37="","",'11 Stainless Steel'!L37)</f>
        <v>330.75</v>
      </c>
      <c r="L549" s="57" t="str">
        <f aca="false">IF('11 Stainless Steel'!$C$37="","",'11 Stainless Steel'!M37)</f>
        <v>Indicative</v>
      </c>
      <c r="M549" s="59" t="str">
        <f aca="false">IF(D549="","",IF(AND(OR(Search!$C$6="All Categories",A549=Search!$C$6),OR(Search!$P$5="",ISNUMBER(SEARCH(" "&amp;Search!$P$5,N549))),OR(Search!$P$6="",ISNUMBER(SEARCH(" "&amp;Search!$P$6,N549))),OR(Search!$P$7="",ISNUMBER(SEARCH(" "&amp;Search!$P$7,N549))),OR(Search!$P$8="",ISNUMBER(SEARCH(" "&amp;Search!$P$8,N549))),OR(Search!$P$9="",ISNUMBER(SEARCH(" "&amp;Search!$P$9,N549))),OR(Search!$P$10="",ISNUMBER(SEARCH(" "&amp;Search!$P$10,N549)))),ROW(),""))</f>
        <v/>
      </c>
      <c r="N549" s="0" t="str">
        <f aca="false">IF(D549="",""," "&amp;SUBSTITUTE(SUBSTITUTE(SUBSTITUTE(SUBSTITUTE(SUBSTITUTE(SUBSTITUTE(SUBSTITUTE(B549&amp;" "&amp;C549&amp;" "&amp;D549&amp;" "&amp;E549&amp;" "&amp;F549&amp;" "&amp;G549&amp;" "&amp;H549&amp;" "&amp;'11 Stainless Steel'!R37,"("," "),")"," "),"/"," "),"-"," "),","," "),";"," "),":"," ")&amp;" ")</f>
        <v> SS 033 Linear Drains Linear shower drain   tile insert 600 mm  SS 304 Satin Local   Imported nos 600mm ss304 sus304 drain linear shower bathroom stainless steel </v>
      </c>
    </row>
    <row r="550" customFormat="false" ht="22.35" hidden="false" customHeight="false" outlineLevel="0" collapsed="false">
      <c r="A550" s="56" t="str">
        <f aca="false">IF('11 Stainless Steel'!$C$38="","","Stainless Steel (SS) - Tubes, Sheets &amp; Drains")</f>
        <v>Stainless Steel (SS) - Tubes, Sheets &amp; Drains</v>
      </c>
      <c r="B550" s="57" t="str">
        <f aca="false">IF('11 Stainless Steel'!$C$38="","",'11 Stainless Steel'!A38)</f>
        <v>SS-034</v>
      </c>
      <c r="C550" s="56" t="str">
        <f aca="false">IF('11 Stainless Steel'!$C$38="","",'11 Stainless Steel'!B38)</f>
        <v>Linear Drains</v>
      </c>
      <c r="D550" s="56" t="str">
        <f aca="false">IF('11 Stainless Steel'!$C$38="","",'11 Stainless Steel'!C38)</f>
        <v>Linear shower drain - tile insert</v>
      </c>
      <c r="E550" s="56" t="str">
        <f aca="false">IF('11 Stainless Steel'!$C$38="","",'11 Stainless Steel'!D38)</f>
        <v>800 mm, SS 304</v>
      </c>
      <c r="F550" s="56" t="str">
        <f aca="false">IF('11 Stainless Steel'!$C$38="","",'11 Stainless Steel'!E38)</f>
        <v>Satin</v>
      </c>
      <c r="G550" s="56" t="str">
        <f aca="false">IF('11 Stainless Steel'!$C$38="","",'11 Stainless Steel'!F38)</f>
        <v>Local / Imported</v>
      </c>
      <c r="H550" s="57" t="str">
        <f aca="false">IF('11 Stainless Steel'!$C$38="","",'11 Stainless Steel'!G38)</f>
        <v>nos</v>
      </c>
      <c r="I550" s="58" t="n">
        <f aca="false">IF('11 Stainless Steel'!$C$38="","",'11 Stainless Steel'!J38)</f>
        <v>315</v>
      </c>
      <c r="J550" s="58" t="n">
        <f aca="false">IF('11 Stainless Steel'!$C$38="","",'11 Stainless Steel'!K38)</f>
        <v>378</v>
      </c>
      <c r="K550" s="58" t="n">
        <f aca="false">IF('11 Stainless Steel'!$C$38="","",'11 Stainless Steel'!L38)</f>
        <v>396.9</v>
      </c>
      <c r="L550" s="57" t="str">
        <f aca="false">IF('11 Stainless Steel'!$C$38="","",'11 Stainless Steel'!M38)</f>
        <v>Indicative</v>
      </c>
      <c r="M550" s="59" t="str">
        <f aca="false">IF(D550="","",IF(AND(OR(Search!$C$6="All Categories",A550=Search!$C$6),OR(Search!$P$5="",ISNUMBER(SEARCH(" "&amp;Search!$P$5,N550))),OR(Search!$P$6="",ISNUMBER(SEARCH(" "&amp;Search!$P$6,N550))),OR(Search!$P$7="",ISNUMBER(SEARCH(" "&amp;Search!$P$7,N550))),OR(Search!$P$8="",ISNUMBER(SEARCH(" "&amp;Search!$P$8,N550))),OR(Search!$P$9="",ISNUMBER(SEARCH(" "&amp;Search!$P$9,N550))),OR(Search!$P$10="",ISNUMBER(SEARCH(" "&amp;Search!$P$10,N550)))),ROW(),""))</f>
        <v/>
      </c>
      <c r="N550" s="0" t="str">
        <f aca="false">IF(D550="",""," "&amp;SUBSTITUTE(SUBSTITUTE(SUBSTITUTE(SUBSTITUTE(SUBSTITUTE(SUBSTITUTE(SUBSTITUTE(B550&amp;" "&amp;C550&amp;" "&amp;D550&amp;" "&amp;E550&amp;" "&amp;F550&amp;" "&amp;G550&amp;" "&amp;H550&amp;" "&amp;'11 Stainless Steel'!R38,"("," "),")"," "),"/"," "),"-"," "),","," "),";"," "),":"," ")&amp;" ")</f>
        <v> SS 034 Linear Drains Linear shower drain   tile insert 800 mm  SS 304 Satin Local   Imported nos 800mm ss304 sus304 drain linear shower bathroom stainless steel </v>
      </c>
    </row>
    <row r="551" customFormat="false" ht="22.35" hidden="false" customHeight="false" outlineLevel="0" collapsed="false">
      <c r="A551" s="56" t="str">
        <f aca="false">IF('11 Stainless Steel'!$C$39="","","Stainless Steel (SS) - Tubes, Sheets &amp; Drains")</f>
        <v>Stainless Steel (SS) - Tubes, Sheets &amp; Drains</v>
      </c>
      <c r="B551" s="57" t="str">
        <f aca="false">IF('11 Stainless Steel'!$C$39="","",'11 Stainless Steel'!A39)</f>
        <v>SS-035</v>
      </c>
      <c r="C551" s="56" t="str">
        <f aca="false">IF('11 Stainless Steel'!$C$39="","",'11 Stainless Steel'!B39)</f>
        <v>Linear Drains</v>
      </c>
      <c r="D551" s="56" t="str">
        <f aca="false">IF('11 Stainless Steel'!$C$39="","",'11 Stainless Steel'!C39)</f>
        <v>Linear shower drain - tile insert</v>
      </c>
      <c r="E551" s="56" t="str">
        <f aca="false">IF('11 Stainless Steel'!$C$39="","",'11 Stainless Steel'!D39)</f>
        <v>1000 mm, SS 304</v>
      </c>
      <c r="F551" s="56" t="str">
        <f aca="false">IF('11 Stainless Steel'!$C$39="","",'11 Stainless Steel'!E39)</f>
        <v>Satin</v>
      </c>
      <c r="G551" s="56" t="str">
        <f aca="false">IF('11 Stainless Steel'!$C$39="","",'11 Stainless Steel'!F39)</f>
        <v>Local / Imported</v>
      </c>
      <c r="H551" s="57" t="str">
        <f aca="false">IF('11 Stainless Steel'!$C$39="","",'11 Stainless Steel'!G39)</f>
        <v>nos</v>
      </c>
      <c r="I551" s="58" t="n">
        <f aca="false">IF('11 Stainless Steel'!$C$39="","",'11 Stainless Steel'!J39)</f>
        <v>399</v>
      </c>
      <c r="J551" s="58" t="n">
        <f aca="false">IF('11 Stainless Steel'!$C$39="","",'11 Stainless Steel'!K39)</f>
        <v>478.8</v>
      </c>
      <c r="K551" s="58" t="n">
        <f aca="false">IF('11 Stainless Steel'!$C$39="","",'11 Stainless Steel'!L39)</f>
        <v>502.74</v>
      </c>
      <c r="L551" s="57" t="str">
        <f aca="false">IF('11 Stainless Steel'!$C$39="","",'11 Stainless Steel'!M39)</f>
        <v>Indicative</v>
      </c>
      <c r="M551" s="59" t="str">
        <f aca="false">IF(D551="","",IF(AND(OR(Search!$C$6="All Categories",A551=Search!$C$6),OR(Search!$P$5="",ISNUMBER(SEARCH(" "&amp;Search!$P$5,N551))),OR(Search!$P$6="",ISNUMBER(SEARCH(" "&amp;Search!$P$6,N551))),OR(Search!$P$7="",ISNUMBER(SEARCH(" "&amp;Search!$P$7,N551))),OR(Search!$P$8="",ISNUMBER(SEARCH(" "&amp;Search!$P$8,N551))),OR(Search!$P$9="",ISNUMBER(SEARCH(" "&amp;Search!$P$9,N551))),OR(Search!$P$10="",ISNUMBER(SEARCH(" "&amp;Search!$P$10,N551)))),ROW(),""))</f>
        <v/>
      </c>
      <c r="N551" s="0" t="str">
        <f aca="false">IF(D551="",""," "&amp;SUBSTITUTE(SUBSTITUTE(SUBSTITUTE(SUBSTITUTE(SUBSTITUTE(SUBSTITUTE(SUBSTITUTE(B551&amp;" "&amp;C551&amp;" "&amp;D551&amp;" "&amp;E551&amp;" "&amp;F551&amp;" "&amp;G551&amp;" "&amp;H551&amp;" "&amp;'11 Stainless Steel'!R39,"("," "),")"," "),"/"," "),"-"," "),","," "),";"," "),":"," ")&amp;" ")</f>
        <v> SS 035 Linear Drains Linear shower drain   tile insert 1000 mm  SS 304 Satin Local   Imported nos 1000mm ss304 sus304 drain linear shower bathroom stainless steel </v>
      </c>
    </row>
    <row r="552" customFormat="false" ht="22.35" hidden="false" customHeight="false" outlineLevel="0" collapsed="false">
      <c r="A552" s="56" t="str">
        <f aca="false">IF('11 Stainless Steel'!$C$40="","","Stainless Steel (SS) - Tubes, Sheets &amp; Drains")</f>
        <v>Stainless Steel (SS) - Tubes, Sheets &amp; Drains</v>
      </c>
      <c r="B552" s="57" t="str">
        <f aca="false">IF('11 Stainless Steel'!$C$40="","",'11 Stainless Steel'!A40)</f>
        <v>SS-036</v>
      </c>
      <c r="C552" s="56" t="str">
        <f aca="false">IF('11 Stainless Steel'!$C$40="","",'11 Stainless Steel'!B40)</f>
        <v>Linear Drains</v>
      </c>
      <c r="D552" s="56" t="str">
        <f aca="false">IF('11 Stainless Steel'!$C$40="","",'11 Stainless Steel'!C40)</f>
        <v>Linear drain - slotted / grated cover</v>
      </c>
      <c r="E552" s="56" t="str">
        <f aca="false">IF('11 Stainless Steel'!$C$40="","",'11 Stainless Steel'!D40)</f>
        <v>800 mm, SS 304</v>
      </c>
      <c r="F552" s="56" t="str">
        <f aca="false">IF('11 Stainless Steel'!$C$40="","",'11 Stainless Steel'!E40)</f>
        <v>Satin</v>
      </c>
      <c r="G552" s="56" t="str">
        <f aca="false">IF('11 Stainless Steel'!$C$40="","",'11 Stainless Steel'!F40)</f>
        <v>Local / Imported</v>
      </c>
      <c r="H552" s="57" t="str">
        <f aca="false">IF('11 Stainless Steel'!$C$40="","",'11 Stainless Steel'!G40)</f>
        <v>nos</v>
      </c>
      <c r="I552" s="58" t="n">
        <f aca="false">IF('11 Stainless Steel'!$C$40="","",'11 Stainless Steel'!J40)</f>
        <v>294</v>
      </c>
      <c r="J552" s="58" t="n">
        <f aca="false">IF('11 Stainless Steel'!$C$40="","",'11 Stainless Steel'!K40)</f>
        <v>352.8</v>
      </c>
      <c r="K552" s="58" t="n">
        <f aca="false">IF('11 Stainless Steel'!$C$40="","",'11 Stainless Steel'!L40)</f>
        <v>370.44</v>
      </c>
      <c r="L552" s="57" t="str">
        <f aca="false">IF('11 Stainless Steel'!$C$40="","",'11 Stainless Steel'!M40)</f>
        <v>Indicative</v>
      </c>
      <c r="M552" s="59" t="str">
        <f aca="false">IF(D552="","",IF(AND(OR(Search!$C$6="All Categories",A552=Search!$C$6),OR(Search!$P$5="",ISNUMBER(SEARCH(" "&amp;Search!$P$5,N552))),OR(Search!$P$6="",ISNUMBER(SEARCH(" "&amp;Search!$P$6,N552))),OR(Search!$P$7="",ISNUMBER(SEARCH(" "&amp;Search!$P$7,N552))),OR(Search!$P$8="",ISNUMBER(SEARCH(" "&amp;Search!$P$8,N552))),OR(Search!$P$9="",ISNUMBER(SEARCH(" "&amp;Search!$P$9,N552))),OR(Search!$P$10="",ISNUMBER(SEARCH(" "&amp;Search!$P$10,N552)))),ROW(),""))</f>
        <v/>
      </c>
      <c r="N552" s="0" t="str">
        <f aca="false">IF(D552="",""," "&amp;SUBSTITUTE(SUBSTITUTE(SUBSTITUTE(SUBSTITUTE(SUBSTITUTE(SUBSTITUTE(SUBSTITUTE(B552&amp;" "&amp;C552&amp;" "&amp;D552&amp;" "&amp;E552&amp;" "&amp;F552&amp;" "&amp;G552&amp;" "&amp;H552&amp;" "&amp;'11 Stainless Steel'!R40,"("," "),")"," "),"/"," "),"-"," "),","," "),";"," "),":"," ")&amp;" ")</f>
        <v> SS 036 Linear Drains Linear drain   slotted   grated cover 800 mm  SS 304 Satin Local   Imported nos 800mm ss304 sus304 drain linear shower stainless steel </v>
      </c>
    </row>
    <row r="553" customFormat="false" ht="22.35" hidden="false" customHeight="false" outlineLevel="0" collapsed="false">
      <c r="A553" s="56" t="str">
        <f aca="false">IF('11 Stainless Steel'!$C$41="","","Stainless Steel (SS) - Tubes, Sheets &amp; Drains")</f>
        <v>Stainless Steel (SS) - Tubes, Sheets &amp; Drains</v>
      </c>
      <c r="B553" s="57" t="str">
        <f aca="false">IF('11 Stainless Steel'!$C$41="","",'11 Stainless Steel'!A41)</f>
        <v>SS-037</v>
      </c>
      <c r="C553" s="56" t="str">
        <f aca="false">IF('11 Stainless Steel'!$C$41="","",'11 Stainless Steel'!B41)</f>
        <v>Linear Drains</v>
      </c>
      <c r="D553" s="56" t="str">
        <f aca="false">IF('11 Stainless Steel'!$C$41="","",'11 Stainless Steel'!C41)</f>
        <v>Linear drain - custom fabricated</v>
      </c>
      <c r="E553" s="56" t="str">
        <f aca="false">IF('11 Stainless Steel'!$C$41="","",'11 Stainless Steel'!D41)</f>
        <v>SS 316, 1.5 mm, per lm</v>
      </c>
      <c r="F553" s="56" t="str">
        <f aca="false">IF('11 Stainless Steel'!$C$41="","",'11 Stainless Steel'!E41)</f>
        <v>Satin</v>
      </c>
      <c r="G553" s="56" t="str">
        <f aca="false">IF('11 Stainless Steel'!$C$41="","",'11 Stainless Steel'!F41)</f>
        <v>Local fabrication</v>
      </c>
      <c r="H553" s="57" t="str">
        <f aca="false">IF('11 Stainless Steel'!$C$41="","",'11 Stainless Steel'!G41)</f>
        <v>lm</v>
      </c>
      <c r="I553" s="58" t="n">
        <f aca="false">IF('11 Stainless Steel'!$C$41="","",'11 Stainless Steel'!J41)</f>
        <v>472.5</v>
      </c>
      <c r="J553" s="58" t="n">
        <f aca="false">IF('11 Stainless Steel'!$C$41="","",'11 Stainless Steel'!K41)</f>
        <v>567</v>
      </c>
      <c r="K553" s="58" t="n">
        <f aca="false">IF('11 Stainless Steel'!$C$41="","",'11 Stainless Steel'!L41)</f>
        <v>595.35</v>
      </c>
      <c r="L553" s="57" t="str">
        <f aca="false">IF('11 Stainless Steel'!$C$41="","",'11 Stainless Steel'!M41)</f>
        <v>Indicative</v>
      </c>
      <c r="M553" s="59" t="str">
        <f aca="false">IF(D553="","",IF(AND(OR(Search!$C$6="All Categories",A553=Search!$C$6),OR(Search!$P$5="",ISNUMBER(SEARCH(" "&amp;Search!$P$5,N553))),OR(Search!$P$6="",ISNUMBER(SEARCH(" "&amp;Search!$P$6,N553))),OR(Search!$P$7="",ISNUMBER(SEARCH(" "&amp;Search!$P$7,N553))),OR(Search!$P$8="",ISNUMBER(SEARCH(" "&amp;Search!$P$8,N553))),OR(Search!$P$9="",ISNUMBER(SEARCH(" "&amp;Search!$P$9,N553))),OR(Search!$P$10="",ISNUMBER(SEARCH(" "&amp;Search!$P$10,N553)))),ROW(),""))</f>
        <v/>
      </c>
      <c r="N553" s="0" t="str">
        <f aca="false">IF(D553="",""," "&amp;SUBSTITUTE(SUBSTITUTE(SUBSTITUTE(SUBSTITUTE(SUBSTITUTE(SUBSTITUTE(SUBSTITUTE(B553&amp;" "&amp;C553&amp;" "&amp;D553&amp;" "&amp;E553&amp;" "&amp;F553&amp;" "&amp;G553&amp;" "&amp;H553&amp;" "&amp;'11 Stainless Steel'!R41,"("," "),")"," "),"/"," "),"-"," "),","," "),";"," "),":"," ")&amp;" ")</f>
        <v> SS 037 Linear Drains Linear drain   custom fabricated SS 316  1.5 mm  per lm Satin Local fabrication lm 1.5mm ss316 sus316 drain linear shower stainless steel </v>
      </c>
    </row>
    <row r="554" customFormat="false" ht="22.35" hidden="false" customHeight="false" outlineLevel="0" collapsed="false">
      <c r="A554" s="56" t="str">
        <f aca="false">IF('11 Stainless Steel'!$C$42="","","Stainless Steel (SS) - Tubes, Sheets &amp; Drains")</f>
        <v>Stainless Steel (SS) - Tubes, Sheets &amp; Drains</v>
      </c>
      <c r="B554" s="57" t="str">
        <f aca="false">IF('11 Stainless Steel'!$C$42="","",'11 Stainless Steel'!A42)</f>
        <v>SS-038</v>
      </c>
      <c r="C554" s="56" t="str">
        <f aca="false">IF('11 Stainless Steel'!$C$42="","",'11 Stainless Steel'!B42)</f>
        <v>Linear Drains</v>
      </c>
      <c r="D554" s="56" t="str">
        <f aca="false">IF('11 Stainless Steel'!$C$42="","",'11 Stainless Steel'!C42)</f>
        <v>Heavy-duty trench drain grating</v>
      </c>
      <c r="E554" s="56" t="str">
        <f aca="false">IF('11 Stainless Steel'!$C$42="","",'11 Stainless Steel'!D42)</f>
        <v>SS 304, 150 mm wide</v>
      </c>
      <c r="F554" s="56" t="str">
        <f aca="false">IF('11 Stainless Steel'!$C$42="","",'11 Stainless Steel'!E42)</f>
        <v>Satin</v>
      </c>
      <c r="G554" s="56" t="str">
        <f aca="false">IF('11 Stainless Steel'!$C$42="","",'11 Stainless Steel'!F42)</f>
        <v>Local fabrication</v>
      </c>
      <c r="H554" s="57" t="str">
        <f aca="false">IF('11 Stainless Steel'!$C$42="","",'11 Stainless Steel'!G42)</f>
        <v>lm</v>
      </c>
      <c r="I554" s="58" t="n">
        <f aca="false">IF('11 Stainless Steel'!$C$42="","",'11 Stainless Steel'!J42)</f>
        <v>682.5</v>
      </c>
      <c r="J554" s="58" t="n">
        <f aca="false">IF('11 Stainless Steel'!$C$42="","",'11 Stainless Steel'!K42)</f>
        <v>819</v>
      </c>
      <c r="K554" s="58" t="n">
        <f aca="false">IF('11 Stainless Steel'!$C$42="","",'11 Stainless Steel'!L42)</f>
        <v>859.95</v>
      </c>
      <c r="L554" s="57" t="str">
        <f aca="false">IF('11 Stainless Steel'!$C$42="","",'11 Stainless Steel'!M42)</f>
        <v>Indicative</v>
      </c>
      <c r="M554" s="59" t="str">
        <f aca="false">IF(D554="","",IF(AND(OR(Search!$C$6="All Categories",A554=Search!$C$6),OR(Search!$P$5="",ISNUMBER(SEARCH(" "&amp;Search!$P$5,N554))),OR(Search!$P$6="",ISNUMBER(SEARCH(" "&amp;Search!$P$6,N554))),OR(Search!$P$7="",ISNUMBER(SEARCH(" "&amp;Search!$P$7,N554))),OR(Search!$P$8="",ISNUMBER(SEARCH(" "&amp;Search!$P$8,N554))),OR(Search!$P$9="",ISNUMBER(SEARCH(" "&amp;Search!$P$9,N554))),OR(Search!$P$10="",ISNUMBER(SEARCH(" "&amp;Search!$P$10,N554)))),ROW(),""))</f>
        <v/>
      </c>
      <c r="N554" s="0" t="str">
        <f aca="false">IF(D554="",""," "&amp;SUBSTITUTE(SUBSTITUTE(SUBSTITUTE(SUBSTITUTE(SUBSTITUTE(SUBSTITUTE(SUBSTITUTE(B554&amp;" "&amp;C554&amp;" "&amp;D554&amp;" "&amp;E554&amp;" "&amp;F554&amp;" "&amp;G554&amp;" "&amp;H554&amp;" "&amp;'11 Stainless Steel'!R42,"("," "),")"," "),"/"," "),"-"," "),","," "),";"," "),":"," ")&amp;" ")</f>
        <v> SS 038 Linear Drains Heavy duty trench drain grating SS 304  150 mm wide Satin Local fabrication lm 150mm ss304 sus304 drain linear shower stainless steel </v>
      </c>
    </row>
    <row r="555" customFormat="false" ht="22.35" hidden="false" customHeight="false" outlineLevel="0" collapsed="false">
      <c r="A555" s="56" t="str">
        <f aca="false">IF('11 Stainless Steel'!$C$43="","","Stainless Steel (SS) - Tubes, Sheets &amp; Drains")</f>
        <v>Stainless Steel (SS) - Tubes, Sheets &amp; Drains</v>
      </c>
      <c r="B555" s="57" t="str">
        <f aca="false">IF('11 Stainless Steel'!$C$43="","",'11 Stainless Steel'!A43)</f>
        <v>SS-039</v>
      </c>
      <c r="C555" s="56" t="str">
        <f aca="false">IF('11 Stainless Steel'!$C$43="","",'11 Stainless Steel'!B43)</f>
        <v>Misc. SS Items</v>
      </c>
      <c r="D555" s="56" t="str">
        <f aca="false">IF('11 Stainless Steel'!$C$43="","",'11 Stainless Steel'!C43)</f>
        <v>SS corner guard / edge trim</v>
      </c>
      <c r="E555" s="56" t="str">
        <f aca="false">IF('11 Stainless Steel'!$C$43="","",'11 Stainless Steel'!D43)</f>
        <v>1.0 mm, 50 x 50</v>
      </c>
      <c r="F555" s="56" t="str">
        <f aca="false">IF('11 Stainless Steel'!$C$43="","",'11 Stainless Steel'!E43)</f>
        <v>SS 304 hairline</v>
      </c>
      <c r="G555" s="56" t="str">
        <f aca="false">IF('11 Stainless Steel'!$C$43="","",'11 Stainless Steel'!F43)</f>
        <v>Local</v>
      </c>
      <c r="H555" s="57" t="str">
        <f aca="false">IF('11 Stainless Steel'!$C$43="","",'11 Stainless Steel'!G43)</f>
        <v>lm</v>
      </c>
      <c r="I555" s="58" t="n">
        <f aca="false">IF('11 Stainless Steel'!$C$43="","",'11 Stainless Steel'!J43)</f>
        <v>47.25</v>
      </c>
      <c r="J555" s="58" t="n">
        <f aca="false">IF('11 Stainless Steel'!$C$43="","",'11 Stainless Steel'!K43)</f>
        <v>56.7</v>
      </c>
      <c r="K555" s="58" t="n">
        <f aca="false">IF('11 Stainless Steel'!$C$43="","",'11 Stainless Steel'!L43)</f>
        <v>59.54</v>
      </c>
      <c r="L555" s="57" t="str">
        <f aca="false">IF('11 Stainless Steel'!$C$43="","",'11 Stainless Steel'!M43)</f>
        <v>Indicative</v>
      </c>
      <c r="M555" s="59" t="str">
        <f aca="false">IF(D555="","",IF(AND(OR(Search!$C$6="All Categories",A555=Search!$C$6),OR(Search!$P$5="",ISNUMBER(SEARCH(" "&amp;Search!$P$5,N555))),OR(Search!$P$6="",ISNUMBER(SEARCH(" "&amp;Search!$P$6,N555))),OR(Search!$P$7="",ISNUMBER(SEARCH(" "&amp;Search!$P$7,N555))),OR(Search!$P$8="",ISNUMBER(SEARCH(" "&amp;Search!$P$8,N555))),OR(Search!$P$9="",ISNUMBER(SEARCH(" "&amp;Search!$P$9,N555))),OR(Search!$P$10="",ISNUMBER(SEARCH(" "&amp;Search!$P$10,N555)))),ROW(),""))</f>
        <v/>
      </c>
      <c r="N555" s="0" t="str">
        <f aca="false">IF(D555="",""," "&amp;SUBSTITUTE(SUBSTITUTE(SUBSTITUTE(SUBSTITUTE(SUBSTITUTE(SUBSTITUTE(SUBSTITUTE(B555&amp;" "&amp;C555&amp;" "&amp;D555&amp;" "&amp;E555&amp;" "&amp;F555&amp;" "&amp;G555&amp;" "&amp;H555&amp;" "&amp;'11 Stainless Steel'!R43,"("," "),")"," "),"/"," "),"-"," "),","," "),";"," "),":"," ")&amp;" ")</f>
        <v> SS 039 Misc. SS Items SS corner guard   edge trim 1.0 mm  50 x 50 SS 304 hairline Local lm 50x50 1.0mm ss304 sus304 satin brushed stainless steel mild </v>
      </c>
    </row>
    <row r="556" customFormat="false" ht="22.35" hidden="false" customHeight="false" outlineLevel="0" collapsed="false">
      <c r="A556" s="56" t="str">
        <f aca="false">IF('11 Stainless Steel'!$C$44="","","Stainless Steel (SS) - Tubes, Sheets &amp; Drains")</f>
        <v>Stainless Steel (SS) - Tubes, Sheets &amp; Drains</v>
      </c>
      <c r="B556" s="57" t="str">
        <f aca="false">IF('11 Stainless Steel'!$C$44="","",'11 Stainless Steel'!A44)</f>
        <v>SS-040</v>
      </c>
      <c r="C556" s="56" t="str">
        <f aca="false">IF('11 Stainless Steel'!$C$44="","",'11 Stainless Steel'!B44)</f>
        <v>Misc. SS Items</v>
      </c>
      <c r="D556" s="56" t="str">
        <f aca="false">IF('11 Stainless Steel'!$C$44="","",'11 Stainless Steel'!C44)</f>
        <v>SS skirting / kick plate</v>
      </c>
      <c r="E556" s="56" t="str">
        <f aca="false">IF('11 Stainless Steel'!$C$44="","",'11 Stainless Steel'!D44)</f>
        <v>1.2 mm, 150 mm high</v>
      </c>
      <c r="F556" s="56" t="str">
        <f aca="false">IF('11 Stainless Steel'!$C$44="","",'11 Stainless Steel'!E44)</f>
        <v>SS 304 hairline</v>
      </c>
      <c r="G556" s="56" t="str">
        <f aca="false">IF('11 Stainless Steel'!$C$44="","",'11 Stainless Steel'!F44)</f>
        <v>Local</v>
      </c>
      <c r="H556" s="57" t="str">
        <f aca="false">IF('11 Stainless Steel'!$C$44="","",'11 Stainless Steel'!G44)</f>
        <v>lm</v>
      </c>
      <c r="I556" s="58" t="n">
        <f aca="false">IF('11 Stainless Steel'!$C$44="","",'11 Stainless Steel'!J44)</f>
        <v>63</v>
      </c>
      <c r="J556" s="58" t="n">
        <f aca="false">IF('11 Stainless Steel'!$C$44="","",'11 Stainless Steel'!K44)</f>
        <v>75.6</v>
      </c>
      <c r="K556" s="58" t="n">
        <f aca="false">IF('11 Stainless Steel'!$C$44="","",'11 Stainless Steel'!L44)</f>
        <v>79.38</v>
      </c>
      <c r="L556" s="57" t="str">
        <f aca="false">IF('11 Stainless Steel'!$C$44="","",'11 Stainless Steel'!M44)</f>
        <v>Indicative</v>
      </c>
      <c r="M556" s="59" t="str">
        <f aca="false">IF(D556="","",IF(AND(OR(Search!$C$6="All Categories",A556=Search!$C$6),OR(Search!$P$5="",ISNUMBER(SEARCH(" "&amp;Search!$P$5,N556))),OR(Search!$P$6="",ISNUMBER(SEARCH(" "&amp;Search!$P$6,N556))),OR(Search!$P$7="",ISNUMBER(SEARCH(" "&amp;Search!$P$7,N556))),OR(Search!$P$8="",ISNUMBER(SEARCH(" "&amp;Search!$P$8,N556))),OR(Search!$P$9="",ISNUMBER(SEARCH(" "&amp;Search!$P$9,N556))),OR(Search!$P$10="",ISNUMBER(SEARCH(" "&amp;Search!$P$10,N556)))),ROW(),""))</f>
        <v/>
      </c>
      <c r="N556" s="0" t="str">
        <f aca="false">IF(D556="",""," "&amp;SUBSTITUTE(SUBSTITUTE(SUBSTITUTE(SUBSTITUTE(SUBSTITUTE(SUBSTITUTE(SUBSTITUTE(B556&amp;" "&amp;C556&amp;" "&amp;D556&amp;" "&amp;E556&amp;" "&amp;F556&amp;" "&amp;G556&amp;" "&amp;H556&amp;" "&amp;'11 Stainless Steel'!R44,"("," "),")"," "),"/"," "),"-"," "),","," "),";"," "),":"," ")&amp;" ")</f>
        <v> SS 040 Misc. SS Items SS skirting   kick plate 1.2 mm  150 mm high SS 304 hairline Local lm 1.2mm 150mm ss304 sus304 satin brushed stainless steel mild </v>
      </c>
    </row>
    <row r="557" customFormat="false" ht="22.35" hidden="false" customHeight="false" outlineLevel="0" collapsed="false">
      <c r="A557" s="56" t="str">
        <f aca="false">IF('11 Stainless Steel'!$C$45="","","Stainless Steel (SS) - Tubes, Sheets &amp; Drains")</f>
        <v>Stainless Steel (SS) - Tubes, Sheets &amp; Drains</v>
      </c>
      <c r="B557" s="57" t="str">
        <f aca="false">IF('11 Stainless Steel'!$C$45="","",'11 Stainless Steel'!A45)</f>
        <v>SS-041</v>
      </c>
      <c r="C557" s="56" t="str">
        <f aca="false">IF('11 Stainless Steel'!$C$45="","",'11 Stainless Steel'!B45)</f>
        <v>Misc. SS Items</v>
      </c>
      <c r="D557" s="56" t="str">
        <f aca="false">IF('11 Stainless Steel'!$C$45="","",'11 Stainless Steel'!C45)</f>
        <v>SS tile trim / profile</v>
      </c>
      <c r="E557" s="56" t="str">
        <f aca="false">IF('11 Stainless Steel'!$C$45="","",'11 Stainless Steel'!D45)</f>
        <v>10-12 mm</v>
      </c>
      <c r="F557" s="56" t="str">
        <f aca="false">IF('11 Stainless Steel'!$C$45="","",'11 Stainless Steel'!E45)</f>
        <v>SS 304</v>
      </c>
      <c r="G557" s="56" t="str">
        <f aca="false">IF('11 Stainless Steel'!$C$45="","",'11 Stainless Steel'!F45)</f>
        <v>Local / Imported</v>
      </c>
      <c r="H557" s="57" t="str">
        <f aca="false">IF('11 Stainless Steel'!$C$45="","",'11 Stainless Steel'!G45)</f>
        <v>lm</v>
      </c>
      <c r="I557" s="58" t="n">
        <f aca="false">IF('11 Stainless Steel'!$C$45="","",'11 Stainless Steel'!J45)</f>
        <v>23.1</v>
      </c>
      <c r="J557" s="58" t="n">
        <f aca="false">IF('11 Stainless Steel'!$C$45="","",'11 Stainless Steel'!K45)</f>
        <v>27.72</v>
      </c>
      <c r="K557" s="58" t="n">
        <f aca="false">IF('11 Stainless Steel'!$C$45="","",'11 Stainless Steel'!L45)</f>
        <v>29.11</v>
      </c>
      <c r="L557" s="57" t="str">
        <f aca="false">IF('11 Stainless Steel'!$C$45="","",'11 Stainless Steel'!M45)</f>
        <v>Indicative</v>
      </c>
      <c r="M557" s="59" t="str">
        <f aca="false">IF(D557="","",IF(AND(OR(Search!$C$6="All Categories",A557=Search!$C$6),OR(Search!$P$5="",ISNUMBER(SEARCH(" "&amp;Search!$P$5,N557))),OR(Search!$P$6="",ISNUMBER(SEARCH(" "&amp;Search!$P$6,N557))),OR(Search!$P$7="",ISNUMBER(SEARCH(" "&amp;Search!$P$7,N557))),OR(Search!$P$8="",ISNUMBER(SEARCH(" "&amp;Search!$P$8,N557))),OR(Search!$P$9="",ISNUMBER(SEARCH(" "&amp;Search!$P$9,N557))),OR(Search!$P$10="",ISNUMBER(SEARCH(" "&amp;Search!$P$10,N557)))),ROW(),""))</f>
        <v/>
      </c>
      <c r="N557" s="0" t="str">
        <f aca="false">IF(D557="",""," "&amp;SUBSTITUTE(SUBSTITUTE(SUBSTITUTE(SUBSTITUTE(SUBSTITUTE(SUBSTITUTE(SUBSTITUTE(B557&amp;" "&amp;C557&amp;" "&amp;D557&amp;" "&amp;E557&amp;" "&amp;F557&amp;" "&amp;G557&amp;" "&amp;H557&amp;" "&amp;'11 Stainless Steel'!R45,"("," "),")"," "),"/"," "),"-"," "),","," "),";"," "),":"," ")&amp;" ")</f>
        <v> SS 041 Misc. SS Items SS tile trim   profile 10 12 mm SS 304 Local   Imported lm 12mm ss304 sus304 stainless steel mild </v>
      </c>
    </row>
    <row r="558" customFormat="false" ht="22.35" hidden="false" customHeight="false" outlineLevel="0" collapsed="false">
      <c r="A558" s="56" t="str">
        <f aca="false">IF('11 Stainless Steel'!$C$46="","","Stainless Steel (SS) - Tubes, Sheets &amp; Drains")</f>
        <v>Stainless Steel (SS) - Tubes, Sheets &amp; Drains</v>
      </c>
      <c r="B558" s="57" t="str">
        <f aca="false">IF('11 Stainless Steel'!$C$46="","",'11 Stainless Steel'!A46)</f>
        <v>SS-042</v>
      </c>
      <c r="C558" s="56" t="str">
        <f aca="false">IF('11 Stainless Steel'!$C$46="","",'11 Stainless Steel'!B46)</f>
        <v>Misc. SS Items</v>
      </c>
      <c r="D558" s="56" t="str">
        <f aca="false">IF('11 Stainless Steel'!$C$46="","",'11 Stainless Steel'!C46)</f>
        <v>SS access / manhole cover (recessed)</v>
      </c>
      <c r="E558" s="56" t="str">
        <f aca="false">IF('11 Stainless Steel'!$C$46="","",'11 Stainless Steel'!D46)</f>
        <v>600 x 600 mm</v>
      </c>
      <c r="F558" s="56" t="str">
        <f aca="false">IF('11 Stainless Steel'!$C$46="","",'11 Stainless Steel'!E46)</f>
        <v>SS 304</v>
      </c>
      <c r="G558" s="56" t="str">
        <f aca="false">IF('11 Stainless Steel'!$C$46="","",'11 Stainless Steel'!F46)</f>
        <v>Local / Imported</v>
      </c>
      <c r="H558" s="57" t="str">
        <f aca="false">IF('11 Stainless Steel'!$C$46="","",'11 Stainless Steel'!G46)</f>
        <v>nos</v>
      </c>
      <c r="I558" s="58" t="n">
        <f aca="false">IF('11 Stainless Steel'!$C$46="","",'11 Stainless Steel'!J46)</f>
        <v>997.5</v>
      </c>
      <c r="J558" s="58" t="n">
        <f aca="false">IF('11 Stainless Steel'!$C$46="","",'11 Stainless Steel'!K46)</f>
        <v>1197</v>
      </c>
      <c r="K558" s="58" t="n">
        <f aca="false">IF('11 Stainless Steel'!$C$46="","",'11 Stainless Steel'!L46)</f>
        <v>1256.85</v>
      </c>
      <c r="L558" s="57" t="str">
        <f aca="false">IF('11 Stainless Steel'!$C$46="","",'11 Stainless Steel'!M46)</f>
        <v>Indicative</v>
      </c>
      <c r="M558" s="59" t="str">
        <f aca="false">IF(D558="","",IF(AND(OR(Search!$C$6="All Categories",A558=Search!$C$6),OR(Search!$P$5="",ISNUMBER(SEARCH(" "&amp;Search!$P$5,N558))),OR(Search!$P$6="",ISNUMBER(SEARCH(" "&amp;Search!$P$6,N558))),OR(Search!$P$7="",ISNUMBER(SEARCH(" "&amp;Search!$P$7,N558))),OR(Search!$P$8="",ISNUMBER(SEARCH(" "&amp;Search!$P$8,N558))),OR(Search!$P$9="",ISNUMBER(SEARCH(" "&amp;Search!$P$9,N558))),OR(Search!$P$10="",ISNUMBER(SEARCH(" "&amp;Search!$P$10,N558)))),ROW(),""))</f>
        <v/>
      </c>
      <c r="N558" s="0" t="str">
        <f aca="false">IF(D558="",""," "&amp;SUBSTITUTE(SUBSTITUTE(SUBSTITUTE(SUBSTITUTE(SUBSTITUTE(SUBSTITUTE(SUBSTITUTE(B558&amp;" "&amp;C558&amp;" "&amp;D558&amp;" "&amp;E558&amp;" "&amp;F558&amp;" "&amp;G558&amp;" "&amp;H558&amp;" "&amp;'11 Stainless Steel'!R46,"("," "),")"," "),"/"," "),"-"," "),","," "),";"," "),":"," ")&amp;" ")</f>
        <v> SS 042 Misc. SS Items SS access   manhole cover  recessed  600 x 600 mm SS 304 Local   Imported nos 600x600 600mm ss304 sus304 stainless steel mild </v>
      </c>
    </row>
    <row r="559" customFormat="false" ht="15" hidden="false" customHeight="false" outlineLevel="0" collapsed="false">
      <c r="A559" s="56" t="str">
        <f aca="false">IF('11 Stainless Steel'!$C$47="","","Stainless Steel (SS) - Tubes, Sheets &amp; Drains")</f>
        <v/>
      </c>
      <c r="B559" s="57" t="str">
        <f aca="false">IF('11 Stainless Steel'!$C$47="","",'11 Stainless Steel'!A47)</f>
        <v/>
      </c>
      <c r="C559" s="56" t="str">
        <f aca="false">IF('11 Stainless Steel'!$C$47="","",'11 Stainless Steel'!B47)</f>
        <v/>
      </c>
      <c r="D559" s="56" t="str">
        <f aca="false">IF('11 Stainless Steel'!$C$47="","",'11 Stainless Steel'!C47)</f>
        <v/>
      </c>
      <c r="E559" s="56" t="str">
        <f aca="false">IF('11 Stainless Steel'!$C$47="","",'11 Stainless Steel'!D47)</f>
        <v/>
      </c>
      <c r="F559" s="56" t="str">
        <f aca="false">IF('11 Stainless Steel'!$C$47="","",'11 Stainless Steel'!E47)</f>
        <v/>
      </c>
      <c r="G559" s="56" t="str">
        <f aca="false">IF('11 Stainless Steel'!$C$47="","",'11 Stainless Steel'!F47)</f>
        <v/>
      </c>
      <c r="H559" s="57" t="str">
        <f aca="false">IF('11 Stainless Steel'!$C$47="","",'11 Stainless Steel'!G47)</f>
        <v/>
      </c>
      <c r="I559" s="58" t="str">
        <f aca="false">IF('11 Stainless Steel'!$C$47="","",'11 Stainless Steel'!J47)</f>
        <v/>
      </c>
      <c r="J559" s="58" t="str">
        <f aca="false">IF('11 Stainless Steel'!$C$47="","",'11 Stainless Steel'!K47)</f>
        <v/>
      </c>
      <c r="K559" s="58" t="str">
        <f aca="false">IF('11 Stainless Steel'!$C$47="","",'11 Stainless Steel'!L47)</f>
        <v/>
      </c>
      <c r="L559" s="57" t="str">
        <f aca="false">IF('11 Stainless Steel'!$C$47="","",'11 Stainless Steel'!M47)</f>
        <v/>
      </c>
      <c r="M559" s="59" t="str">
        <f aca="false">IF(D559="","",IF(AND(OR(Search!$C$6="All Categories",A559=Search!$C$6),OR(Search!$P$5="",ISNUMBER(SEARCH(" "&amp;Search!$P$5,N559))),OR(Search!$P$6="",ISNUMBER(SEARCH(" "&amp;Search!$P$6,N559))),OR(Search!$P$7="",ISNUMBER(SEARCH(" "&amp;Search!$P$7,N559))),OR(Search!$P$8="",ISNUMBER(SEARCH(" "&amp;Search!$P$8,N559))),OR(Search!$P$9="",ISNUMBER(SEARCH(" "&amp;Search!$P$9,N559))),OR(Search!$P$10="",ISNUMBER(SEARCH(" "&amp;Search!$P$10,N559)))),ROW(),""))</f>
        <v/>
      </c>
      <c r="N559" s="0" t="str">
        <f aca="false">IF(D559="",""," "&amp;SUBSTITUTE(SUBSTITUTE(SUBSTITUTE(SUBSTITUTE(SUBSTITUTE(SUBSTITUTE(SUBSTITUTE(B559&amp;" "&amp;C559&amp;" "&amp;D559&amp;" "&amp;E559&amp;" "&amp;F559&amp;" "&amp;G559&amp;" "&amp;H559&amp;" "&amp;'11 Stainless Steel'!R47,"("," "),")"," "),"/"," "),"-"," "),","," "),";"," "),":"," ")&amp;" ")</f>
        <v/>
      </c>
    </row>
    <row r="560" customFormat="false" ht="15" hidden="false" customHeight="false" outlineLevel="0" collapsed="false">
      <c r="A560" s="56" t="str">
        <f aca="false">IF('11 Stainless Steel'!$C$48="","","Stainless Steel (SS) - Tubes, Sheets &amp; Drains")</f>
        <v/>
      </c>
      <c r="B560" s="57" t="str">
        <f aca="false">IF('11 Stainless Steel'!$C$48="","",'11 Stainless Steel'!A48)</f>
        <v/>
      </c>
      <c r="C560" s="56" t="str">
        <f aca="false">IF('11 Stainless Steel'!$C$48="","",'11 Stainless Steel'!B48)</f>
        <v/>
      </c>
      <c r="D560" s="56" t="str">
        <f aca="false">IF('11 Stainless Steel'!$C$48="","",'11 Stainless Steel'!C48)</f>
        <v/>
      </c>
      <c r="E560" s="56" t="str">
        <f aca="false">IF('11 Stainless Steel'!$C$48="","",'11 Stainless Steel'!D48)</f>
        <v/>
      </c>
      <c r="F560" s="56" t="str">
        <f aca="false">IF('11 Stainless Steel'!$C$48="","",'11 Stainless Steel'!E48)</f>
        <v/>
      </c>
      <c r="G560" s="56" t="str">
        <f aca="false">IF('11 Stainless Steel'!$C$48="","",'11 Stainless Steel'!F48)</f>
        <v/>
      </c>
      <c r="H560" s="57" t="str">
        <f aca="false">IF('11 Stainless Steel'!$C$48="","",'11 Stainless Steel'!G48)</f>
        <v/>
      </c>
      <c r="I560" s="58" t="str">
        <f aca="false">IF('11 Stainless Steel'!$C$48="","",'11 Stainless Steel'!J48)</f>
        <v/>
      </c>
      <c r="J560" s="58" t="str">
        <f aca="false">IF('11 Stainless Steel'!$C$48="","",'11 Stainless Steel'!K48)</f>
        <v/>
      </c>
      <c r="K560" s="58" t="str">
        <f aca="false">IF('11 Stainless Steel'!$C$48="","",'11 Stainless Steel'!L48)</f>
        <v/>
      </c>
      <c r="L560" s="57" t="str">
        <f aca="false">IF('11 Stainless Steel'!$C$48="","",'11 Stainless Steel'!M48)</f>
        <v/>
      </c>
      <c r="M560" s="59" t="str">
        <f aca="false">IF(D560="","",IF(AND(OR(Search!$C$6="All Categories",A560=Search!$C$6),OR(Search!$P$5="",ISNUMBER(SEARCH(" "&amp;Search!$P$5,N560))),OR(Search!$P$6="",ISNUMBER(SEARCH(" "&amp;Search!$P$6,N560))),OR(Search!$P$7="",ISNUMBER(SEARCH(" "&amp;Search!$P$7,N560))),OR(Search!$P$8="",ISNUMBER(SEARCH(" "&amp;Search!$P$8,N560))),OR(Search!$P$9="",ISNUMBER(SEARCH(" "&amp;Search!$P$9,N560))),OR(Search!$P$10="",ISNUMBER(SEARCH(" "&amp;Search!$P$10,N560)))),ROW(),""))</f>
        <v/>
      </c>
      <c r="N560" s="0" t="str">
        <f aca="false">IF(D560="",""," "&amp;SUBSTITUTE(SUBSTITUTE(SUBSTITUTE(SUBSTITUTE(SUBSTITUTE(SUBSTITUTE(SUBSTITUTE(B560&amp;" "&amp;C560&amp;" "&amp;D560&amp;" "&amp;E560&amp;" "&amp;F560&amp;" "&amp;G560&amp;" "&amp;H560&amp;" "&amp;'11 Stainless Steel'!R48,"("," "),")"," "),"/"," "),"-"," "),","," "),";"," "),":"," ")&amp;" ")</f>
        <v/>
      </c>
    </row>
    <row r="561" customFormat="false" ht="15" hidden="false" customHeight="false" outlineLevel="0" collapsed="false">
      <c r="A561" s="56" t="str">
        <f aca="false">IF('11 Stainless Steel'!$C$49="","","Stainless Steel (SS) - Tubes, Sheets &amp; Drains")</f>
        <v/>
      </c>
      <c r="B561" s="57" t="str">
        <f aca="false">IF('11 Stainless Steel'!$C$49="","",'11 Stainless Steel'!A49)</f>
        <v/>
      </c>
      <c r="C561" s="56" t="str">
        <f aca="false">IF('11 Stainless Steel'!$C$49="","",'11 Stainless Steel'!B49)</f>
        <v/>
      </c>
      <c r="D561" s="56" t="str">
        <f aca="false">IF('11 Stainless Steel'!$C$49="","",'11 Stainless Steel'!C49)</f>
        <v/>
      </c>
      <c r="E561" s="56" t="str">
        <f aca="false">IF('11 Stainless Steel'!$C$49="","",'11 Stainless Steel'!D49)</f>
        <v/>
      </c>
      <c r="F561" s="56" t="str">
        <f aca="false">IF('11 Stainless Steel'!$C$49="","",'11 Stainless Steel'!E49)</f>
        <v/>
      </c>
      <c r="G561" s="56" t="str">
        <f aca="false">IF('11 Stainless Steel'!$C$49="","",'11 Stainless Steel'!F49)</f>
        <v/>
      </c>
      <c r="H561" s="57" t="str">
        <f aca="false">IF('11 Stainless Steel'!$C$49="","",'11 Stainless Steel'!G49)</f>
        <v/>
      </c>
      <c r="I561" s="58" t="str">
        <f aca="false">IF('11 Stainless Steel'!$C$49="","",'11 Stainless Steel'!J49)</f>
        <v/>
      </c>
      <c r="J561" s="58" t="str">
        <f aca="false">IF('11 Stainless Steel'!$C$49="","",'11 Stainless Steel'!K49)</f>
        <v/>
      </c>
      <c r="K561" s="58" t="str">
        <f aca="false">IF('11 Stainless Steel'!$C$49="","",'11 Stainless Steel'!L49)</f>
        <v/>
      </c>
      <c r="L561" s="57" t="str">
        <f aca="false">IF('11 Stainless Steel'!$C$49="","",'11 Stainless Steel'!M49)</f>
        <v/>
      </c>
      <c r="M561" s="59" t="str">
        <f aca="false">IF(D561="","",IF(AND(OR(Search!$C$6="All Categories",A561=Search!$C$6),OR(Search!$P$5="",ISNUMBER(SEARCH(" "&amp;Search!$P$5,N561))),OR(Search!$P$6="",ISNUMBER(SEARCH(" "&amp;Search!$P$6,N561))),OR(Search!$P$7="",ISNUMBER(SEARCH(" "&amp;Search!$P$7,N561))),OR(Search!$P$8="",ISNUMBER(SEARCH(" "&amp;Search!$P$8,N561))),OR(Search!$P$9="",ISNUMBER(SEARCH(" "&amp;Search!$P$9,N561))),OR(Search!$P$10="",ISNUMBER(SEARCH(" "&amp;Search!$P$10,N561)))),ROW(),""))</f>
        <v/>
      </c>
      <c r="N561" s="0" t="str">
        <f aca="false">IF(D561="",""," "&amp;SUBSTITUTE(SUBSTITUTE(SUBSTITUTE(SUBSTITUTE(SUBSTITUTE(SUBSTITUTE(SUBSTITUTE(B561&amp;" "&amp;C561&amp;" "&amp;D561&amp;" "&amp;E561&amp;" "&amp;F561&amp;" "&amp;G561&amp;" "&amp;H561&amp;" "&amp;'11 Stainless Steel'!R49,"("," "),")"," "),"/"," "),"-"," "),","," "),";"," "),":"," ")&amp;" ")</f>
        <v/>
      </c>
    </row>
    <row r="562" customFormat="false" ht="15" hidden="false" customHeight="false" outlineLevel="0" collapsed="false">
      <c r="A562" s="56" t="str">
        <f aca="false">IF('11 Stainless Steel'!$C$50="","","Stainless Steel (SS) - Tubes, Sheets &amp; Drains")</f>
        <v/>
      </c>
      <c r="B562" s="57" t="str">
        <f aca="false">IF('11 Stainless Steel'!$C$50="","",'11 Stainless Steel'!A50)</f>
        <v/>
      </c>
      <c r="C562" s="56" t="str">
        <f aca="false">IF('11 Stainless Steel'!$C$50="","",'11 Stainless Steel'!B50)</f>
        <v/>
      </c>
      <c r="D562" s="56" t="str">
        <f aca="false">IF('11 Stainless Steel'!$C$50="","",'11 Stainless Steel'!C50)</f>
        <v/>
      </c>
      <c r="E562" s="56" t="str">
        <f aca="false">IF('11 Stainless Steel'!$C$50="","",'11 Stainless Steel'!D50)</f>
        <v/>
      </c>
      <c r="F562" s="56" t="str">
        <f aca="false">IF('11 Stainless Steel'!$C$50="","",'11 Stainless Steel'!E50)</f>
        <v/>
      </c>
      <c r="G562" s="56" t="str">
        <f aca="false">IF('11 Stainless Steel'!$C$50="","",'11 Stainless Steel'!F50)</f>
        <v/>
      </c>
      <c r="H562" s="57" t="str">
        <f aca="false">IF('11 Stainless Steel'!$C$50="","",'11 Stainless Steel'!G50)</f>
        <v/>
      </c>
      <c r="I562" s="58" t="str">
        <f aca="false">IF('11 Stainless Steel'!$C$50="","",'11 Stainless Steel'!J50)</f>
        <v/>
      </c>
      <c r="J562" s="58" t="str">
        <f aca="false">IF('11 Stainless Steel'!$C$50="","",'11 Stainless Steel'!K50)</f>
        <v/>
      </c>
      <c r="K562" s="58" t="str">
        <f aca="false">IF('11 Stainless Steel'!$C$50="","",'11 Stainless Steel'!L50)</f>
        <v/>
      </c>
      <c r="L562" s="57" t="str">
        <f aca="false">IF('11 Stainless Steel'!$C$50="","",'11 Stainless Steel'!M50)</f>
        <v/>
      </c>
      <c r="M562" s="59" t="str">
        <f aca="false">IF(D562="","",IF(AND(OR(Search!$C$6="All Categories",A562=Search!$C$6),OR(Search!$P$5="",ISNUMBER(SEARCH(" "&amp;Search!$P$5,N562))),OR(Search!$P$6="",ISNUMBER(SEARCH(" "&amp;Search!$P$6,N562))),OR(Search!$P$7="",ISNUMBER(SEARCH(" "&amp;Search!$P$7,N562))),OR(Search!$P$8="",ISNUMBER(SEARCH(" "&amp;Search!$P$8,N562))),OR(Search!$P$9="",ISNUMBER(SEARCH(" "&amp;Search!$P$9,N562))),OR(Search!$P$10="",ISNUMBER(SEARCH(" "&amp;Search!$P$10,N562)))),ROW(),""))</f>
        <v/>
      </c>
      <c r="N562" s="0" t="str">
        <f aca="false">IF(D562="",""," "&amp;SUBSTITUTE(SUBSTITUTE(SUBSTITUTE(SUBSTITUTE(SUBSTITUTE(SUBSTITUTE(SUBSTITUTE(B562&amp;" "&amp;C562&amp;" "&amp;D562&amp;" "&amp;E562&amp;" "&amp;F562&amp;" "&amp;G562&amp;" "&amp;H562&amp;" "&amp;'11 Stainless Steel'!R50,"("," "),")"," "),"/"," "),"-"," "),","," "),";"," "),":"," ")&amp;" ")</f>
        <v/>
      </c>
    </row>
    <row r="563" customFormat="false" ht="15" hidden="false" customHeight="false" outlineLevel="0" collapsed="false">
      <c r="A563" s="56" t="str">
        <f aca="false">IF('11 Stainless Steel'!$C$51="","","Stainless Steel (SS) - Tubes, Sheets &amp; Drains")</f>
        <v/>
      </c>
      <c r="B563" s="57" t="str">
        <f aca="false">IF('11 Stainless Steel'!$C$51="","",'11 Stainless Steel'!A51)</f>
        <v/>
      </c>
      <c r="C563" s="56" t="str">
        <f aca="false">IF('11 Stainless Steel'!$C$51="","",'11 Stainless Steel'!B51)</f>
        <v/>
      </c>
      <c r="D563" s="56" t="str">
        <f aca="false">IF('11 Stainless Steel'!$C$51="","",'11 Stainless Steel'!C51)</f>
        <v/>
      </c>
      <c r="E563" s="56" t="str">
        <f aca="false">IF('11 Stainless Steel'!$C$51="","",'11 Stainless Steel'!D51)</f>
        <v/>
      </c>
      <c r="F563" s="56" t="str">
        <f aca="false">IF('11 Stainless Steel'!$C$51="","",'11 Stainless Steel'!E51)</f>
        <v/>
      </c>
      <c r="G563" s="56" t="str">
        <f aca="false">IF('11 Stainless Steel'!$C$51="","",'11 Stainless Steel'!F51)</f>
        <v/>
      </c>
      <c r="H563" s="57" t="str">
        <f aca="false">IF('11 Stainless Steel'!$C$51="","",'11 Stainless Steel'!G51)</f>
        <v/>
      </c>
      <c r="I563" s="58" t="str">
        <f aca="false">IF('11 Stainless Steel'!$C$51="","",'11 Stainless Steel'!J51)</f>
        <v/>
      </c>
      <c r="J563" s="58" t="str">
        <f aca="false">IF('11 Stainless Steel'!$C$51="","",'11 Stainless Steel'!K51)</f>
        <v/>
      </c>
      <c r="K563" s="58" t="str">
        <f aca="false">IF('11 Stainless Steel'!$C$51="","",'11 Stainless Steel'!L51)</f>
        <v/>
      </c>
      <c r="L563" s="57" t="str">
        <f aca="false">IF('11 Stainless Steel'!$C$51="","",'11 Stainless Steel'!M51)</f>
        <v/>
      </c>
      <c r="M563" s="59" t="str">
        <f aca="false">IF(D563="","",IF(AND(OR(Search!$C$6="All Categories",A563=Search!$C$6),OR(Search!$P$5="",ISNUMBER(SEARCH(" "&amp;Search!$P$5,N563))),OR(Search!$P$6="",ISNUMBER(SEARCH(" "&amp;Search!$P$6,N563))),OR(Search!$P$7="",ISNUMBER(SEARCH(" "&amp;Search!$P$7,N563))),OR(Search!$P$8="",ISNUMBER(SEARCH(" "&amp;Search!$P$8,N563))),OR(Search!$P$9="",ISNUMBER(SEARCH(" "&amp;Search!$P$9,N563))),OR(Search!$P$10="",ISNUMBER(SEARCH(" "&amp;Search!$P$10,N563)))),ROW(),""))</f>
        <v/>
      </c>
      <c r="N563" s="0" t="str">
        <f aca="false">IF(D563="",""," "&amp;SUBSTITUTE(SUBSTITUTE(SUBSTITUTE(SUBSTITUTE(SUBSTITUTE(SUBSTITUTE(SUBSTITUTE(B563&amp;" "&amp;C563&amp;" "&amp;D563&amp;" "&amp;E563&amp;" "&amp;F563&amp;" "&amp;G563&amp;" "&amp;H563&amp;" "&amp;'11 Stainless Steel'!R51,"("," "),")"," "),"/"," "),"-"," "),","," "),";"," "),":"," ")&amp;" ")</f>
        <v/>
      </c>
    </row>
    <row r="564" customFormat="false" ht="15" hidden="false" customHeight="false" outlineLevel="0" collapsed="false">
      <c r="A564" s="56" t="str">
        <f aca="false">IF('11 Stainless Steel'!$C$52="","","Stainless Steel (SS) - Tubes, Sheets &amp; Drains")</f>
        <v/>
      </c>
      <c r="B564" s="57" t="str">
        <f aca="false">IF('11 Stainless Steel'!$C$52="","",'11 Stainless Steel'!A52)</f>
        <v/>
      </c>
      <c r="C564" s="56" t="str">
        <f aca="false">IF('11 Stainless Steel'!$C$52="","",'11 Stainless Steel'!B52)</f>
        <v/>
      </c>
      <c r="D564" s="56" t="str">
        <f aca="false">IF('11 Stainless Steel'!$C$52="","",'11 Stainless Steel'!C52)</f>
        <v/>
      </c>
      <c r="E564" s="56" t="str">
        <f aca="false">IF('11 Stainless Steel'!$C$52="","",'11 Stainless Steel'!D52)</f>
        <v/>
      </c>
      <c r="F564" s="56" t="str">
        <f aca="false">IF('11 Stainless Steel'!$C$52="","",'11 Stainless Steel'!E52)</f>
        <v/>
      </c>
      <c r="G564" s="56" t="str">
        <f aca="false">IF('11 Stainless Steel'!$C$52="","",'11 Stainless Steel'!F52)</f>
        <v/>
      </c>
      <c r="H564" s="57" t="str">
        <f aca="false">IF('11 Stainless Steel'!$C$52="","",'11 Stainless Steel'!G52)</f>
        <v/>
      </c>
      <c r="I564" s="58" t="str">
        <f aca="false">IF('11 Stainless Steel'!$C$52="","",'11 Stainless Steel'!J52)</f>
        <v/>
      </c>
      <c r="J564" s="58" t="str">
        <f aca="false">IF('11 Stainless Steel'!$C$52="","",'11 Stainless Steel'!K52)</f>
        <v/>
      </c>
      <c r="K564" s="58" t="str">
        <f aca="false">IF('11 Stainless Steel'!$C$52="","",'11 Stainless Steel'!L52)</f>
        <v/>
      </c>
      <c r="L564" s="57" t="str">
        <f aca="false">IF('11 Stainless Steel'!$C$52="","",'11 Stainless Steel'!M52)</f>
        <v/>
      </c>
      <c r="M564" s="59" t="str">
        <f aca="false">IF(D564="","",IF(AND(OR(Search!$C$6="All Categories",A564=Search!$C$6),OR(Search!$P$5="",ISNUMBER(SEARCH(" "&amp;Search!$P$5,N564))),OR(Search!$P$6="",ISNUMBER(SEARCH(" "&amp;Search!$P$6,N564))),OR(Search!$P$7="",ISNUMBER(SEARCH(" "&amp;Search!$P$7,N564))),OR(Search!$P$8="",ISNUMBER(SEARCH(" "&amp;Search!$P$8,N564))),OR(Search!$P$9="",ISNUMBER(SEARCH(" "&amp;Search!$P$9,N564))),OR(Search!$P$10="",ISNUMBER(SEARCH(" "&amp;Search!$P$10,N564)))),ROW(),""))</f>
        <v/>
      </c>
      <c r="N564" s="0" t="str">
        <f aca="false">IF(D564="",""," "&amp;SUBSTITUTE(SUBSTITUTE(SUBSTITUTE(SUBSTITUTE(SUBSTITUTE(SUBSTITUTE(SUBSTITUTE(B564&amp;" "&amp;C564&amp;" "&amp;D564&amp;" "&amp;E564&amp;" "&amp;F564&amp;" "&amp;G564&amp;" "&amp;H564&amp;" "&amp;'11 Stainless Steel'!R52,"("," "),")"," "),"/"," "),"-"," "),","," "),";"," "),":"," ")&amp;" ")</f>
        <v/>
      </c>
    </row>
    <row r="565" customFormat="false" ht="15" hidden="false" customHeight="false" outlineLevel="0" collapsed="false">
      <c r="A565" s="56" t="str">
        <f aca="false">IF('11 Stainless Steel'!$C$53="","","Stainless Steel (SS) - Tubes, Sheets &amp; Drains")</f>
        <v/>
      </c>
      <c r="B565" s="57" t="str">
        <f aca="false">IF('11 Stainless Steel'!$C$53="","",'11 Stainless Steel'!A53)</f>
        <v/>
      </c>
      <c r="C565" s="56" t="str">
        <f aca="false">IF('11 Stainless Steel'!$C$53="","",'11 Stainless Steel'!B53)</f>
        <v/>
      </c>
      <c r="D565" s="56" t="str">
        <f aca="false">IF('11 Stainless Steel'!$C$53="","",'11 Stainless Steel'!C53)</f>
        <v/>
      </c>
      <c r="E565" s="56" t="str">
        <f aca="false">IF('11 Stainless Steel'!$C$53="","",'11 Stainless Steel'!D53)</f>
        <v/>
      </c>
      <c r="F565" s="56" t="str">
        <f aca="false">IF('11 Stainless Steel'!$C$53="","",'11 Stainless Steel'!E53)</f>
        <v/>
      </c>
      <c r="G565" s="56" t="str">
        <f aca="false">IF('11 Stainless Steel'!$C$53="","",'11 Stainless Steel'!F53)</f>
        <v/>
      </c>
      <c r="H565" s="57" t="str">
        <f aca="false">IF('11 Stainless Steel'!$C$53="","",'11 Stainless Steel'!G53)</f>
        <v/>
      </c>
      <c r="I565" s="58" t="str">
        <f aca="false">IF('11 Stainless Steel'!$C$53="","",'11 Stainless Steel'!J53)</f>
        <v/>
      </c>
      <c r="J565" s="58" t="str">
        <f aca="false">IF('11 Stainless Steel'!$C$53="","",'11 Stainless Steel'!K53)</f>
        <v/>
      </c>
      <c r="K565" s="58" t="str">
        <f aca="false">IF('11 Stainless Steel'!$C$53="","",'11 Stainless Steel'!L53)</f>
        <v/>
      </c>
      <c r="L565" s="57" t="str">
        <f aca="false">IF('11 Stainless Steel'!$C$53="","",'11 Stainless Steel'!M53)</f>
        <v/>
      </c>
      <c r="M565" s="59" t="str">
        <f aca="false">IF(D565="","",IF(AND(OR(Search!$C$6="All Categories",A565=Search!$C$6),OR(Search!$P$5="",ISNUMBER(SEARCH(" "&amp;Search!$P$5,N565))),OR(Search!$P$6="",ISNUMBER(SEARCH(" "&amp;Search!$P$6,N565))),OR(Search!$P$7="",ISNUMBER(SEARCH(" "&amp;Search!$P$7,N565))),OR(Search!$P$8="",ISNUMBER(SEARCH(" "&amp;Search!$P$8,N565))),OR(Search!$P$9="",ISNUMBER(SEARCH(" "&amp;Search!$P$9,N565))),OR(Search!$P$10="",ISNUMBER(SEARCH(" "&amp;Search!$P$10,N565)))),ROW(),""))</f>
        <v/>
      </c>
      <c r="N565" s="0" t="str">
        <f aca="false">IF(D565="",""," "&amp;SUBSTITUTE(SUBSTITUTE(SUBSTITUTE(SUBSTITUTE(SUBSTITUTE(SUBSTITUTE(SUBSTITUTE(B565&amp;" "&amp;C565&amp;" "&amp;D565&amp;" "&amp;E565&amp;" "&amp;F565&amp;" "&amp;G565&amp;" "&amp;H565&amp;" "&amp;'11 Stainless Steel'!R53,"("," "),")"," "),"/"," "),"-"," "),","," "),";"," "),":"," ")&amp;" ")</f>
        <v/>
      </c>
    </row>
    <row r="566" customFormat="false" ht="15" hidden="false" customHeight="false" outlineLevel="0" collapsed="false">
      <c r="A566" s="56" t="str">
        <f aca="false">IF('11 Stainless Steel'!$C$54="","","Stainless Steel (SS) - Tubes, Sheets &amp; Drains")</f>
        <v/>
      </c>
      <c r="B566" s="57" t="str">
        <f aca="false">IF('11 Stainless Steel'!$C$54="","",'11 Stainless Steel'!A54)</f>
        <v/>
      </c>
      <c r="C566" s="56" t="str">
        <f aca="false">IF('11 Stainless Steel'!$C$54="","",'11 Stainless Steel'!B54)</f>
        <v/>
      </c>
      <c r="D566" s="56" t="str">
        <f aca="false">IF('11 Stainless Steel'!$C$54="","",'11 Stainless Steel'!C54)</f>
        <v/>
      </c>
      <c r="E566" s="56" t="str">
        <f aca="false">IF('11 Stainless Steel'!$C$54="","",'11 Stainless Steel'!D54)</f>
        <v/>
      </c>
      <c r="F566" s="56" t="str">
        <f aca="false">IF('11 Stainless Steel'!$C$54="","",'11 Stainless Steel'!E54)</f>
        <v/>
      </c>
      <c r="G566" s="56" t="str">
        <f aca="false">IF('11 Stainless Steel'!$C$54="","",'11 Stainless Steel'!F54)</f>
        <v/>
      </c>
      <c r="H566" s="57" t="str">
        <f aca="false">IF('11 Stainless Steel'!$C$54="","",'11 Stainless Steel'!G54)</f>
        <v/>
      </c>
      <c r="I566" s="58" t="str">
        <f aca="false">IF('11 Stainless Steel'!$C$54="","",'11 Stainless Steel'!J54)</f>
        <v/>
      </c>
      <c r="J566" s="58" t="str">
        <f aca="false">IF('11 Stainless Steel'!$C$54="","",'11 Stainless Steel'!K54)</f>
        <v/>
      </c>
      <c r="K566" s="58" t="str">
        <f aca="false">IF('11 Stainless Steel'!$C$54="","",'11 Stainless Steel'!L54)</f>
        <v/>
      </c>
      <c r="L566" s="57" t="str">
        <f aca="false">IF('11 Stainless Steel'!$C$54="","",'11 Stainless Steel'!M54)</f>
        <v/>
      </c>
      <c r="M566" s="59" t="str">
        <f aca="false">IF(D566="","",IF(AND(OR(Search!$C$6="All Categories",A566=Search!$C$6),OR(Search!$P$5="",ISNUMBER(SEARCH(" "&amp;Search!$P$5,N566))),OR(Search!$P$6="",ISNUMBER(SEARCH(" "&amp;Search!$P$6,N566))),OR(Search!$P$7="",ISNUMBER(SEARCH(" "&amp;Search!$P$7,N566))),OR(Search!$P$8="",ISNUMBER(SEARCH(" "&amp;Search!$P$8,N566))),OR(Search!$P$9="",ISNUMBER(SEARCH(" "&amp;Search!$P$9,N566))),OR(Search!$P$10="",ISNUMBER(SEARCH(" "&amp;Search!$P$10,N566)))),ROW(),""))</f>
        <v/>
      </c>
      <c r="N566" s="0" t="str">
        <f aca="false">IF(D566="",""," "&amp;SUBSTITUTE(SUBSTITUTE(SUBSTITUTE(SUBSTITUTE(SUBSTITUTE(SUBSTITUTE(SUBSTITUTE(B566&amp;" "&amp;C566&amp;" "&amp;D566&amp;" "&amp;E566&amp;" "&amp;F566&amp;" "&amp;G566&amp;" "&amp;H566&amp;" "&amp;'11 Stainless Steel'!R54,"("," "),")"," "),"/"," "),"-"," "),","," "),";"," "),":"," ")&amp;" ")</f>
        <v/>
      </c>
    </row>
    <row r="567" customFormat="false" ht="15" hidden="false" customHeight="false" outlineLevel="0" collapsed="false">
      <c r="A567" s="56" t="str">
        <f aca="false">IF('11 Stainless Steel'!$C$55="","","Stainless Steel (SS) - Tubes, Sheets &amp; Drains")</f>
        <v/>
      </c>
      <c r="B567" s="57" t="str">
        <f aca="false">IF('11 Stainless Steel'!$C$55="","",'11 Stainless Steel'!A55)</f>
        <v/>
      </c>
      <c r="C567" s="56" t="str">
        <f aca="false">IF('11 Stainless Steel'!$C$55="","",'11 Stainless Steel'!B55)</f>
        <v/>
      </c>
      <c r="D567" s="56" t="str">
        <f aca="false">IF('11 Stainless Steel'!$C$55="","",'11 Stainless Steel'!C55)</f>
        <v/>
      </c>
      <c r="E567" s="56" t="str">
        <f aca="false">IF('11 Stainless Steel'!$C$55="","",'11 Stainless Steel'!D55)</f>
        <v/>
      </c>
      <c r="F567" s="56" t="str">
        <f aca="false">IF('11 Stainless Steel'!$C$55="","",'11 Stainless Steel'!E55)</f>
        <v/>
      </c>
      <c r="G567" s="56" t="str">
        <f aca="false">IF('11 Stainless Steel'!$C$55="","",'11 Stainless Steel'!F55)</f>
        <v/>
      </c>
      <c r="H567" s="57" t="str">
        <f aca="false">IF('11 Stainless Steel'!$C$55="","",'11 Stainless Steel'!G55)</f>
        <v/>
      </c>
      <c r="I567" s="58" t="str">
        <f aca="false">IF('11 Stainless Steel'!$C$55="","",'11 Stainless Steel'!J55)</f>
        <v/>
      </c>
      <c r="J567" s="58" t="str">
        <f aca="false">IF('11 Stainless Steel'!$C$55="","",'11 Stainless Steel'!K55)</f>
        <v/>
      </c>
      <c r="K567" s="58" t="str">
        <f aca="false">IF('11 Stainless Steel'!$C$55="","",'11 Stainless Steel'!L55)</f>
        <v/>
      </c>
      <c r="L567" s="57" t="str">
        <f aca="false">IF('11 Stainless Steel'!$C$55="","",'11 Stainless Steel'!M55)</f>
        <v/>
      </c>
      <c r="M567" s="59" t="str">
        <f aca="false">IF(D567="","",IF(AND(OR(Search!$C$6="All Categories",A567=Search!$C$6),OR(Search!$P$5="",ISNUMBER(SEARCH(" "&amp;Search!$P$5,N567))),OR(Search!$P$6="",ISNUMBER(SEARCH(" "&amp;Search!$P$6,N567))),OR(Search!$P$7="",ISNUMBER(SEARCH(" "&amp;Search!$P$7,N567))),OR(Search!$P$8="",ISNUMBER(SEARCH(" "&amp;Search!$P$8,N567))),OR(Search!$P$9="",ISNUMBER(SEARCH(" "&amp;Search!$P$9,N567))),OR(Search!$P$10="",ISNUMBER(SEARCH(" "&amp;Search!$P$10,N567)))),ROW(),""))</f>
        <v/>
      </c>
      <c r="N567" s="0" t="str">
        <f aca="false">IF(D567="",""," "&amp;SUBSTITUTE(SUBSTITUTE(SUBSTITUTE(SUBSTITUTE(SUBSTITUTE(SUBSTITUTE(SUBSTITUTE(B567&amp;" "&amp;C567&amp;" "&amp;D567&amp;" "&amp;E567&amp;" "&amp;F567&amp;" "&amp;G567&amp;" "&amp;H567&amp;" "&amp;'11 Stainless Steel'!R55,"("," "),")"," "),"/"," "),"-"," "),","," "),";"," "),":"," ")&amp;" ")</f>
        <v/>
      </c>
    </row>
    <row r="568" customFormat="false" ht="15" hidden="false" customHeight="false" outlineLevel="0" collapsed="false">
      <c r="A568" s="56" t="str">
        <f aca="false">IF('11 Stainless Steel'!$C$56="","","Stainless Steel (SS) - Tubes, Sheets &amp; Drains")</f>
        <v/>
      </c>
      <c r="B568" s="57" t="str">
        <f aca="false">IF('11 Stainless Steel'!$C$56="","",'11 Stainless Steel'!A56)</f>
        <v/>
      </c>
      <c r="C568" s="56" t="str">
        <f aca="false">IF('11 Stainless Steel'!$C$56="","",'11 Stainless Steel'!B56)</f>
        <v/>
      </c>
      <c r="D568" s="56" t="str">
        <f aca="false">IF('11 Stainless Steel'!$C$56="","",'11 Stainless Steel'!C56)</f>
        <v/>
      </c>
      <c r="E568" s="56" t="str">
        <f aca="false">IF('11 Stainless Steel'!$C$56="","",'11 Stainless Steel'!D56)</f>
        <v/>
      </c>
      <c r="F568" s="56" t="str">
        <f aca="false">IF('11 Stainless Steel'!$C$56="","",'11 Stainless Steel'!E56)</f>
        <v/>
      </c>
      <c r="G568" s="56" t="str">
        <f aca="false">IF('11 Stainless Steel'!$C$56="","",'11 Stainless Steel'!F56)</f>
        <v/>
      </c>
      <c r="H568" s="57" t="str">
        <f aca="false">IF('11 Stainless Steel'!$C$56="","",'11 Stainless Steel'!G56)</f>
        <v/>
      </c>
      <c r="I568" s="58" t="str">
        <f aca="false">IF('11 Stainless Steel'!$C$56="","",'11 Stainless Steel'!J56)</f>
        <v/>
      </c>
      <c r="J568" s="58" t="str">
        <f aca="false">IF('11 Stainless Steel'!$C$56="","",'11 Stainless Steel'!K56)</f>
        <v/>
      </c>
      <c r="K568" s="58" t="str">
        <f aca="false">IF('11 Stainless Steel'!$C$56="","",'11 Stainless Steel'!L56)</f>
        <v/>
      </c>
      <c r="L568" s="57" t="str">
        <f aca="false">IF('11 Stainless Steel'!$C$56="","",'11 Stainless Steel'!M56)</f>
        <v/>
      </c>
      <c r="M568" s="59" t="str">
        <f aca="false">IF(D568="","",IF(AND(OR(Search!$C$6="All Categories",A568=Search!$C$6),OR(Search!$P$5="",ISNUMBER(SEARCH(" "&amp;Search!$P$5,N568))),OR(Search!$P$6="",ISNUMBER(SEARCH(" "&amp;Search!$P$6,N568))),OR(Search!$P$7="",ISNUMBER(SEARCH(" "&amp;Search!$P$7,N568))),OR(Search!$P$8="",ISNUMBER(SEARCH(" "&amp;Search!$P$8,N568))),OR(Search!$P$9="",ISNUMBER(SEARCH(" "&amp;Search!$P$9,N568))),OR(Search!$P$10="",ISNUMBER(SEARCH(" "&amp;Search!$P$10,N568)))),ROW(),""))</f>
        <v/>
      </c>
      <c r="N568" s="0" t="str">
        <f aca="false">IF(D568="",""," "&amp;SUBSTITUTE(SUBSTITUTE(SUBSTITUTE(SUBSTITUTE(SUBSTITUTE(SUBSTITUTE(SUBSTITUTE(B568&amp;" "&amp;C568&amp;" "&amp;D568&amp;" "&amp;E568&amp;" "&amp;F568&amp;" "&amp;G568&amp;" "&amp;H568&amp;" "&amp;'11 Stainless Steel'!R56,"("," "),")"," "),"/"," "),"-"," "),","," "),";"," "),":"," ")&amp;" ")</f>
        <v/>
      </c>
    </row>
    <row r="569" customFormat="false" ht="15" hidden="false" customHeight="false" outlineLevel="0" collapsed="false">
      <c r="A569" s="56" t="str">
        <f aca="false">IF('11 Stainless Steel'!$C$57="","","Stainless Steel (SS) - Tubes, Sheets &amp; Drains")</f>
        <v/>
      </c>
      <c r="B569" s="57" t="str">
        <f aca="false">IF('11 Stainless Steel'!$C$57="","",'11 Stainless Steel'!A57)</f>
        <v/>
      </c>
      <c r="C569" s="56" t="str">
        <f aca="false">IF('11 Stainless Steel'!$C$57="","",'11 Stainless Steel'!B57)</f>
        <v/>
      </c>
      <c r="D569" s="56" t="str">
        <f aca="false">IF('11 Stainless Steel'!$C$57="","",'11 Stainless Steel'!C57)</f>
        <v/>
      </c>
      <c r="E569" s="56" t="str">
        <f aca="false">IF('11 Stainless Steel'!$C$57="","",'11 Stainless Steel'!D57)</f>
        <v/>
      </c>
      <c r="F569" s="56" t="str">
        <f aca="false">IF('11 Stainless Steel'!$C$57="","",'11 Stainless Steel'!E57)</f>
        <v/>
      </c>
      <c r="G569" s="56" t="str">
        <f aca="false">IF('11 Stainless Steel'!$C$57="","",'11 Stainless Steel'!F57)</f>
        <v/>
      </c>
      <c r="H569" s="57" t="str">
        <f aca="false">IF('11 Stainless Steel'!$C$57="","",'11 Stainless Steel'!G57)</f>
        <v/>
      </c>
      <c r="I569" s="58" t="str">
        <f aca="false">IF('11 Stainless Steel'!$C$57="","",'11 Stainless Steel'!J57)</f>
        <v/>
      </c>
      <c r="J569" s="58" t="str">
        <f aca="false">IF('11 Stainless Steel'!$C$57="","",'11 Stainless Steel'!K57)</f>
        <v/>
      </c>
      <c r="K569" s="58" t="str">
        <f aca="false">IF('11 Stainless Steel'!$C$57="","",'11 Stainless Steel'!L57)</f>
        <v/>
      </c>
      <c r="L569" s="57" t="str">
        <f aca="false">IF('11 Stainless Steel'!$C$57="","",'11 Stainless Steel'!M57)</f>
        <v/>
      </c>
      <c r="M569" s="59" t="str">
        <f aca="false">IF(D569="","",IF(AND(OR(Search!$C$6="All Categories",A569=Search!$C$6),OR(Search!$P$5="",ISNUMBER(SEARCH(" "&amp;Search!$P$5,N569))),OR(Search!$P$6="",ISNUMBER(SEARCH(" "&amp;Search!$P$6,N569))),OR(Search!$P$7="",ISNUMBER(SEARCH(" "&amp;Search!$P$7,N569))),OR(Search!$P$8="",ISNUMBER(SEARCH(" "&amp;Search!$P$8,N569))),OR(Search!$P$9="",ISNUMBER(SEARCH(" "&amp;Search!$P$9,N569))),OR(Search!$P$10="",ISNUMBER(SEARCH(" "&amp;Search!$P$10,N569)))),ROW(),""))</f>
        <v/>
      </c>
      <c r="N569" s="0" t="str">
        <f aca="false">IF(D569="",""," "&amp;SUBSTITUTE(SUBSTITUTE(SUBSTITUTE(SUBSTITUTE(SUBSTITUTE(SUBSTITUTE(SUBSTITUTE(B569&amp;" "&amp;C569&amp;" "&amp;D569&amp;" "&amp;E569&amp;" "&amp;F569&amp;" "&amp;G569&amp;" "&amp;H569&amp;" "&amp;'11 Stainless Steel'!R57,"("," "),")"," "),"/"," "),"-"," "),","," "),";"," "),":"," ")&amp;" ")</f>
        <v/>
      </c>
    </row>
    <row r="570" customFormat="false" ht="15" hidden="false" customHeight="false" outlineLevel="0" collapsed="false">
      <c r="A570" s="56" t="str">
        <f aca="false">IF('11 Stainless Steel'!$C$58="","","Stainless Steel (SS) - Tubes, Sheets &amp; Drains")</f>
        <v/>
      </c>
      <c r="B570" s="57" t="str">
        <f aca="false">IF('11 Stainless Steel'!$C$58="","",'11 Stainless Steel'!A58)</f>
        <v/>
      </c>
      <c r="C570" s="56" t="str">
        <f aca="false">IF('11 Stainless Steel'!$C$58="","",'11 Stainless Steel'!B58)</f>
        <v/>
      </c>
      <c r="D570" s="56" t="str">
        <f aca="false">IF('11 Stainless Steel'!$C$58="","",'11 Stainless Steel'!C58)</f>
        <v/>
      </c>
      <c r="E570" s="56" t="str">
        <f aca="false">IF('11 Stainless Steel'!$C$58="","",'11 Stainless Steel'!D58)</f>
        <v/>
      </c>
      <c r="F570" s="56" t="str">
        <f aca="false">IF('11 Stainless Steel'!$C$58="","",'11 Stainless Steel'!E58)</f>
        <v/>
      </c>
      <c r="G570" s="56" t="str">
        <f aca="false">IF('11 Stainless Steel'!$C$58="","",'11 Stainless Steel'!F58)</f>
        <v/>
      </c>
      <c r="H570" s="57" t="str">
        <f aca="false">IF('11 Stainless Steel'!$C$58="","",'11 Stainless Steel'!G58)</f>
        <v/>
      </c>
      <c r="I570" s="58" t="str">
        <f aca="false">IF('11 Stainless Steel'!$C$58="","",'11 Stainless Steel'!J58)</f>
        <v/>
      </c>
      <c r="J570" s="58" t="str">
        <f aca="false">IF('11 Stainless Steel'!$C$58="","",'11 Stainless Steel'!K58)</f>
        <v/>
      </c>
      <c r="K570" s="58" t="str">
        <f aca="false">IF('11 Stainless Steel'!$C$58="","",'11 Stainless Steel'!L58)</f>
        <v/>
      </c>
      <c r="L570" s="57" t="str">
        <f aca="false">IF('11 Stainless Steel'!$C$58="","",'11 Stainless Steel'!M58)</f>
        <v/>
      </c>
      <c r="M570" s="59" t="str">
        <f aca="false">IF(D570="","",IF(AND(OR(Search!$C$6="All Categories",A570=Search!$C$6),OR(Search!$P$5="",ISNUMBER(SEARCH(" "&amp;Search!$P$5,N570))),OR(Search!$P$6="",ISNUMBER(SEARCH(" "&amp;Search!$P$6,N570))),OR(Search!$P$7="",ISNUMBER(SEARCH(" "&amp;Search!$P$7,N570))),OR(Search!$P$8="",ISNUMBER(SEARCH(" "&amp;Search!$P$8,N570))),OR(Search!$P$9="",ISNUMBER(SEARCH(" "&amp;Search!$P$9,N570))),OR(Search!$P$10="",ISNUMBER(SEARCH(" "&amp;Search!$P$10,N570)))),ROW(),""))</f>
        <v/>
      </c>
      <c r="N570" s="0" t="str">
        <f aca="false">IF(D570="",""," "&amp;SUBSTITUTE(SUBSTITUTE(SUBSTITUTE(SUBSTITUTE(SUBSTITUTE(SUBSTITUTE(SUBSTITUTE(B570&amp;" "&amp;C570&amp;" "&amp;D570&amp;" "&amp;E570&amp;" "&amp;F570&amp;" "&amp;G570&amp;" "&amp;H570&amp;" "&amp;'11 Stainless Steel'!R58,"("," "),")"," "),"/"," "),"-"," "),","," "),";"," "),":"," ")&amp;" ")</f>
        <v/>
      </c>
    </row>
    <row r="571" customFormat="false" ht="15" hidden="false" customHeight="false" outlineLevel="0" collapsed="false">
      <c r="A571" s="56" t="str">
        <f aca="false">IF('11 Stainless Steel'!$C$59="","","Stainless Steel (SS) - Tubes, Sheets &amp; Drains")</f>
        <v/>
      </c>
      <c r="B571" s="57" t="str">
        <f aca="false">IF('11 Stainless Steel'!$C$59="","",'11 Stainless Steel'!A59)</f>
        <v/>
      </c>
      <c r="C571" s="56" t="str">
        <f aca="false">IF('11 Stainless Steel'!$C$59="","",'11 Stainless Steel'!B59)</f>
        <v/>
      </c>
      <c r="D571" s="56" t="str">
        <f aca="false">IF('11 Stainless Steel'!$C$59="","",'11 Stainless Steel'!C59)</f>
        <v/>
      </c>
      <c r="E571" s="56" t="str">
        <f aca="false">IF('11 Stainless Steel'!$C$59="","",'11 Stainless Steel'!D59)</f>
        <v/>
      </c>
      <c r="F571" s="56" t="str">
        <f aca="false">IF('11 Stainless Steel'!$C$59="","",'11 Stainless Steel'!E59)</f>
        <v/>
      </c>
      <c r="G571" s="56" t="str">
        <f aca="false">IF('11 Stainless Steel'!$C$59="","",'11 Stainless Steel'!F59)</f>
        <v/>
      </c>
      <c r="H571" s="57" t="str">
        <f aca="false">IF('11 Stainless Steel'!$C$59="","",'11 Stainless Steel'!G59)</f>
        <v/>
      </c>
      <c r="I571" s="58" t="str">
        <f aca="false">IF('11 Stainless Steel'!$C$59="","",'11 Stainless Steel'!J59)</f>
        <v/>
      </c>
      <c r="J571" s="58" t="str">
        <f aca="false">IF('11 Stainless Steel'!$C$59="","",'11 Stainless Steel'!K59)</f>
        <v/>
      </c>
      <c r="K571" s="58" t="str">
        <f aca="false">IF('11 Stainless Steel'!$C$59="","",'11 Stainless Steel'!L59)</f>
        <v/>
      </c>
      <c r="L571" s="57" t="str">
        <f aca="false">IF('11 Stainless Steel'!$C$59="","",'11 Stainless Steel'!M59)</f>
        <v/>
      </c>
      <c r="M571" s="59" t="str">
        <f aca="false">IF(D571="","",IF(AND(OR(Search!$C$6="All Categories",A571=Search!$C$6),OR(Search!$P$5="",ISNUMBER(SEARCH(" "&amp;Search!$P$5,N571))),OR(Search!$P$6="",ISNUMBER(SEARCH(" "&amp;Search!$P$6,N571))),OR(Search!$P$7="",ISNUMBER(SEARCH(" "&amp;Search!$P$7,N571))),OR(Search!$P$8="",ISNUMBER(SEARCH(" "&amp;Search!$P$8,N571))),OR(Search!$P$9="",ISNUMBER(SEARCH(" "&amp;Search!$P$9,N571))),OR(Search!$P$10="",ISNUMBER(SEARCH(" "&amp;Search!$P$10,N571)))),ROW(),""))</f>
        <v/>
      </c>
      <c r="N571" s="0" t="str">
        <f aca="false">IF(D571="",""," "&amp;SUBSTITUTE(SUBSTITUTE(SUBSTITUTE(SUBSTITUTE(SUBSTITUTE(SUBSTITUTE(SUBSTITUTE(B571&amp;" "&amp;C571&amp;" "&amp;D571&amp;" "&amp;E571&amp;" "&amp;F571&amp;" "&amp;G571&amp;" "&amp;H571&amp;" "&amp;'11 Stainless Steel'!R59,"("," "),")"," "),"/"," "),"-"," "),","," "),";"," "),":"," ")&amp;" ")</f>
        <v/>
      </c>
    </row>
    <row r="572" customFormat="false" ht="15" hidden="false" customHeight="false" outlineLevel="0" collapsed="false">
      <c r="A572" s="56" t="str">
        <f aca="false">IF('11 Stainless Steel'!$C$60="","","Stainless Steel (SS) - Tubes, Sheets &amp; Drains")</f>
        <v/>
      </c>
      <c r="B572" s="57" t="str">
        <f aca="false">IF('11 Stainless Steel'!$C$60="","",'11 Stainless Steel'!A60)</f>
        <v/>
      </c>
      <c r="C572" s="56" t="str">
        <f aca="false">IF('11 Stainless Steel'!$C$60="","",'11 Stainless Steel'!B60)</f>
        <v/>
      </c>
      <c r="D572" s="56" t="str">
        <f aca="false">IF('11 Stainless Steel'!$C$60="","",'11 Stainless Steel'!C60)</f>
        <v/>
      </c>
      <c r="E572" s="56" t="str">
        <f aca="false">IF('11 Stainless Steel'!$C$60="","",'11 Stainless Steel'!D60)</f>
        <v/>
      </c>
      <c r="F572" s="56" t="str">
        <f aca="false">IF('11 Stainless Steel'!$C$60="","",'11 Stainless Steel'!E60)</f>
        <v/>
      </c>
      <c r="G572" s="56" t="str">
        <f aca="false">IF('11 Stainless Steel'!$C$60="","",'11 Stainless Steel'!F60)</f>
        <v/>
      </c>
      <c r="H572" s="57" t="str">
        <f aca="false">IF('11 Stainless Steel'!$C$60="","",'11 Stainless Steel'!G60)</f>
        <v/>
      </c>
      <c r="I572" s="58" t="str">
        <f aca="false">IF('11 Stainless Steel'!$C$60="","",'11 Stainless Steel'!J60)</f>
        <v/>
      </c>
      <c r="J572" s="58" t="str">
        <f aca="false">IF('11 Stainless Steel'!$C$60="","",'11 Stainless Steel'!K60)</f>
        <v/>
      </c>
      <c r="K572" s="58" t="str">
        <f aca="false">IF('11 Stainless Steel'!$C$60="","",'11 Stainless Steel'!L60)</f>
        <v/>
      </c>
      <c r="L572" s="57" t="str">
        <f aca="false">IF('11 Stainless Steel'!$C$60="","",'11 Stainless Steel'!M60)</f>
        <v/>
      </c>
      <c r="M572" s="59" t="str">
        <f aca="false">IF(D572="","",IF(AND(OR(Search!$C$6="All Categories",A572=Search!$C$6),OR(Search!$P$5="",ISNUMBER(SEARCH(" "&amp;Search!$P$5,N572))),OR(Search!$P$6="",ISNUMBER(SEARCH(" "&amp;Search!$P$6,N572))),OR(Search!$P$7="",ISNUMBER(SEARCH(" "&amp;Search!$P$7,N572))),OR(Search!$P$8="",ISNUMBER(SEARCH(" "&amp;Search!$P$8,N572))),OR(Search!$P$9="",ISNUMBER(SEARCH(" "&amp;Search!$P$9,N572))),OR(Search!$P$10="",ISNUMBER(SEARCH(" "&amp;Search!$P$10,N572)))),ROW(),""))</f>
        <v/>
      </c>
      <c r="N572" s="0" t="str">
        <f aca="false">IF(D572="",""," "&amp;SUBSTITUTE(SUBSTITUTE(SUBSTITUTE(SUBSTITUTE(SUBSTITUTE(SUBSTITUTE(SUBSTITUTE(B572&amp;" "&amp;C572&amp;" "&amp;D572&amp;" "&amp;E572&amp;" "&amp;F572&amp;" "&amp;G572&amp;" "&amp;H572&amp;" "&amp;'11 Stainless Steel'!R60,"("," "),")"," "),"/"," "),"-"," "),","," "),";"," "),":"," ")&amp;" ")</f>
        <v/>
      </c>
    </row>
    <row r="573" customFormat="false" ht="15" hidden="false" customHeight="false" outlineLevel="0" collapsed="false">
      <c r="A573" s="56" t="str">
        <f aca="false">IF('11 Stainless Steel'!$C$61="","","Stainless Steel (SS) - Tubes, Sheets &amp; Drains")</f>
        <v/>
      </c>
      <c r="B573" s="57" t="str">
        <f aca="false">IF('11 Stainless Steel'!$C$61="","",'11 Stainless Steel'!A61)</f>
        <v/>
      </c>
      <c r="C573" s="56" t="str">
        <f aca="false">IF('11 Stainless Steel'!$C$61="","",'11 Stainless Steel'!B61)</f>
        <v/>
      </c>
      <c r="D573" s="56" t="str">
        <f aca="false">IF('11 Stainless Steel'!$C$61="","",'11 Stainless Steel'!C61)</f>
        <v/>
      </c>
      <c r="E573" s="56" t="str">
        <f aca="false">IF('11 Stainless Steel'!$C$61="","",'11 Stainless Steel'!D61)</f>
        <v/>
      </c>
      <c r="F573" s="56" t="str">
        <f aca="false">IF('11 Stainless Steel'!$C$61="","",'11 Stainless Steel'!E61)</f>
        <v/>
      </c>
      <c r="G573" s="56" t="str">
        <f aca="false">IF('11 Stainless Steel'!$C$61="","",'11 Stainless Steel'!F61)</f>
        <v/>
      </c>
      <c r="H573" s="57" t="str">
        <f aca="false">IF('11 Stainless Steel'!$C$61="","",'11 Stainless Steel'!G61)</f>
        <v/>
      </c>
      <c r="I573" s="58" t="str">
        <f aca="false">IF('11 Stainless Steel'!$C$61="","",'11 Stainless Steel'!J61)</f>
        <v/>
      </c>
      <c r="J573" s="58" t="str">
        <f aca="false">IF('11 Stainless Steel'!$C$61="","",'11 Stainless Steel'!K61)</f>
        <v/>
      </c>
      <c r="K573" s="58" t="str">
        <f aca="false">IF('11 Stainless Steel'!$C$61="","",'11 Stainless Steel'!L61)</f>
        <v/>
      </c>
      <c r="L573" s="57" t="str">
        <f aca="false">IF('11 Stainless Steel'!$C$61="","",'11 Stainless Steel'!M61)</f>
        <v/>
      </c>
      <c r="M573" s="59" t="str">
        <f aca="false">IF(D573="","",IF(AND(OR(Search!$C$6="All Categories",A573=Search!$C$6),OR(Search!$P$5="",ISNUMBER(SEARCH(" "&amp;Search!$P$5,N573))),OR(Search!$P$6="",ISNUMBER(SEARCH(" "&amp;Search!$P$6,N573))),OR(Search!$P$7="",ISNUMBER(SEARCH(" "&amp;Search!$P$7,N573))),OR(Search!$P$8="",ISNUMBER(SEARCH(" "&amp;Search!$P$8,N573))),OR(Search!$P$9="",ISNUMBER(SEARCH(" "&amp;Search!$P$9,N573))),OR(Search!$P$10="",ISNUMBER(SEARCH(" "&amp;Search!$P$10,N573)))),ROW(),""))</f>
        <v/>
      </c>
      <c r="N573" s="0" t="str">
        <f aca="false">IF(D573="",""," "&amp;SUBSTITUTE(SUBSTITUTE(SUBSTITUTE(SUBSTITUTE(SUBSTITUTE(SUBSTITUTE(SUBSTITUTE(B573&amp;" "&amp;C573&amp;" "&amp;D573&amp;" "&amp;E573&amp;" "&amp;F573&amp;" "&amp;G573&amp;" "&amp;H573&amp;" "&amp;'11 Stainless Steel'!R61,"("," "),")"," "),"/"," "),"-"," "),","," "),";"," "),":"," ")&amp;" ")</f>
        <v/>
      </c>
    </row>
    <row r="574" customFormat="false" ht="15" hidden="false" customHeight="false" outlineLevel="0" collapsed="false">
      <c r="A574" s="56" t="str">
        <f aca="false">IF('12 Auto Doors &amp; Shutters'!$C$5="","","Automatic Doors, Operators &amp; Shutters")</f>
        <v>Automatic Doors, Operators &amp; Shutters</v>
      </c>
      <c r="B574" s="57" t="str">
        <f aca="false">IF('12 Auto Doors &amp; Shutters'!$C$5="","",'12 Auto Doors &amp; Shutters'!A5)</f>
        <v>AD-001</v>
      </c>
      <c r="C574" s="56" t="str">
        <f aca="false">IF('12 Auto Doors &amp; Shutters'!$C$5="","",'12 Auto Doors &amp; Shutters'!B5)</f>
        <v>Automatic Sliding Doors</v>
      </c>
      <c r="D574" s="56" t="str">
        <f aca="false">IF('12 Auto Doors &amp; Shutters'!$C$5="","",'12 Auto Doors &amp; Shutters'!C5)</f>
        <v>Automatic sliding door operator</v>
      </c>
      <c r="E574" s="56" t="str">
        <f aca="false">IF('12 Auto Doors &amp; Shutters'!$C$5="","",'12 Auto Doors &amp; Shutters'!D5)</f>
        <v>Single / double leaf, up to 2 x 120 kg</v>
      </c>
      <c r="F574" s="56" t="str">
        <f aca="false">IF('12 Auto Doors &amp; Shutters'!$C$5="","",'12 Auto Doors &amp; Shutters'!E5)</f>
        <v>Silver</v>
      </c>
      <c r="G574" s="56" t="str">
        <f aca="false">IF('12 Auto Doors &amp; Shutters'!$C$5="","",'12 Auto Doors &amp; Shutters'!F5)</f>
        <v>dormakaba ES 200 / Equiv.</v>
      </c>
      <c r="H574" s="57" t="str">
        <f aca="false">IF('12 Auto Doors &amp; Shutters'!$C$5="","",'12 Auto Doors &amp; Shutters'!G5)</f>
        <v>set</v>
      </c>
      <c r="I574" s="58" t="n">
        <f aca="false">IF('12 Auto Doors &amp; Shutters'!$C$5="","",'12 Auto Doors &amp; Shutters'!J5)</f>
        <v>10500</v>
      </c>
      <c r="J574" s="58" t="n">
        <f aca="false">IF('12 Auto Doors &amp; Shutters'!$C$5="","",'12 Auto Doors &amp; Shutters'!K5)</f>
        <v>12600</v>
      </c>
      <c r="K574" s="58" t="n">
        <f aca="false">IF('12 Auto Doors &amp; Shutters'!$C$5="","",'12 Auto Doors &amp; Shutters'!L5)</f>
        <v>13230</v>
      </c>
      <c r="L574" s="57" t="str">
        <f aca="false">IF('12 Auto Doors &amp; Shutters'!$C$5="","",'12 Auto Doors &amp; Shutters'!M5)</f>
        <v>Indicative</v>
      </c>
      <c r="M574" s="59" t="str">
        <f aca="false">IF(D574="","",IF(AND(OR(Search!$C$6="All Categories",A574=Search!$C$6),OR(Search!$P$5="",ISNUMBER(SEARCH(" "&amp;Search!$P$5,N574))),OR(Search!$P$6="",ISNUMBER(SEARCH(" "&amp;Search!$P$6,N574))),OR(Search!$P$7="",ISNUMBER(SEARCH(" "&amp;Search!$P$7,N574))),OR(Search!$P$8="",ISNUMBER(SEARCH(" "&amp;Search!$P$8,N574))),OR(Search!$P$9="",ISNUMBER(SEARCH(" "&amp;Search!$P$9,N574))),OR(Search!$P$10="",ISNUMBER(SEARCH(" "&amp;Search!$P$10,N574)))),ROW(),""))</f>
        <v/>
      </c>
      <c r="N574" s="0" t="str">
        <f aca="false">IF(D574="",""," "&amp;SUBSTITUTE(SUBSTITUTE(SUBSTITUTE(SUBSTITUTE(SUBSTITUTE(SUBSTITUTE(SUBSTITUTE(B574&amp;" "&amp;C574&amp;" "&amp;D574&amp;" "&amp;E574&amp;" "&amp;F574&amp;" "&amp;G574&amp;" "&amp;H574&amp;" "&amp;'12 Auto Doors &amp; Shutters'!R5,"("," "),")"," "),"/"," "),"-"," "),","," "),";"," "),":"," ")&amp;" ")</f>
        <v> AD 001 Automatic Sliding Doors Automatic sliding door operator Single   double leaf  up to 2 x 120 kg Silver dormakaba ES 200   Equiv. set 2x120 </v>
      </c>
    </row>
    <row r="575" customFormat="false" ht="15" hidden="false" customHeight="false" outlineLevel="0" collapsed="false">
      <c r="A575" s="56" t="str">
        <f aca="false">IF('12 Auto Doors &amp; Shutters'!$C$6="","","Automatic Doors, Operators &amp; Shutters")</f>
        <v>Automatic Doors, Operators &amp; Shutters</v>
      </c>
      <c r="B575" s="57" t="str">
        <f aca="false">IF('12 Auto Doors &amp; Shutters'!$C$6="","",'12 Auto Doors &amp; Shutters'!A6)</f>
        <v>AD-002</v>
      </c>
      <c r="C575" s="56" t="str">
        <f aca="false">IF('12 Auto Doors &amp; Shutters'!$C$6="","",'12 Auto Doors &amp; Shutters'!B6)</f>
        <v>Automatic Sliding Doors</v>
      </c>
      <c r="D575" s="56" t="str">
        <f aca="false">IF('12 Auto Doors &amp; Shutters'!$C$6="","",'12 Auto Doors &amp; Shutters'!C6)</f>
        <v>Automatic sliding door operator</v>
      </c>
      <c r="E575" s="56" t="str">
        <f aca="false">IF('12 Auto Doors &amp; Shutters'!$C$6="","",'12 Auto Doors &amp; Shutters'!D6)</f>
        <v>Single / double leaf, up to 2 x 100 kg</v>
      </c>
      <c r="F575" s="56" t="str">
        <f aca="false">IF('12 Auto Doors &amp; Shutters'!$C$6="","",'12 Auto Doors &amp; Shutters'!E6)</f>
        <v>Silver</v>
      </c>
      <c r="G575" s="56" t="str">
        <f aca="false">IF('12 Auto Doors &amp; Shutters'!$C$6="","",'12 Auto Doors &amp; Shutters'!F6)</f>
        <v>GEZE Slimdrive / Equiv.</v>
      </c>
      <c r="H575" s="57" t="str">
        <f aca="false">IF('12 Auto Doors &amp; Shutters'!$C$6="","",'12 Auto Doors &amp; Shutters'!G6)</f>
        <v>set</v>
      </c>
      <c r="I575" s="58" t="n">
        <f aca="false">IF('12 Auto Doors &amp; Shutters'!$C$6="","",'12 Auto Doors &amp; Shutters'!J6)</f>
        <v>11000</v>
      </c>
      <c r="J575" s="58" t="n">
        <f aca="false">IF('12 Auto Doors &amp; Shutters'!$C$6="","",'12 Auto Doors &amp; Shutters'!K6)</f>
        <v>13200</v>
      </c>
      <c r="K575" s="58" t="n">
        <f aca="false">IF('12 Auto Doors &amp; Shutters'!$C$6="","",'12 Auto Doors &amp; Shutters'!L6)</f>
        <v>13860</v>
      </c>
      <c r="L575" s="57" t="str">
        <f aca="false">IF('12 Auto Doors &amp; Shutters'!$C$6="","",'12 Auto Doors &amp; Shutters'!M6)</f>
        <v>Indicative</v>
      </c>
      <c r="M575" s="59" t="str">
        <f aca="false">IF(D575="","",IF(AND(OR(Search!$C$6="All Categories",A575=Search!$C$6),OR(Search!$P$5="",ISNUMBER(SEARCH(" "&amp;Search!$P$5,N575))),OR(Search!$P$6="",ISNUMBER(SEARCH(" "&amp;Search!$P$6,N575))),OR(Search!$P$7="",ISNUMBER(SEARCH(" "&amp;Search!$P$7,N575))),OR(Search!$P$8="",ISNUMBER(SEARCH(" "&amp;Search!$P$8,N575))),OR(Search!$P$9="",ISNUMBER(SEARCH(" "&amp;Search!$P$9,N575))),OR(Search!$P$10="",ISNUMBER(SEARCH(" "&amp;Search!$P$10,N575)))),ROW(),""))</f>
        <v/>
      </c>
      <c r="N575" s="0" t="str">
        <f aca="false">IF(D575="",""," "&amp;SUBSTITUTE(SUBSTITUTE(SUBSTITUTE(SUBSTITUTE(SUBSTITUTE(SUBSTITUTE(SUBSTITUTE(B575&amp;" "&amp;C575&amp;" "&amp;D575&amp;" "&amp;E575&amp;" "&amp;F575&amp;" "&amp;G575&amp;" "&amp;H575&amp;" "&amp;'12 Auto Doors &amp; Shutters'!R6,"("," "),")"," "),"/"," "),"-"," "),","," "),";"," "),":"," ")&amp;" ")</f>
        <v> AD 002 Automatic Sliding Doors Automatic sliding door operator Single   double leaf  up to 2 x 100 kg Silver GEZE Slimdrive   Equiv. set 2x100 </v>
      </c>
    </row>
    <row r="576" customFormat="false" ht="15" hidden="false" customHeight="false" outlineLevel="0" collapsed="false">
      <c r="A576" s="56" t="str">
        <f aca="false">IF('12 Auto Doors &amp; Shutters'!$C$7="","","Automatic Doors, Operators &amp; Shutters")</f>
        <v>Automatic Doors, Operators &amp; Shutters</v>
      </c>
      <c r="B576" s="57" t="str">
        <f aca="false">IF('12 Auto Doors &amp; Shutters'!$C$7="","",'12 Auto Doors &amp; Shutters'!A7)</f>
        <v>AD-003</v>
      </c>
      <c r="C576" s="56" t="str">
        <f aca="false">IF('12 Auto Doors &amp; Shutters'!$C$7="","",'12 Auto Doors &amp; Shutters'!B7)</f>
        <v>Automatic Sliding Doors</v>
      </c>
      <c r="D576" s="56" t="str">
        <f aca="false">IF('12 Auto Doors &amp; Shutters'!$C$7="","",'12 Auto Doors &amp; Shutters'!C7)</f>
        <v>Automatic sliding door operator</v>
      </c>
      <c r="E576" s="56" t="str">
        <f aca="false">IF('12 Auto Doors &amp; Shutters'!$C$7="","",'12 Auto Doors &amp; Shutters'!D7)</f>
        <v>Up to 2 x 100 kg</v>
      </c>
      <c r="F576" s="56" t="str">
        <f aca="false">IF('12 Auto Doors &amp; Shutters'!$C$7="","",'12 Auto Doors &amp; Shutters'!E7)</f>
        <v>Silver</v>
      </c>
      <c r="G576" s="56" t="str">
        <f aca="false">IF('12 Auto Doors &amp; Shutters'!$C$7="","",'12 Auto Doors &amp; Shutters'!F7)</f>
        <v>Local / China</v>
      </c>
      <c r="H576" s="57" t="str">
        <f aca="false">IF('12 Auto Doors &amp; Shutters'!$C$7="","",'12 Auto Doors &amp; Shutters'!G7)</f>
        <v>set</v>
      </c>
      <c r="I576" s="58" t="n">
        <f aca="false">IF('12 Auto Doors &amp; Shutters'!$C$7="","",'12 Auto Doors &amp; Shutters'!J7)</f>
        <v>5500</v>
      </c>
      <c r="J576" s="58" t="n">
        <f aca="false">IF('12 Auto Doors &amp; Shutters'!$C$7="","",'12 Auto Doors &amp; Shutters'!K7)</f>
        <v>6600</v>
      </c>
      <c r="K576" s="58" t="n">
        <f aca="false">IF('12 Auto Doors &amp; Shutters'!$C$7="","",'12 Auto Doors &amp; Shutters'!L7)</f>
        <v>6930</v>
      </c>
      <c r="L576" s="57" t="str">
        <f aca="false">IF('12 Auto Doors &amp; Shutters'!$C$7="","",'12 Auto Doors &amp; Shutters'!M7)</f>
        <v>Indicative</v>
      </c>
      <c r="M576" s="59" t="str">
        <f aca="false">IF(D576="","",IF(AND(OR(Search!$C$6="All Categories",A576=Search!$C$6),OR(Search!$P$5="",ISNUMBER(SEARCH(" "&amp;Search!$P$5,N576))),OR(Search!$P$6="",ISNUMBER(SEARCH(" "&amp;Search!$P$6,N576))),OR(Search!$P$7="",ISNUMBER(SEARCH(" "&amp;Search!$P$7,N576))),OR(Search!$P$8="",ISNUMBER(SEARCH(" "&amp;Search!$P$8,N576))),OR(Search!$P$9="",ISNUMBER(SEARCH(" "&amp;Search!$P$9,N576))),OR(Search!$P$10="",ISNUMBER(SEARCH(" "&amp;Search!$P$10,N576)))),ROW(),""))</f>
        <v/>
      </c>
      <c r="N576" s="0" t="str">
        <f aca="false">IF(D576="",""," "&amp;SUBSTITUTE(SUBSTITUTE(SUBSTITUTE(SUBSTITUTE(SUBSTITUTE(SUBSTITUTE(SUBSTITUTE(B576&amp;" "&amp;C576&amp;" "&amp;D576&amp;" "&amp;E576&amp;" "&amp;F576&amp;" "&amp;G576&amp;" "&amp;H576&amp;" "&amp;'12 Auto Doors &amp; Shutters'!R7,"("," "),")"," "),"/"," "),"-"," "),","," "),";"," "),":"," ")&amp;" ")</f>
        <v> AD 003 Automatic Sliding Doors Automatic sliding door operator Up to 2 x 100 kg Silver Local   China set 2x100 </v>
      </c>
    </row>
    <row r="577" customFormat="false" ht="15" hidden="false" customHeight="false" outlineLevel="0" collapsed="false">
      <c r="A577" s="56" t="str">
        <f aca="false">IF('12 Auto Doors &amp; Shutters'!$C$8="","","Automatic Doors, Operators &amp; Shutters")</f>
        <v>Automatic Doors, Operators &amp; Shutters</v>
      </c>
      <c r="B577" s="57" t="str">
        <f aca="false">IF('12 Auto Doors &amp; Shutters'!$C$8="","",'12 Auto Doors &amp; Shutters'!A8)</f>
        <v>AD-004</v>
      </c>
      <c r="C577" s="56" t="str">
        <f aca="false">IF('12 Auto Doors &amp; Shutters'!$C$8="","",'12 Auto Doors &amp; Shutters'!B8)</f>
        <v>Automatic Sliding Doors</v>
      </c>
      <c r="D577" s="56" t="str">
        <f aca="false">IF('12 Auto Doors &amp; Shutters'!$C$8="","",'12 Auto Doors &amp; Shutters'!C8)</f>
        <v>Telescopic sliding operator</v>
      </c>
      <c r="E577" s="56" t="str">
        <f aca="false">IF('12 Auto Doors &amp; Shutters'!$C$8="","",'12 Auto Doors &amp; Shutters'!D8)</f>
        <v>4 leaf</v>
      </c>
      <c r="F577" s="56" t="str">
        <f aca="false">IF('12 Auto Doors &amp; Shutters'!$C$8="","",'12 Auto Doors &amp; Shutters'!E8)</f>
        <v>Silver</v>
      </c>
      <c r="G577" s="56" t="str">
        <f aca="false">IF('12 Auto Doors &amp; Shutters'!$C$8="","",'12 Auto Doors &amp; Shutters'!F8)</f>
        <v>dormakaba / GEZE / Equiv.</v>
      </c>
      <c r="H577" s="57" t="str">
        <f aca="false">IF('12 Auto Doors &amp; Shutters'!$C$8="","",'12 Auto Doors &amp; Shutters'!G8)</f>
        <v>set</v>
      </c>
      <c r="I577" s="58" t="n">
        <f aca="false">IF('12 Auto Doors &amp; Shutters'!$C$8="","",'12 Auto Doors &amp; Shutters'!J8)</f>
        <v>16500</v>
      </c>
      <c r="J577" s="58" t="n">
        <f aca="false">IF('12 Auto Doors &amp; Shutters'!$C$8="","",'12 Auto Doors &amp; Shutters'!K8)</f>
        <v>19800</v>
      </c>
      <c r="K577" s="58" t="n">
        <f aca="false">IF('12 Auto Doors &amp; Shutters'!$C$8="","",'12 Auto Doors &amp; Shutters'!L8)</f>
        <v>20790</v>
      </c>
      <c r="L577" s="57" t="str">
        <f aca="false">IF('12 Auto Doors &amp; Shutters'!$C$8="","",'12 Auto Doors &amp; Shutters'!M8)</f>
        <v>Indicative</v>
      </c>
      <c r="M577" s="59" t="str">
        <f aca="false">IF(D577="","",IF(AND(OR(Search!$C$6="All Categories",A577=Search!$C$6),OR(Search!$P$5="",ISNUMBER(SEARCH(" "&amp;Search!$P$5,N577))),OR(Search!$P$6="",ISNUMBER(SEARCH(" "&amp;Search!$P$6,N577))),OR(Search!$P$7="",ISNUMBER(SEARCH(" "&amp;Search!$P$7,N577))),OR(Search!$P$8="",ISNUMBER(SEARCH(" "&amp;Search!$P$8,N577))),OR(Search!$P$9="",ISNUMBER(SEARCH(" "&amp;Search!$P$9,N577))),OR(Search!$P$10="",ISNUMBER(SEARCH(" "&amp;Search!$P$10,N577)))),ROW(),""))</f>
        <v/>
      </c>
      <c r="N577" s="0" t="str">
        <f aca="false">IF(D577="",""," "&amp;SUBSTITUTE(SUBSTITUTE(SUBSTITUTE(SUBSTITUTE(SUBSTITUTE(SUBSTITUTE(SUBSTITUTE(B577&amp;" "&amp;C577&amp;" "&amp;D577&amp;" "&amp;E577&amp;" "&amp;F577&amp;" "&amp;G577&amp;" "&amp;H577&amp;" "&amp;'12 Auto Doors &amp; Shutters'!R8,"("," "),")"," "),"/"," "),"-"," "),","," "),";"," "),":"," ")&amp;" ")</f>
        <v> AD 004 Automatic Sliding Doors Telescopic sliding operator 4 leaf Silver dormakaba   GEZE   Equiv. set  </v>
      </c>
    </row>
    <row r="578" customFormat="false" ht="15" hidden="false" customHeight="false" outlineLevel="0" collapsed="false">
      <c r="A578" s="56" t="str">
        <f aca="false">IF('12 Auto Doors &amp; Shutters'!$C$9="","","Automatic Doors, Operators &amp; Shutters")</f>
        <v>Automatic Doors, Operators &amp; Shutters</v>
      </c>
      <c r="B578" s="57" t="str">
        <f aca="false">IF('12 Auto Doors &amp; Shutters'!$C$9="","",'12 Auto Doors &amp; Shutters'!A9)</f>
        <v>AD-005</v>
      </c>
      <c r="C578" s="56" t="str">
        <f aca="false">IF('12 Auto Doors &amp; Shutters'!$C$9="","",'12 Auto Doors &amp; Shutters'!B9)</f>
        <v>Automatic Sliding Doors</v>
      </c>
      <c r="D578" s="56" t="str">
        <f aca="false">IF('12 Auto Doors &amp; Shutters'!$C$9="","",'12 Auto Doors &amp; Shutters'!C9)</f>
        <v>Hermetic sliding door operator (hospital)</v>
      </c>
      <c r="E578" s="56" t="str">
        <f aca="false">IF('12 Auto Doors &amp; Shutters'!$C$9="","",'12 Auto Doors &amp; Shutters'!D9)</f>
        <v>Single leaf</v>
      </c>
      <c r="F578" s="56" t="str">
        <f aca="false">IF('12 Auto Doors &amp; Shutters'!$C$9="","",'12 Auto Doors &amp; Shutters'!E9)</f>
        <v>-</v>
      </c>
      <c r="G578" s="56" t="str">
        <f aca="false">IF('12 Auto Doors &amp; Shutters'!$C$9="","",'12 Auto Doors &amp; Shutters'!F9)</f>
        <v>Imported</v>
      </c>
      <c r="H578" s="57" t="str">
        <f aca="false">IF('12 Auto Doors &amp; Shutters'!$C$9="","",'12 Auto Doors &amp; Shutters'!G9)</f>
        <v>set</v>
      </c>
      <c r="I578" s="58" t="n">
        <f aca="false">IF('12 Auto Doors &amp; Shutters'!$C$9="","",'12 Auto Doors &amp; Shutters'!J9)</f>
        <v>18000</v>
      </c>
      <c r="J578" s="58" t="n">
        <f aca="false">IF('12 Auto Doors &amp; Shutters'!$C$9="","",'12 Auto Doors &amp; Shutters'!K9)</f>
        <v>21600</v>
      </c>
      <c r="K578" s="58" t="n">
        <f aca="false">IF('12 Auto Doors &amp; Shutters'!$C$9="","",'12 Auto Doors &amp; Shutters'!L9)</f>
        <v>22680</v>
      </c>
      <c r="L578" s="57" t="str">
        <f aca="false">IF('12 Auto Doors &amp; Shutters'!$C$9="","",'12 Auto Doors &amp; Shutters'!M9)</f>
        <v>Indicative</v>
      </c>
      <c r="M578" s="59" t="str">
        <f aca="false">IF(D578="","",IF(AND(OR(Search!$C$6="All Categories",A578=Search!$C$6),OR(Search!$P$5="",ISNUMBER(SEARCH(" "&amp;Search!$P$5,N578))),OR(Search!$P$6="",ISNUMBER(SEARCH(" "&amp;Search!$P$6,N578))),OR(Search!$P$7="",ISNUMBER(SEARCH(" "&amp;Search!$P$7,N578))),OR(Search!$P$8="",ISNUMBER(SEARCH(" "&amp;Search!$P$8,N578))),OR(Search!$P$9="",ISNUMBER(SEARCH(" "&amp;Search!$P$9,N578))),OR(Search!$P$10="",ISNUMBER(SEARCH(" "&amp;Search!$P$10,N578)))),ROW(),""))</f>
        <v/>
      </c>
      <c r="N578" s="0" t="str">
        <f aca="false">IF(D578="",""," "&amp;SUBSTITUTE(SUBSTITUTE(SUBSTITUTE(SUBSTITUTE(SUBSTITUTE(SUBSTITUTE(SUBSTITUTE(B578&amp;" "&amp;C578&amp;" "&amp;D578&amp;" "&amp;E578&amp;" "&amp;F578&amp;" "&amp;G578&amp;" "&amp;H578&amp;" "&amp;'12 Auto Doors &amp; Shutters'!R9,"("," "),")"," "),"/"," "),"-"," "),","," "),";"," "),":"," ")&amp;" ")</f>
        <v> AD 005 Automatic Sliding Doors Hermetic sliding door operator  hospital  Single leaf   Imported set  </v>
      </c>
    </row>
    <row r="579" customFormat="false" ht="15" hidden="false" customHeight="false" outlineLevel="0" collapsed="false">
      <c r="A579" s="56" t="str">
        <f aca="false">IF('12 Auto Doors &amp; Shutters'!$C$10="","","Automatic Doors, Operators &amp; Shutters")</f>
        <v>Automatic Doors, Operators &amp; Shutters</v>
      </c>
      <c r="B579" s="57" t="str">
        <f aca="false">IF('12 Auto Doors &amp; Shutters'!$C$10="","",'12 Auto Doors &amp; Shutters'!A10)</f>
        <v>AD-006</v>
      </c>
      <c r="C579" s="56" t="str">
        <f aca="false">IF('12 Auto Doors &amp; Shutters'!$C$10="","",'12 Auto Doors &amp; Shutters'!B10)</f>
        <v>Automatic Swing Doors</v>
      </c>
      <c r="D579" s="56" t="str">
        <f aca="false">IF('12 Auto Doors &amp; Shutters'!$C$10="","",'12 Auto Doors &amp; Shutters'!C10)</f>
        <v>Automatic swing door operator</v>
      </c>
      <c r="E579" s="56" t="str">
        <f aca="false">IF('12 Auto Doors &amp; Shutters'!$C$10="","",'12 Auto Doors &amp; Shutters'!D10)</f>
        <v>Single leaf, up to 250 kg</v>
      </c>
      <c r="F579" s="56" t="str">
        <f aca="false">IF('12 Auto Doors &amp; Shutters'!$C$10="","",'12 Auto Doors &amp; Shutters'!E10)</f>
        <v>Silver</v>
      </c>
      <c r="G579" s="56" t="str">
        <f aca="false">IF('12 Auto Doors &amp; Shutters'!$C$10="","",'12 Auto Doors &amp; Shutters'!F10)</f>
        <v>dormakaba ED 100 / Equiv.</v>
      </c>
      <c r="H579" s="57" t="str">
        <f aca="false">IF('12 Auto Doors &amp; Shutters'!$C$10="","",'12 Auto Doors &amp; Shutters'!G10)</f>
        <v>set</v>
      </c>
      <c r="I579" s="58" t="n">
        <f aca="false">IF('12 Auto Doors &amp; Shutters'!$C$10="","",'12 Auto Doors &amp; Shutters'!J10)</f>
        <v>8500</v>
      </c>
      <c r="J579" s="58" t="n">
        <f aca="false">IF('12 Auto Doors &amp; Shutters'!$C$10="","",'12 Auto Doors &amp; Shutters'!K10)</f>
        <v>10200</v>
      </c>
      <c r="K579" s="58" t="n">
        <f aca="false">IF('12 Auto Doors &amp; Shutters'!$C$10="","",'12 Auto Doors &amp; Shutters'!L10)</f>
        <v>10710</v>
      </c>
      <c r="L579" s="57" t="str">
        <f aca="false">IF('12 Auto Doors &amp; Shutters'!$C$10="","",'12 Auto Doors &amp; Shutters'!M10)</f>
        <v>Indicative</v>
      </c>
      <c r="M579" s="59" t="str">
        <f aca="false">IF(D579="","",IF(AND(OR(Search!$C$6="All Categories",A579=Search!$C$6),OR(Search!$P$5="",ISNUMBER(SEARCH(" "&amp;Search!$P$5,N579))),OR(Search!$P$6="",ISNUMBER(SEARCH(" "&amp;Search!$P$6,N579))),OR(Search!$P$7="",ISNUMBER(SEARCH(" "&amp;Search!$P$7,N579))),OR(Search!$P$8="",ISNUMBER(SEARCH(" "&amp;Search!$P$8,N579))),OR(Search!$P$9="",ISNUMBER(SEARCH(" "&amp;Search!$P$9,N579))),OR(Search!$P$10="",ISNUMBER(SEARCH(" "&amp;Search!$P$10,N579)))),ROW(),""))</f>
        <v/>
      </c>
      <c r="N579" s="0" t="str">
        <f aca="false">IF(D579="",""," "&amp;SUBSTITUTE(SUBSTITUTE(SUBSTITUTE(SUBSTITUTE(SUBSTITUTE(SUBSTITUTE(SUBSTITUTE(B579&amp;" "&amp;C579&amp;" "&amp;D579&amp;" "&amp;E579&amp;" "&amp;F579&amp;" "&amp;G579&amp;" "&amp;H579&amp;" "&amp;'12 Auto Doors &amp; Shutters'!R10,"("," "),")"," "),"/"," "),"-"," "),","," "),";"," "),":"," ")&amp;" ")</f>
        <v> AD 006 Automatic Swing Doors Automatic swing door operator Single leaf  up to 250 kg Silver dormakaba ED 100   Equiv. set  </v>
      </c>
    </row>
    <row r="580" customFormat="false" ht="15" hidden="false" customHeight="false" outlineLevel="0" collapsed="false">
      <c r="A580" s="56" t="str">
        <f aca="false">IF('12 Auto Doors &amp; Shutters'!$C$11="","","Automatic Doors, Operators &amp; Shutters")</f>
        <v>Automatic Doors, Operators &amp; Shutters</v>
      </c>
      <c r="B580" s="57" t="str">
        <f aca="false">IF('12 Auto Doors &amp; Shutters'!$C$11="","",'12 Auto Doors &amp; Shutters'!A11)</f>
        <v>AD-007</v>
      </c>
      <c r="C580" s="56" t="str">
        <f aca="false">IF('12 Auto Doors &amp; Shutters'!$C$11="","",'12 Auto Doors &amp; Shutters'!B11)</f>
        <v>Automatic Swing Doors</v>
      </c>
      <c r="D580" s="56" t="str">
        <f aca="false">IF('12 Auto Doors &amp; Shutters'!$C$11="","",'12 Auto Doors &amp; Shutters'!C11)</f>
        <v>Automatic swing door operator</v>
      </c>
      <c r="E580" s="56" t="str">
        <f aca="false">IF('12 Auto Doors &amp; Shutters'!$C$11="","",'12 Auto Doors &amp; Shutters'!D11)</f>
        <v>Single leaf</v>
      </c>
      <c r="F580" s="56" t="str">
        <f aca="false">IF('12 Auto Doors &amp; Shutters'!$C$11="","",'12 Auto Doors &amp; Shutters'!E11)</f>
        <v>Silver</v>
      </c>
      <c r="G580" s="56" t="str">
        <f aca="false">IF('12 Auto Doors &amp; Shutters'!$C$11="","",'12 Auto Doors &amp; Shutters'!F11)</f>
        <v>Local / China</v>
      </c>
      <c r="H580" s="57" t="str">
        <f aca="false">IF('12 Auto Doors &amp; Shutters'!$C$11="","",'12 Auto Doors &amp; Shutters'!G11)</f>
        <v>set</v>
      </c>
      <c r="I580" s="58" t="n">
        <f aca="false">IF('12 Auto Doors &amp; Shutters'!$C$11="","",'12 Auto Doors &amp; Shutters'!J11)</f>
        <v>4200</v>
      </c>
      <c r="J580" s="58" t="n">
        <f aca="false">IF('12 Auto Doors &amp; Shutters'!$C$11="","",'12 Auto Doors &amp; Shutters'!K11)</f>
        <v>5040</v>
      </c>
      <c r="K580" s="58" t="n">
        <f aca="false">IF('12 Auto Doors &amp; Shutters'!$C$11="","",'12 Auto Doors &amp; Shutters'!L11)</f>
        <v>5292</v>
      </c>
      <c r="L580" s="57" t="str">
        <f aca="false">IF('12 Auto Doors &amp; Shutters'!$C$11="","",'12 Auto Doors &amp; Shutters'!M11)</f>
        <v>Indicative</v>
      </c>
      <c r="M580" s="59" t="str">
        <f aca="false">IF(D580="","",IF(AND(OR(Search!$C$6="All Categories",A580=Search!$C$6),OR(Search!$P$5="",ISNUMBER(SEARCH(" "&amp;Search!$P$5,N580))),OR(Search!$P$6="",ISNUMBER(SEARCH(" "&amp;Search!$P$6,N580))),OR(Search!$P$7="",ISNUMBER(SEARCH(" "&amp;Search!$P$7,N580))),OR(Search!$P$8="",ISNUMBER(SEARCH(" "&amp;Search!$P$8,N580))),OR(Search!$P$9="",ISNUMBER(SEARCH(" "&amp;Search!$P$9,N580))),OR(Search!$P$10="",ISNUMBER(SEARCH(" "&amp;Search!$P$10,N580)))),ROW(),""))</f>
        <v/>
      </c>
      <c r="N580" s="0" t="str">
        <f aca="false">IF(D580="",""," "&amp;SUBSTITUTE(SUBSTITUTE(SUBSTITUTE(SUBSTITUTE(SUBSTITUTE(SUBSTITUTE(SUBSTITUTE(B580&amp;" "&amp;C580&amp;" "&amp;D580&amp;" "&amp;E580&amp;" "&amp;F580&amp;" "&amp;G580&amp;" "&amp;H580&amp;" "&amp;'12 Auto Doors &amp; Shutters'!R11,"("," "),")"," "),"/"," "),"-"," "),","," "),";"," "),":"," ")&amp;" ")</f>
        <v> AD 007 Automatic Swing Doors Automatic swing door operator Single leaf Silver Local   China set  </v>
      </c>
    </row>
    <row r="581" customFormat="false" ht="15" hidden="false" customHeight="false" outlineLevel="0" collapsed="false">
      <c r="A581" s="56" t="str">
        <f aca="false">IF('12 Auto Doors &amp; Shutters'!$C$12="","","Automatic Doors, Operators &amp; Shutters")</f>
        <v>Automatic Doors, Operators &amp; Shutters</v>
      </c>
      <c r="B581" s="57" t="str">
        <f aca="false">IF('12 Auto Doors &amp; Shutters'!$C$12="","",'12 Auto Doors &amp; Shutters'!A12)</f>
        <v>AD-008</v>
      </c>
      <c r="C581" s="56" t="str">
        <f aca="false">IF('12 Auto Doors &amp; Shutters'!$C$12="","",'12 Auto Doors &amp; Shutters'!B12)</f>
        <v>Sensors &amp; Accessories</v>
      </c>
      <c r="D581" s="56" t="str">
        <f aca="false">IF('12 Auto Doors &amp; Shutters'!$C$12="","",'12 Auto Doors &amp; Shutters'!C12)</f>
        <v>Motion / presence combined sensor</v>
      </c>
      <c r="E581" s="56" t="str">
        <f aca="false">IF('12 Auto Doors &amp; Shutters'!$C$12="","",'12 Auto Doors &amp; Shutters'!D12)</f>
        <v>-</v>
      </c>
      <c r="F581" s="56" t="str">
        <f aca="false">IF('12 Auto Doors &amp; Shutters'!$C$12="","",'12 Auto Doors &amp; Shutters'!E12)</f>
        <v>-</v>
      </c>
      <c r="G581" s="56" t="str">
        <f aca="false">IF('12 Auto Doors &amp; Shutters'!$C$12="","",'12 Auto Doors &amp; Shutters'!F12)</f>
        <v>BEA / Equiv.</v>
      </c>
      <c r="H581" s="57" t="str">
        <f aca="false">IF('12 Auto Doors &amp; Shutters'!$C$12="","",'12 Auto Doors &amp; Shutters'!G12)</f>
        <v>nos</v>
      </c>
      <c r="I581" s="58" t="n">
        <f aca="false">IF('12 Auto Doors &amp; Shutters'!$C$12="","",'12 Auto Doors &amp; Shutters'!J12)</f>
        <v>650</v>
      </c>
      <c r="J581" s="58" t="n">
        <f aca="false">IF('12 Auto Doors &amp; Shutters'!$C$12="","",'12 Auto Doors &amp; Shutters'!K12)</f>
        <v>780</v>
      </c>
      <c r="K581" s="58" t="n">
        <f aca="false">IF('12 Auto Doors &amp; Shutters'!$C$12="","",'12 Auto Doors &amp; Shutters'!L12)</f>
        <v>819</v>
      </c>
      <c r="L581" s="57" t="str">
        <f aca="false">IF('12 Auto Doors &amp; Shutters'!$C$12="","",'12 Auto Doors &amp; Shutters'!M12)</f>
        <v>Indicative</v>
      </c>
      <c r="M581" s="59" t="str">
        <f aca="false">IF(D581="","",IF(AND(OR(Search!$C$6="All Categories",A581=Search!$C$6),OR(Search!$P$5="",ISNUMBER(SEARCH(" "&amp;Search!$P$5,N581))),OR(Search!$P$6="",ISNUMBER(SEARCH(" "&amp;Search!$P$6,N581))),OR(Search!$P$7="",ISNUMBER(SEARCH(" "&amp;Search!$P$7,N581))),OR(Search!$P$8="",ISNUMBER(SEARCH(" "&amp;Search!$P$8,N581))),OR(Search!$P$9="",ISNUMBER(SEARCH(" "&amp;Search!$P$9,N581))),OR(Search!$P$10="",ISNUMBER(SEARCH(" "&amp;Search!$P$10,N581)))),ROW(),""))</f>
        <v/>
      </c>
      <c r="N581" s="0" t="str">
        <f aca="false">IF(D581="",""," "&amp;SUBSTITUTE(SUBSTITUTE(SUBSTITUTE(SUBSTITUTE(SUBSTITUTE(SUBSTITUTE(SUBSTITUTE(B581&amp;" "&amp;C581&amp;" "&amp;D581&amp;" "&amp;E581&amp;" "&amp;F581&amp;" "&amp;G581&amp;" "&amp;H581&amp;" "&amp;'12 Auto Doors &amp; Shutters'!R12,"("," "),")"," "),"/"," "),"-"," "),","," "),";"," "),":"," ")&amp;" ")</f>
        <v> AD 008 Sensors &amp; Accessories Motion   presence combined sensor     BEA   Equiv. nos  </v>
      </c>
    </row>
    <row r="582" customFormat="false" ht="15" hidden="false" customHeight="false" outlineLevel="0" collapsed="false">
      <c r="A582" s="56" t="str">
        <f aca="false">IF('12 Auto Doors &amp; Shutters'!$C$13="","","Automatic Doors, Operators &amp; Shutters")</f>
        <v>Automatic Doors, Operators &amp; Shutters</v>
      </c>
      <c r="B582" s="57" t="str">
        <f aca="false">IF('12 Auto Doors &amp; Shutters'!$C$13="","",'12 Auto Doors &amp; Shutters'!A13)</f>
        <v>AD-009</v>
      </c>
      <c r="C582" s="56" t="str">
        <f aca="false">IF('12 Auto Doors &amp; Shutters'!$C$13="","",'12 Auto Doors &amp; Shutters'!B13)</f>
        <v>Sensors &amp; Accessories</v>
      </c>
      <c r="D582" s="56" t="str">
        <f aca="false">IF('12 Auto Doors &amp; Shutters'!$C$13="","",'12 Auto Doors &amp; Shutters'!C13)</f>
        <v>Safety beam / photocell</v>
      </c>
      <c r="E582" s="56" t="str">
        <f aca="false">IF('12 Auto Doors &amp; Shutters'!$C$13="","",'12 Auto Doors &amp; Shutters'!D13)</f>
        <v>-</v>
      </c>
      <c r="F582" s="56" t="str">
        <f aca="false">IF('12 Auto Doors &amp; Shutters'!$C$13="","",'12 Auto Doors &amp; Shutters'!E13)</f>
        <v>-</v>
      </c>
      <c r="G582" s="56" t="str">
        <f aca="false">IF('12 Auto Doors &amp; Shutters'!$C$13="","",'12 Auto Doors &amp; Shutters'!F13)</f>
        <v>BEA / Equiv.</v>
      </c>
      <c r="H582" s="57" t="str">
        <f aca="false">IF('12 Auto Doors &amp; Shutters'!$C$13="","",'12 Auto Doors &amp; Shutters'!G13)</f>
        <v>nos</v>
      </c>
      <c r="I582" s="58" t="n">
        <f aca="false">IF('12 Auto Doors &amp; Shutters'!$C$13="","",'12 Auto Doors &amp; Shutters'!J13)</f>
        <v>250</v>
      </c>
      <c r="J582" s="58" t="n">
        <f aca="false">IF('12 Auto Doors &amp; Shutters'!$C$13="","",'12 Auto Doors &amp; Shutters'!K13)</f>
        <v>300</v>
      </c>
      <c r="K582" s="58" t="n">
        <f aca="false">IF('12 Auto Doors &amp; Shutters'!$C$13="","",'12 Auto Doors &amp; Shutters'!L13)</f>
        <v>315</v>
      </c>
      <c r="L582" s="57" t="str">
        <f aca="false">IF('12 Auto Doors &amp; Shutters'!$C$13="","",'12 Auto Doors &amp; Shutters'!M13)</f>
        <v>Indicative</v>
      </c>
      <c r="M582" s="59" t="str">
        <f aca="false">IF(D582="","",IF(AND(OR(Search!$C$6="All Categories",A582=Search!$C$6),OR(Search!$P$5="",ISNUMBER(SEARCH(" "&amp;Search!$P$5,N582))),OR(Search!$P$6="",ISNUMBER(SEARCH(" "&amp;Search!$P$6,N582))),OR(Search!$P$7="",ISNUMBER(SEARCH(" "&amp;Search!$P$7,N582))),OR(Search!$P$8="",ISNUMBER(SEARCH(" "&amp;Search!$P$8,N582))),OR(Search!$P$9="",ISNUMBER(SEARCH(" "&amp;Search!$P$9,N582))),OR(Search!$P$10="",ISNUMBER(SEARCH(" "&amp;Search!$P$10,N582)))),ROW(),""))</f>
        <v/>
      </c>
      <c r="N582" s="0" t="str">
        <f aca="false">IF(D582="",""," "&amp;SUBSTITUTE(SUBSTITUTE(SUBSTITUTE(SUBSTITUTE(SUBSTITUTE(SUBSTITUTE(SUBSTITUTE(B582&amp;" "&amp;C582&amp;" "&amp;D582&amp;" "&amp;E582&amp;" "&amp;F582&amp;" "&amp;G582&amp;" "&amp;H582&amp;" "&amp;'12 Auto Doors &amp; Shutters'!R13,"("," "),")"," "),"/"," "),"-"," "),","," "),";"," "),":"," ")&amp;" ")</f>
        <v> AD 009 Sensors &amp; Accessories Safety beam   photocell     BEA   Equiv. nos  </v>
      </c>
    </row>
    <row r="583" customFormat="false" ht="15" hidden="false" customHeight="false" outlineLevel="0" collapsed="false">
      <c r="A583" s="56" t="str">
        <f aca="false">IF('12 Auto Doors &amp; Shutters'!$C$14="","","Automatic Doors, Operators &amp; Shutters")</f>
        <v>Automatic Doors, Operators &amp; Shutters</v>
      </c>
      <c r="B583" s="57" t="str">
        <f aca="false">IF('12 Auto Doors &amp; Shutters'!$C$14="","",'12 Auto Doors &amp; Shutters'!A14)</f>
        <v>AD-010</v>
      </c>
      <c r="C583" s="56" t="str">
        <f aca="false">IF('12 Auto Doors &amp; Shutters'!$C$14="","",'12 Auto Doors &amp; Shutters'!B14)</f>
        <v>Sensors &amp; Accessories</v>
      </c>
      <c r="D583" s="56" t="str">
        <f aca="false">IF('12 Auto Doors &amp; Shutters'!$C$14="","",'12 Auto Doors &amp; Shutters'!C14)</f>
        <v>Programme switch / key switch</v>
      </c>
      <c r="E583" s="56" t="str">
        <f aca="false">IF('12 Auto Doors &amp; Shutters'!$C$14="","",'12 Auto Doors &amp; Shutters'!D14)</f>
        <v>-</v>
      </c>
      <c r="F583" s="56" t="str">
        <f aca="false">IF('12 Auto Doors &amp; Shutters'!$C$14="","",'12 Auto Doors &amp; Shutters'!E14)</f>
        <v>-</v>
      </c>
      <c r="G583" s="56" t="str">
        <f aca="false">IF('12 Auto Doors &amp; Shutters'!$C$14="","",'12 Auto Doors &amp; Shutters'!F14)</f>
        <v>OEM</v>
      </c>
      <c r="H583" s="57" t="str">
        <f aca="false">IF('12 Auto Doors &amp; Shutters'!$C$14="","",'12 Auto Doors &amp; Shutters'!G14)</f>
        <v>nos</v>
      </c>
      <c r="I583" s="58" t="n">
        <f aca="false">IF('12 Auto Doors &amp; Shutters'!$C$14="","",'12 Auto Doors &amp; Shutters'!J14)</f>
        <v>350</v>
      </c>
      <c r="J583" s="58" t="n">
        <f aca="false">IF('12 Auto Doors &amp; Shutters'!$C$14="","",'12 Auto Doors &amp; Shutters'!K14)</f>
        <v>420</v>
      </c>
      <c r="K583" s="58" t="n">
        <f aca="false">IF('12 Auto Doors &amp; Shutters'!$C$14="","",'12 Auto Doors &amp; Shutters'!L14)</f>
        <v>441</v>
      </c>
      <c r="L583" s="57" t="str">
        <f aca="false">IF('12 Auto Doors &amp; Shutters'!$C$14="","",'12 Auto Doors &amp; Shutters'!M14)</f>
        <v>Indicative</v>
      </c>
      <c r="M583" s="59" t="str">
        <f aca="false">IF(D583="","",IF(AND(OR(Search!$C$6="All Categories",A583=Search!$C$6),OR(Search!$P$5="",ISNUMBER(SEARCH(" "&amp;Search!$P$5,N583))),OR(Search!$P$6="",ISNUMBER(SEARCH(" "&amp;Search!$P$6,N583))),OR(Search!$P$7="",ISNUMBER(SEARCH(" "&amp;Search!$P$7,N583))),OR(Search!$P$8="",ISNUMBER(SEARCH(" "&amp;Search!$P$8,N583))),OR(Search!$P$9="",ISNUMBER(SEARCH(" "&amp;Search!$P$9,N583))),OR(Search!$P$10="",ISNUMBER(SEARCH(" "&amp;Search!$P$10,N583)))),ROW(),""))</f>
        <v/>
      </c>
      <c r="N583" s="0" t="str">
        <f aca="false">IF(D583="",""," "&amp;SUBSTITUTE(SUBSTITUTE(SUBSTITUTE(SUBSTITUTE(SUBSTITUTE(SUBSTITUTE(SUBSTITUTE(B583&amp;" "&amp;C583&amp;" "&amp;D583&amp;" "&amp;E583&amp;" "&amp;F583&amp;" "&amp;G583&amp;" "&amp;H583&amp;" "&amp;'12 Auto Doors &amp; Shutters'!R14,"("," "),")"," "),"/"," "),"-"," "),","," "),";"," "),":"," ")&amp;" ")</f>
        <v> AD 010 Sensors &amp; Accessories Programme switch   key switch     OEM nos  </v>
      </c>
    </row>
    <row r="584" customFormat="false" ht="15" hidden="false" customHeight="false" outlineLevel="0" collapsed="false">
      <c r="A584" s="56" t="str">
        <f aca="false">IF('12 Auto Doors &amp; Shutters'!$C$15="","","Automatic Doors, Operators &amp; Shutters")</f>
        <v>Automatic Doors, Operators &amp; Shutters</v>
      </c>
      <c r="B584" s="57" t="str">
        <f aca="false">IF('12 Auto Doors &amp; Shutters'!$C$15="","",'12 Auto Doors &amp; Shutters'!A15)</f>
        <v>AD-011</v>
      </c>
      <c r="C584" s="56" t="str">
        <f aca="false">IF('12 Auto Doors &amp; Shutters'!$C$15="","",'12 Auto Doors &amp; Shutters'!B15)</f>
        <v>Sensors &amp; Accessories</v>
      </c>
      <c r="D584" s="56" t="str">
        <f aca="false">IF('12 Auto Doors &amp; Shutters'!$C$15="","",'12 Auto Doors &amp; Shutters'!C15)</f>
        <v>Battery back-up unit</v>
      </c>
      <c r="E584" s="56" t="str">
        <f aca="false">IF('12 Auto Doors &amp; Shutters'!$C$15="","",'12 Auto Doors &amp; Shutters'!D15)</f>
        <v>-</v>
      </c>
      <c r="F584" s="56" t="str">
        <f aca="false">IF('12 Auto Doors &amp; Shutters'!$C$15="","",'12 Auto Doors &amp; Shutters'!E15)</f>
        <v>-</v>
      </c>
      <c r="G584" s="56" t="str">
        <f aca="false">IF('12 Auto Doors &amp; Shutters'!$C$15="","",'12 Auto Doors &amp; Shutters'!F15)</f>
        <v>OEM</v>
      </c>
      <c r="H584" s="57" t="str">
        <f aca="false">IF('12 Auto Doors &amp; Shutters'!$C$15="","",'12 Auto Doors &amp; Shutters'!G15)</f>
        <v>nos</v>
      </c>
      <c r="I584" s="58" t="n">
        <f aca="false">IF('12 Auto Doors &amp; Shutters'!$C$15="","",'12 Auto Doors &amp; Shutters'!J15)</f>
        <v>750</v>
      </c>
      <c r="J584" s="58" t="n">
        <f aca="false">IF('12 Auto Doors &amp; Shutters'!$C$15="","",'12 Auto Doors &amp; Shutters'!K15)</f>
        <v>900</v>
      </c>
      <c r="K584" s="58" t="n">
        <f aca="false">IF('12 Auto Doors &amp; Shutters'!$C$15="","",'12 Auto Doors &amp; Shutters'!L15)</f>
        <v>945</v>
      </c>
      <c r="L584" s="57" t="str">
        <f aca="false">IF('12 Auto Doors &amp; Shutters'!$C$15="","",'12 Auto Doors &amp; Shutters'!M15)</f>
        <v>Indicative</v>
      </c>
      <c r="M584" s="59" t="str">
        <f aca="false">IF(D584="","",IF(AND(OR(Search!$C$6="All Categories",A584=Search!$C$6),OR(Search!$P$5="",ISNUMBER(SEARCH(" "&amp;Search!$P$5,N584))),OR(Search!$P$6="",ISNUMBER(SEARCH(" "&amp;Search!$P$6,N584))),OR(Search!$P$7="",ISNUMBER(SEARCH(" "&amp;Search!$P$7,N584))),OR(Search!$P$8="",ISNUMBER(SEARCH(" "&amp;Search!$P$8,N584))),OR(Search!$P$9="",ISNUMBER(SEARCH(" "&amp;Search!$P$9,N584))),OR(Search!$P$10="",ISNUMBER(SEARCH(" "&amp;Search!$P$10,N584)))),ROW(),""))</f>
        <v/>
      </c>
      <c r="N584" s="0" t="str">
        <f aca="false">IF(D584="",""," "&amp;SUBSTITUTE(SUBSTITUTE(SUBSTITUTE(SUBSTITUTE(SUBSTITUTE(SUBSTITUTE(SUBSTITUTE(B584&amp;" "&amp;C584&amp;" "&amp;D584&amp;" "&amp;E584&amp;" "&amp;F584&amp;" "&amp;G584&amp;" "&amp;H584&amp;" "&amp;'12 Auto Doors &amp; Shutters'!R15,"("," "),")"," "),"/"," "),"-"," "),","," "),";"," "),":"," ")&amp;" ")</f>
        <v> AD 011 Sensors &amp; Accessories Battery back up unit     OEM nos  </v>
      </c>
    </row>
    <row r="585" customFormat="false" ht="15" hidden="false" customHeight="false" outlineLevel="0" collapsed="false">
      <c r="A585" s="56" t="str">
        <f aca="false">IF('12 Auto Doors &amp; Shutters'!$C$16="","","Automatic Doors, Operators &amp; Shutters")</f>
        <v>Automatic Doors, Operators &amp; Shutters</v>
      </c>
      <c r="B585" s="57" t="str">
        <f aca="false">IF('12 Auto Doors &amp; Shutters'!$C$16="","",'12 Auto Doors &amp; Shutters'!A16)</f>
        <v>AD-012</v>
      </c>
      <c r="C585" s="56" t="str">
        <f aca="false">IF('12 Auto Doors &amp; Shutters'!$C$16="","",'12 Auto Doors &amp; Shutters'!B16)</f>
        <v>Sensors &amp; Accessories</v>
      </c>
      <c r="D585" s="56" t="str">
        <f aca="false">IF('12 Auto Doors &amp; Shutters'!$C$16="","",'12 Auto Doors &amp; Shutters'!C16)</f>
        <v>Push / touchless exit button</v>
      </c>
      <c r="E585" s="56" t="str">
        <f aca="false">IF('12 Auto Doors &amp; Shutters'!$C$16="","",'12 Auto Doors &amp; Shutters'!D16)</f>
        <v>-</v>
      </c>
      <c r="F585" s="56" t="str">
        <f aca="false">IF('12 Auto Doors &amp; Shutters'!$C$16="","",'12 Auto Doors &amp; Shutters'!E16)</f>
        <v>SS</v>
      </c>
      <c r="G585" s="56" t="str">
        <f aca="false">IF('12 Auto Doors &amp; Shutters'!$C$16="","",'12 Auto Doors &amp; Shutters'!F16)</f>
        <v>Local</v>
      </c>
      <c r="H585" s="57" t="str">
        <f aca="false">IF('12 Auto Doors &amp; Shutters'!$C$16="","",'12 Auto Doors &amp; Shutters'!G16)</f>
        <v>nos</v>
      </c>
      <c r="I585" s="58" t="n">
        <f aca="false">IF('12 Auto Doors &amp; Shutters'!$C$16="","",'12 Auto Doors &amp; Shutters'!J16)</f>
        <v>85</v>
      </c>
      <c r="J585" s="58" t="n">
        <f aca="false">IF('12 Auto Doors &amp; Shutters'!$C$16="","",'12 Auto Doors &amp; Shutters'!K16)</f>
        <v>102</v>
      </c>
      <c r="K585" s="58" t="n">
        <f aca="false">IF('12 Auto Doors &amp; Shutters'!$C$16="","",'12 Auto Doors &amp; Shutters'!L16)</f>
        <v>107.1</v>
      </c>
      <c r="L585" s="57" t="str">
        <f aca="false">IF('12 Auto Doors &amp; Shutters'!$C$16="","",'12 Auto Doors &amp; Shutters'!M16)</f>
        <v>Indicative</v>
      </c>
      <c r="M585" s="59" t="str">
        <f aca="false">IF(D585="","",IF(AND(OR(Search!$C$6="All Categories",A585=Search!$C$6),OR(Search!$P$5="",ISNUMBER(SEARCH(" "&amp;Search!$P$5,N585))),OR(Search!$P$6="",ISNUMBER(SEARCH(" "&amp;Search!$P$6,N585))),OR(Search!$P$7="",ISNUMBER(SEARCH(" "&amp;Search!$P$7,N585))),OR(Search!$P$8="",ISNUMBER(SEARCH(" "&amp;Search!$P$8,N585))),OR(Search!$P$9="",ISNUMBER(SEARCH(" "&amp;Search!$P$9,N585))),OR(Search!$P$10="",ISNUMBER(SEARCH(" "&amp;Search!$P$10,N585)))),ROW(),""))</f>
        <v/>
      </c>
      <c r="N585" s="0" t="str">
        <f aca="false">IF(D585="",""," "&amp;SUBSTITUTE(SUBSTITUTE(SUBSTITUTE(SUBSTITUTE(SUBSTITUTE(SUBSTITUTE(SUBSTITUTE(B585&amp;" "&amp;C585&amp;" "&amp;D585&amp;" "&amp;E585&amp;" "&amp;F585&amp;" "&amp;G585&amp;" "&amp;H585&amp;" "&amp;'12 Auto Doors &amp; Shutters'!R16,"("," "),")"," "),"/"," "),"-"," "),","," "),";"," "),":"," ")&amp;" ")</f>
        <v> AD 012 Sensors &amp; Accessories Push   touchless exit button   SS Local nos stainless steel </v>
      </c>
    </row>
    <row r="586" customFormat="false" ht="15" hidden="false" customHeight="false" outlineLevel="0" collapsed="false">
      <c r="A586" s="56" t="str">
        <f aca="false">IF('12 Auto Doors &amp; Shutters'!$C$17="","","Automatic Doors, Operators &amp; Shutters")</f>
        <v>Automatic Doors, Operators &amp; Shutters</v>
      </c>
      <c r="B586" s="57" t="str">
        <f aca="false">IF('12 Auto Doors &amp; Shutters'!$C$17="","",'12 Auto Doors &amp; Shutters'!A17)</f>
        <v>AD-013</v>
      </c>
      <c r="C586" s="56" t="str">
        <f aca="false">IF('12 Auto Doors &amp; Shutters'!$C$17="","",'12 Auto Doors &amp; Shutters'!B17)</f>
        <v>Sensors &amp; Accessories</v>
      </c>
      <c r="D586" s="56" t="str">
        <f aca="false">IF('12 Auto Doors &amp; Shutters'!$C$17="","",'12 Auto Doors &amp; Shutters'!C17)</f>
        <v>Access control (card / keypad) reader</v>
      </c>
      <c r="E586" s="56" t="str">
        <f aca="false">IF('12 Auto Doors &amp; Shutters'!$C$17="","",'12 Auto Doors &amp; Shutters'!D17)</f>
        <v>Standalone</v>
      </c>
      <c r="F586" s="56" t="str">
        <f aca="false">IF('12 Auto Doors &amp; Shutters'!$C$17="","",'12 Auto Doors &amp; Shutters'!E17)</f>
        <v>-</v>
      </c>
      <c r="G586" s="56" t="str">
        <f aca="false">IF('12 Auto Doors &amp; Shutters'!$C$17="","",'12 Auto Doors &amp; Shutters'!F17)</f>
        <v>Local / Imported</v>
      </c>
      <c r="H586" s="57" t="str">
        <f aca="false">IF('12 Auto Doors &amp; Shutters'!$C$17="","",'12 Auto Doors &amp; Shutters'!G17)</f>
        <v>nos</v>
      </c>
      <c r="I586" s="58" t="n">
        <f aca="false">IF('12 Auto Doors &amp; Shutters'!$C$17="","",'12 Auto Doors &amp; Shutters'!J17)</f>
        <v>450</v>
      </c>
      <c r="J586" s="58" t="n">
        <f aca="false">IF('12 Auto Doors &amp; Shutters'!$C$17="","",'12 Auto Doors &amp; Shutters'!K17)</f>
        <v>540</v>
      </c>
      <c r="K586" s="58" t="n">
        <f aca="false">IF('12 Auto Doors &amp; Shutters'!$C$17="","",'12 Auto Doors &amp; Shutters'!L17)</f>
        <v>567</v>
      </c>
      <c r="L586" s="57" t="str">
        <f aca="false">IF('12 Auto Doors &amp; Shutters'!$C$17="","",'12 Auto Doors &amp; Shutters'!M17)</f>
        <v>Indicative</v>
      </c>
      <c r="M586" s="59" t="str">
        <f aca="false">IF(D586="","",IF(AND(OR(Search!$C$6="All Categories",A586=Search!$C$6),OR(Search!$P$5="",ISNUMBER(SEARCH(" "&amp;Search!$P$5,N586))),OR(Search!$P$6="",ISNUMBER(SEARCH(" "&amp;Search!$P$6,N586))),OR(Search!$P$7="",ISNUMBER(SEARCH(" "&amp;Search!$P$7,N586))),OR(Search!$P$8="",ISNUMBER(SEARCH(" "&amp;Search!$P$8,N586))),OR(Search!$P$9="",ISNUMBER(SEARCH(" "&amp;Search!$P$9,N586))),OR(Search!$P$10="",ISNUMBER(SEARCH(" "&amp;Search!$P$10,N586)))),ROW(),""))</f>
        <v/>
      </c>
      <c r="N586" s="0" t="str">
        <f aca="false">IF(D586="",""," "&amp;SUBSTITUTE(SUBSTITUTE(SUBSTITUTE(SUBSTITUTE(SUBSTITUTE(SUBSTITUTE(SUBSTITUTE(B586&amp;" "&amp;C586&amp;" "&amp;D586&amp;" "&amp;E586&amp;" "&amp;F586&amp;" "&amp;G586&amp;" "&amp;H586&amp;" "&amp;'12 Auto Doors &amp; Shutters'!R17,"("," "),")"," "),"/"," "),"-"," "),","," "),";"," "),":"," ")&amp;" ")</f>
        <v> AD 013 Sensors &amp; Accessories Access control  card   keypad  reader Standalone   Local   Imported nos stainless steel </v>
      </c>
    </row>
    <row r="587" customFormat="false" ht="15" hidden="false" customHeight="false" outlineLevel="0" collapsed="false">
      <c r="A587" s="56" t="str">
        <f aca="false">IF('12 Auto Doors &amp; Shutters'!$C$18="","","Automatic Doors, Operators &amp; Shutters")</f>
        <v>Automatic Doors, Operators &amp; Shutters</v>
      </c>
      <c r="B587" s="57" t="str">
        <f aca="false">IF('12 Auto Doors &amp; Shutters'!$C$18="","",'12 Auto Doors &amp; Shutters'!A18)</f>
        <v>AD-014</v>
      </c>
      <c r="C587" s="56" t="str">
        <f aca="false">IF('12 Auto Doors &amp; Shutters'!$C$18="","",'12 Auto Doors &amp; Shutters'!B18)</f>
        <v>Rolling Shutters</v>
      </c>
      <c r="D587" s="56" t="str">
        <f aca="false">IF('12 Auto Doors &amp; Shutters'!$C$18="","",'12 Auto Doors &amp; Shutters'!C18)</f>
        <v>Aluminium rolling shutter - manual</v>
      </c>
      <c r="E587" s="56" t="str">
        <f aca="false">IF('12 Auto Doors &amp; Shutters'!$C$18="","",'12 Auto Doors &amp; Shutters'!D18)</f>
        <v>Per m2</v>
      </c>
      <c r="F587" s="56" t="str">
        <f aca="false">IF('12 Auto Doors &amp; Shutters'!$C$18="","",'12 Auto Doors &amp; Shutters'!E18)</f>
        <v>PC</v>
      </c>
      <c r="G587" s="56" t="str">
        <f aca="false">IF('12 Auto Doors &amp; Shutters'!$C$18="","",'12 Auto Doors &amp; Shutters'!F18)</f>
        <v>Local</v>
      </c>
      <c r="H587" s="57" t="str">
        <f aca="false">IF('12 Auto Doors &amp; Shutters'!$C$18="","",'12 Auto Doors &amp; Shutters'!G18)</f>
        <v>m2</v>
      </c>
      <c r="I587" s="58" t="n">
        <f aca="false">IF('12 Auto Doors &amp; Shutters'!$C$18="","",'12 Auto Doors &amp; Shutters'!J18)</f>
        <v>280</v>
      </c>
      <c r="J587" s="58" t="n">
        <f aca="false">IF('12 Auto Doors &amp; Shutters'!$C$18="","",'12 Auto Doors &amp; Shutters'!K18)</f>
        <v>336</v>
      </c>
      <c r="K587" s="58" t="n">
        <f aca="false">IF('12 Auto Doors &amp; Shutters'!$C$18="","",'12 Auto Doors &amp; Shutters'!L18)</f>
        <v>352.8</v>
      </c>
      <c r="L587" s="57" t="str">
        <f aca="false">IF('12 Auto Doors &amp; Shutters'!$C$18="","",'12 Auto Doors &amp; Shutters'!M18)</f>
        <v>Indicative</v>
      </c>
      <c r="M587" s="59" t="str">
        <f aca="false">IF(D587="","",IF(AND(OR(Search!$C$6="All Categories",A587=Search!$C$6),OR(Search!$P$5="",ISNUMBER(SEARCH(" "&amp;Search!$P$5,N587))),OR(Search!$P$6="",ISNUMBER(SEARCH(" "&amp;Search!$P$6,N587))),OR(Search!$P$7="",ISNUMBER(SEARCH(" "&amp;Search!$P$7,N587))),OR(Search!$P$8="",ISNUMBER(SEARCH(" "&amp;Search!$P$8,N587))),OR(Search!$P$9="",ISNUMBER(SEARCH(" "&amp;Search!$P$9,N587))),OR(Search!$P$10="",ISNUMBER(SEARCH(" "&amp;Search!$P$10,N587)))),ROW(),""))</f>
        <v/>
      </c>
      <c r="N587" s="0" t="str">
        <f aca="false">IF(D587="",""," "&amp;SUBSTITUTE(SUBSTITUTE(SUBSTITUTE(SUBSTITUTE(SUBSTITUTE(SUBSTITUTE(SUBSTITUTE(B587&amp;" "&amp;C587&amp;" "&amp;D587&amp;" "&amp;E587&amp;" "&amp;F587&amp;" "&amp;G587&amp;" "&amp;H587&amp;" "&amp;'12 Auto Doors &amp; Shutters'!R18,"("," "),")"," "),"/"," "),"-"," "),","," "),";"," "),":"," ")&amp;" ")</f>
        <v> AD 014 Rolling Shutters Aluminium rolling shutter   manual Per m2 PC Local m2 aluminum alu </v>
      </c>
    </row>
    <row r="588" customFormat="false" ht="15" hidden="false" customHeight="false" outlineLevel="0" collapsed="false">
      <c r="A588" s="56" t="str">
        <f aca="false">IF('12 Auto Doors &amp; Shutters'!$C$19="","","Automatic Doors, Operators &amp; Shutters")</f>
        <v>Automatic Doors, Operators &amp; Shutters</v>
      </c>
      <c r="B588" s="57" t="str">
        <f aca="false">IF('12 Auto Doors &amp; Shutters'!$C$19="","",'12 Auto Doors &amp; Shutters'!A19)</f>
        <v>AD-015</v>
      </c>
      <c r="C588" s="56" t="str">
        <f aca="false">IF('12 Auto Doors &amp; Shutters'!$C$19="","",'12 Auto Doors &amp; Shutters'!B19)</f>
        <v>Rolling Shutters</v>
      </c>
      <c r="D588" s="56" t="str">
        <f aca="false">IF('12 Auto Doors &amp; Shutters'!$C$19="","",'12 Auto Doors &amp; Shutters'!C19)</f>
        <v>Aluminium rolling shutter - motorized</v>
      </c>
      <c r="E588" s="56" t="str">
        <f aca="false">IF('12 Auto Doors &amp; Shutters'!$C$19="","",'12 Auto Doors &amp; Shutters'!D19)</f>
        <v>Per m2 (with motor)</v>
      </c>
      <c r="F588" s="56" t="str">
        <f aca="false">IF('12 Auto Doors &amp; Shutters'!$C$19="","",'12 Auto Doors &amp; Shutters'!E19)</f>
        <v>PC</v>
      </c>
      <c r="G588" s="56" t="str">
        <f aca="false">IF('12 Auto Doors &amp; Shutters'!$C$19="","",'12 Auto Doors &amp; Shutters'!F19)</f>
        <v>Local</v>
      </c>
      <c r="H588" s="57" t="str">
        <f aca="false">IF('12 Auto Doors &amp; Shutters'!$C$19="","",'12 Auto Doors &amp; Shutters'!G19)</f>
        <v>m2</v>
      </c>
      <c r="I588" s="58" t="n">
        <f aca="false">IF('12 Auto Doors &amp; Shutters'!$C$19="","",'12 Auto Doors &amp; Shutters'!J19)</f>
        <v>420</v>
      </c>
      <c r="J588" s="58" t="n">
        <f aca="false">IF('12 Auto Doors &amp; Shutters'!$C$19="","",'12 Auto Doors &amp; Shutters'!K19)</f>
        <v>504</v>
      </c>
      <c r="K588" s="58" t="n">
        <f aca="false">IF('12 Auto Doors &amp; Shutters'!$C$19="","",'12 Auto Doors &amp; Shutters'!L19)</f>
        <v>529.2</v>
      </c>
      <c r="L588" s="57" t="str">
        <f aca="false">IF('12 Auto Doors &amp; Shutters'!$C$19="","",'12 Auto Doors &amp; Shutters'!M19)</f>
        <v>Indicative</v>
      </c>
      <c r="M588" s="59" t="str">
        <f aca="false">IF(D588="","",IF(AND(OR(Search!$C$6="All Categories",A588=Search!$C$6),OR(Search!$P$5="",ISNUMBER(SEARCH(" "&amp;Search!$P$5,N588))),OR(Search!$P$6="",ISNUMBER(SEARCH(" "&amp;Search!$P$6,N588))),OR(Search!$P$7="",ISNUMBER(SEARCH(" "&amp;Search!$P$7,N588))),OR(Search!$P$8="",ISNUMBER(SEARCH(" "&amp;Search!$P$8,N588))),OR(Search!$P$9="",ISNUMBER(SEARCH(" "&amp;Search!$P$9,N588))),OR(Search!$P$10="",ISNUMBER(SEARCH(" "&amp;Search!$P$10,N588)))),ROW(),""))</f>
        <v/>
      </c>
      <c r="N588" s="0" t="str">
        <f aca="false">IF(D588="",""," "&amp;SUBSTITUTE(SUBSTITUTE(SUBSTITUTE(SUBSTITUTE(SUBSTITUTE(SUBSTITUTE(SUBSTITUTE(B588&amp;" "&amp;C588&amp;" "&amp;D588&amp;" "&amp;E588&amp;" "&amp;F588&amp;" "&amp;G588&amp;" "&amp;H588&amp;" "&amp;'12 Auto Doors &amp; Shutters'!R19,"("," "),")"," "),"/"," "),"-"," "),","," "),";"," "),":"," ")&amp;" ")</f>
        <v> AD 015 Rolling Shutters Aluminium rolling shutter   motorized Per m2  with motor  PC Local m2 aluminum alu </v>
      </c>
    </row>
    <row r="589" customFormat="false" ht="15" hidden="false" customHeight="false" outlineLevel="0" collapsed="false">
      <c r="A589" s="56" t="str">
        <f aca="false">IF('12 Auto Doors &amp; Shutters'!$C$20="","","Automatic Doors, Operators &amp; Shutters")</f>
        <v>Automatic Doors, Operators &amp; Shutters</v>
      </c>
      <c r="B589" s="57" t="str">
        <f aca="false">IF('12 Auto Doors &amp; Shutters'!$C$20="","",'12 Auto Doors &amp; Shutters'!A20)</f>
        <v>AD-016</v>
      </c>
      <c r="C589" s="56" t="str">
        <f aca="false">IF('12 Auto Doors &amp; Shutters'!$C$20="","",'12 Auto Doors &amp; Shutters'!B20)</f>
        <v>Rolling Shutters</v>
      </c>
      <c r="D589" s="56" t="str">
        <f aca="false">IF('12 Auto Doors &amp; Shutters'!$C$20="","",'12 Auto Doors &amp; Shutters'!C20)</f>
        <v>GI rolling shutter - motorized</v>
      </c>
      <c r="E589" s="56" t="str">
        <f aca="false">IF('12 Auto Doors &amp; Shutters'!$C$20="","",'12 Auto Doors &amp; Shutters'!D20)</f>
        <v>Per m2</v>
      </c>
      <c r="F589" s="56" t="str">
        <f aca="false">IF('12 Auto Doors &amp; Shutters'!$C$20="","",'12 Auto Doors &amp; Shutters'!E20)</f>
        <v>Galvanized / PC</v>
      </c>
      <c r="G589" s="56" t="str">
        <f aca="false">IF('12 Auto Doors &amp; Shutters'!$C$20="","",'12 Auto Doors &amp; Shutters'!F20)</f>
        <v>Local</v>
      </c>
      <c r="H589" s="57" t="str">
        <f aca="false">IF('12 Auto Doors &amp; Shutters'!$C$20="","",'12 Auto Doors &amp; Shutters'!G20)</f>
        <v>m2</v>
      </c>
      <c r="I589" s="58" t="n">
        <f aca="false">IF('12 Auto Doors &amp; Shutters'!$C$20="","",'12 Auto Doors &amp; Shutters'!J20)</f>
        <v>320</v>
      </c>
      <c r="J589" s="58" t="n">
        <f aca="false">IF('12 Auto Doors &amp; Shutters'!$C$20="","",'12 Auto Doors &amp; Shutters'!K20)</f>
        <v>384</v>
      </c>
      <c r="K589" s="58" t="n">
        <f aca="false">IF('12 Auto Doors &amp; Shutters'!$C$20="","",'12 Auto Doors &amp; Shutters'!L20)</f>
        <v>403.2</v>
      </c>
      <c r="L589" s="57" t="str">
        <f aca="false">IF('12 Auto Doors &amp; Shutters'!$C$20="","",'12 Auto Doors &amp; Shutters'!M20)</f>
        <v>Indicative</v>
      </c>
      <c r="M589" s="59" t="str">
        <f aca="false">IF(D589="","",IF(AND(OR(Search!$C$6="All Categories",A589=Search!$C$6),OR(Search!$P$5="",ISNUMBER(SEARCH(" "&amp;Search!$P$5,N589))),OR(Search!$P$6="",ISNUMBER(SEARCH(" "&amp;Search!$P$6,N589))),OR(Search!$P$7="",ISNUMBER(SEARCH(" "&amp;Search!$P$7,N589))),OR(Search!$P$8="",ISNUMBER(SEARCH(" "&amp;Search!$P$8,N589))),OR(Search!$P$9="",ISNUMBER(SEARCH(" "&amp;Search!$P$9,N589))),OR(Search!$P$10="",ISNUMBER(SEARCH(" "&amp;Search!$P$10,N589)))),ROW(),""))</f>
        <v/>
      </c>
      <c r="N589" s="0" t="str">
        <f aca="false">IF(D589="",""," "&amp;SUBSTITUTE(SUBSTITUTE(SUBSTITUTE(SUBSTITUTE(SUBSTITUTE(SUBSTITUTE(SUBSTITUTE(B589&amp;" "&amp;C589&amp;" "&amp;D589&amp;" "&amp;E589&amp;" "&amp;F589&amp;" "&amp;G589&amp;" "&amp;H589&amp;" "&amp;'12 Auto Doors &amp; Shutters'!R20,"("," "),")"," "),"/"," "),"-"," "),","," "),";"," "),":"," ")&amp;" ")</f>
        <v> AD 016 Rolling Shutters GI rolling shutter   motorized Per m2 Galvanized   PC Local m2 galvanised gi galvanized </v>
      </c>
    </row>
    <row r="590" customFormat="false" ht="15" hidden="false" customHeight="false" outlineLevel="0" collapsed="false">
      <c r="A590" s="56" t="str">
        <f aca="false">IF('12 Auto Doors &amp; Shutters'!$C$21="","","Automatic Doors, Operators &amp; Shutters")</f>
        <v>Automatic Doors, Operators &amp; Shutters</v>
      </c>
      <c r="B590" s="57" t="str">
        <f aca="false">IF('12 Auto Doors &amp; Shutters'!$C$21="","",'12 Auto Doors &amp; Shutters'!A21)</f>
        <v>AD-017</v>
      </c>
      <c r="C590" s="56" t="str">
        <f aca="false">IF('12 Auto Doors &amp; Shutters'!$C$21="","",'12 Auto Doors &amp; Shutters'!B21)</f>
        <v>Rolling Shutters</v>
      </c>
      <c r="D590" s="56" t="str">
        <f aca="false">IF('12 Auto Doors &amp; Shutters'!$C$21="","",'12 Auto Doors &amp; Shutters'!C21)</f>
        <v>Fire-rated rolling shutter</v>
      </c>
      <c r="E590" s="56" t="str">
        <f aca="false">IF('12 Auto Doors &amp; Shutters'!$C$21="","",'12 Auto Doors &amp; Shutters'!D21)</f>
        <v>Per m2, 2 hr</v>
      </c>
      <c r="F590" s="56" t="str">
        <f aca="false">IF('12 Auto Doors &amp; Shutters'!$C$21="","",'12 Auto Doors &amp; Shutters'!E21)</f>
        <v>Galvanized</v>
      </c>
      <c r="G590" s="56" t="str">
        <f aca="false">IF('12 Auto Doors &amp; Shutters'!$C$21="","",'12 Auto Doors &amp; Shutters'!F21)</f>
        <v>Imported</v>
      </c>
      <c r="H590" s="57" t="str">
        <f aca="false">IF('12 Auto Doors &amp; Shutters'!$C$21="","",'12 Auto Doors &amp; Shutters'!G21)</f>
        <v>m2</v>
      </c>
      <c r="I590" s="58" t="n">
        <f aca="false">IF('12 Auto Doors &amp; Shutters'!$C$21="","",'12 Auto Doors &amp; Shutters'!J21)</f>
        <v>950</v>
      </c>
      <c r="J590" s="58" t="n">
        <f aca="false">IF('12 Auto Doors &amp; Shutters'!$C$21="","",'12 Auto Doors &amp; Shutters'!K21)</f>
        <v>1140</v>
      </c>
      <c r="K590" s="58" t="n">
        <f aca="false">IF('12 Auto Doors &amp; Shutters'!$C$21="","",'12 Auto Doors &amp; Shutters'!L21)</f>
        <v>1197</v>
      </c>
      <c r="L590" s="57" t="str">
        <f aca="false">IF('12 Auto Doors &amp; Shutters'!$C$21="","",'12 Auto Doors &amp; Shutters'!M21)</f>
        <v>Indicative</v>
      </c>
      <c r="M590" s="59" t="str">
        <f aca="false">IF(D590="","",IF(AND(OR(Search!$C$6="All Categories",A590=Search!$C$6),OR(Search!$P$5="",ISNUMBER(SEARCH(" "&amp;Search!$P$5,N590))),OR(Search!$P$6="",ISNUMBER(SEARCH(" "&amp;Search!$P$6,N590))),OR(Search!$P$7="",ISNUMBER(SEARCH(" "&amp;Search!$P$7,N590))),OR(Search!$P$8="",ISNUMBER(SEARCH(" "&amp;Search!$P$8,N590))),OR(Search!$P$9="",ISNUMBER(SEARCH(" "&amp;Search!$P$9,N590))),OR(Search!$P$10="",ISNUMBER(SEARCH(" "&amp;Search!$P$10,N590)))),ROW(),""))</f>
        <v/>
      </c>
      <c r="N590" s="0" t="str">
        <f aca="false">IF(D590="",""," "&amp;SUBSTITUTE(SUBSTITUTE(SUBSTITUTE(SUBSTITUTE(SUBSTITUTE(SUBSTITUTE(SUBSTITUTE(B590&amp;" "&amp;C590&amp;" "&amp;D590&amp;" "&amp;E590&amp;" "&amp;F590&amp;" "&amp;G590&amp;" "&amp;H590&amp;" "&amp;'12 Auto Doors &amp; Shutters'!R21,"("," "),")"," "),"/"," "),"-"," "),","," "),";"," "),":"," ")&amp;" ")</f>
        <v> AD 017 Rolling Shutters Fire rated rolling shutter Per m2  2 hr Galvanized Imported m2 galvanised gi fire rated resistant </v>
      </c>
    </row>
    <row r="591" customFormat="false" ht="15" hidden="false" customHeight="false" outlineLevel="0" collapsed="false">
      <c r="A591" s="56" t="str">
        <f aca="false">IF('12 Auto Doors &amp; Shutters'!$C$22="","","Automatic Doors, Operators &amp; Shutters")</f>
        <v>Automatic Doors, Operators &amp; Shutters</v>
      </c>
      <c r="B591" s="57" t="str">
        <f aca="false">IF('12 Auto Doors &amp; Shutters'!$C$22="","",'12 Auto Doors &amp; Shutters'!A22)</f>
        <v>AD-018</v>
      </c>
      <c r="C591" s="56" t="str">
        <f aca="false">IF('12 Auto Doors &amp; Shutters'!$C$22="","",'12 Auto Doors &amp; Shutters'!B22)</f>
        <v>Rolling Shutters</v>
      </c>
      <c r="D591" s="56" t="str">
        <f aca="false">IF('12 Auto Doors &amp; Shutters'!$C$22="","",'12 Auto Doors &amp; Shutters'!C22)</f>
        <v>Tubular motor for shutter</v>
      </c>
      <c r="E591" s="56" t="str">
        <f aca="false">IF('12 Auto Doors &amp; Shutters'!$C$22="","",'12 Auto Doors &amp; Shutters'!D22)</f>
        <v>Up to 50 Nm</v>
      </c>
      <c r="F591" s="56" t="str">
        <f aca="false">IF('12 Auto Doors &amp; Shutters'!$C$22="","",'12 Auto Doors &amp; Shutters'!E22)</f>
        <v>-</v>
      </c>
      <c r="G591" s="56" t="str">
        <f aca="false">IF('12 Auto Doors &amp; Shutters'!$C$22="","",'12 Auto Doors &amp; Shutters'!F22)</f>
        <v>Somfy / Equiv.</v>
      </c>
      <c r="H591" s="57" t="str">
        <f aca="false">IF('12 Auto Doors &amp; Shutters'!$C$22="","",'12 Auto Doors &amp; Shutters'!G22)</f>
        <v>nos</v>
      </c>
      <c r="I591" s="58" t="n">
        <f aca="false">IF('12 Auto Doors &amp; Shutters'!$C$22="","",'12 Auto Doors &amp; Shutters'!J22)</f>
        <v>950</v>
      </c>
      <c r="J591" s="58" t="n">
        <f aca="false">IF('12 Auto Doors &amp; Shutters'!$C$22="","",'12 Auto Doors &amp; Shutters'!K22)</f>
        <v>1140</v>
      </c>
      <c r="K591" s="58" t="n">
        <f aca="false">IF('12 Auto Doors &amp; Shutters'!$C$22="","",'12 Auto Doors &amp; Shutters'!L22)</f>
        <v>1197</v>
      </c>
      <c r="L591" s="57" t="str">
        <f aca="false">IF('12 Auto Doors &amp; Shutters'!$C$22="","",'12 Auto Doors &amp; Shutters'!M22)</f>
        <v>Indicative</v>
      </c>
      <c r="M591" s="59" t="str">
        <f aca="false">IF(D591="","",IF(AND(OR(Search!$C$6="All Categories",A591=Search!$C$6),OR(Search!$P$5="",ISNUMBER(SEARCH(" "&amp;Search!$P$5,N591))),OR(Search!$P$6="",ISNUMBER(SEARCH(" "&amp;Search!$P$6,N591))),OR(Search!$P$7="",ISNUMBER(SEARCH(" "&amp;Search!$P$7,N591))),OR(Search!$P$8="",ISNUMBER(SEARCH(" "&amp;Search!$P$8,N591))),OR(Search!$P$9="",ISNUMBER(SEARCH(" "&amp;Search!$P$9,N591))),OR(Search!$P$10="",ISNUMBER(SEARCH(" "&amp;Search!$P$10,N591)))),ROW(),""))</f>
        <v/>
      </c>
      <c r="N591" s="0" t="str">
        <f aca="false">IF(D591="",""," "&amp;SUBSTITUTE(SUBSTITUTE(SUBSTITUTE(SUBSTITUTE(SUBSTITUTE(SUBSTITUTE(SUBSTITUTE(B591&amp;" "&amp;C591&amp;" "&amp;D591&amp;" "&amp;E591&amp;" "&amp;F591&amp;" "&amp;G591&amp;" "&amp;H591&amp;" "&amp;'12 Auto Doors &amp; Shutters'!R22,"("," "),")"," "),"/"," "),"-"," "),","," "),";"," "),":"," ")&amp;" ")</f>
        <v> AD 018 Rolling Shutters Tubular motor for shutter Up to 50 Nm   Somfy   Equiv. nos  </v>
      </c>
    </row>
    <row r="592" customFormat="false" ht="15" hidden="false" customHeight="false" outlineLevel="0" collapsed="false">
      <c r="A592" s="56" t="str">
        <f aca="false">IF('12 Auto Doors &amp; Shutters'!$C$23="","","Automatic Doors, Operators &amp; Shutters")</f>
        <v/>
      </c>
      <c r="B592" s="57" t="str">
        <f aca="false">IF('12 Auto Doors &amp; Shutters'!$C$23="","",'12 Auto Doors &amp; Shutters'!A23)</f>
        <v/>
      </c>
      <c r="C592" s="56" t="str">
        <f aca="false">IF('12 Auto Doors &amp; Shutters'!$C$23="","",'12 Auto Doors &amp; Shutters'!B23)</f>
        <v/>
      </c>
      <c r="D592" s="56" t="str">
        <f aca="false">IF('12 Auto Doors &amp; Shutters'!$C$23="","",'12 Auto Doors &amp; Shutters'!C23)</f>
        <v/>
      </c>
      <c r="E592" s="56" t="str">
        <f aca="false">IF('12 Auto Doors &amp; Shutters'!$C$23="","",'12 Auto Doors &amp; Shutters'!D23)</f>
        <v/>
      </c>
      <c r="F592" s="56" t="str">
        <f aca="false">IF('12 Auto Doors &amp; Shutters'!$C$23="","",'12 Auto Doors &amp; Shutters'!E23)</f>
        <v/>
      </c>
      <c r="G592" s="56" t="str">
        <f aca="false">IF('12 Auto Doors &amp; Shutters'!$C$23="","",'12 Auto Doors &amp; Shutters'!F23)</f>
        <v/>
      </c>
      <c r="H592" s="57" t="str">
        <f aca="false">IF('12 Auto Doors &amp; Shutters'!$C$23="","",'12 Auto Doors &amp; Shutters'!G23)</f>
        <v/>
      </c>
      <c r="I592" s="58" t="str">
        <f aca="false">IF('12 Auto Doors &amp; Shutters'!$C$23="","",'12 Auto Doors &amp; Shutters'!J23)</f>
        <v/>
      </c>
      <c r="J592" s="58" t="str">
        <f aca="false">IF('12 Auto Doors &amp; Shutters'!$C$23="","",'12 Auto Doors &amp; Shutters'!K23)</f>
        <v/>
      </c>
      <c r="K592" s="58" t="str">
        <f aca="false">IF('12 Auto Doors &amp; Shutters'!$C$23="","",'12 Auto Doors &amp; Shutters'!L23)</f>
        <v/>
      </c>
      <c r="L592" s="57" t="str">
        <f aca="false">IF('12 Auto Doors &amp; Shutters'!$C$23="","",'12 Auto Doors &amp; Shutters'!M23)</f>
        <v/>
      </c>
      <c r="M592" s="59" t="str">
        <f aca="false">IF(D592="","",IF(AND(OR(Search!$C$6="All Categories",A592=Search!$C$6),OR(Search!$P$5="",ISNUMBER(SEARCH(" "&amp;Search!$P$5,N592))),OR(Search!$P$6="",ISNUMBER(SEARCH(" "&amp;Search!$P$6,N592))),OR(Search!$P$7="",ISNUMBER(SEARCH(" "&amp;Search!$P$7,N592))),OR(Search!$P$8="",ISNUMBER(SEARCH(" "&amp;Search!$P$8,N592))),OR(Search!$P$9="",ISNUMBER(SEARCH(" "&amp;Search!$P$9,N592))),OR(Search!$P$10="",ISNUMBER(SEARCH(" "&amp;Search!$P$10,N592)))),ROW(),""))</f>
        <v/>
      </c>
      <c r="N592" s="0" t="str">
        <f aca="false">IF(D592="",""," "&amp;SUBSTITUTE(SUBSTITUTE(SUBSTITUTE(SUBSTITUTE(SUBSTITUTE(SUBSTITUTE(SUBSTITUTE(B592&amp;" "&amp;C592&amp;" "&amp;D592&amp;" "&amp;E592&amp;" "&amp;F592&amp;" "&amp;G592&amp;" "&amp;H592&amp;" "&amp;'12 Auto Doors &amp; Shutters'!R23,"("," "),")"," "),"/"," "),"-"," "),","," "),";"," "),":"," ")&amp;" ")</f>
        <v/>
      </c>
    </row>
    <row r="593" customFormat="false" ht="15" hidden="false" customHeight="false" outlineLevel="0" collapsed="false">
      <c r="A593" s="56" t="str">
        <f aca="false">IF('12 Auto Doors &amp; Shutters'!$C$24="","","Automatic Doors, Operators &amp; Shutters")</f>
        <v/>
      </c>
      <c r="B593" s="57" t="str">
        <f aca="false">IF('12 Auto Doors &amp; Shutters'!$C$24="","",'12 Auto Doors &amp; Shutters'!A24)</f>
        <v/>
      </c>
      <c r="C593" s="56" t="str">
        <f aca="false">IF('12 Auto Doors &amp; Shutters'!$C$24="","",'12 Auto Doors &amp; Shutters'!B24)</f>
        <v/>
      </c>
      <c r="D593" s="56" t="str">
        <f aca="false">IF('12 Auto Doors &amp; Shutters'!$C$24="","",'12 Auto Doors &amp; Shutters'!C24)</f>
        <v/>
      </c>
      <c r="E593" s="56" t="str">
        <f aca="false">IF('12 Auto Doors &amp; Shutters'!$C$24="","",'12 Auto Doors &amp; Shutters'!D24)</f>
        <v/>
      </c>
      <c r="F593" s="56" t="str">
        <f aca="false">IF('12 Auto Doors &amp; Shutters'!$C$24="","",'12 Auto Doors &amp; Shutters'!E24)</f>
        <v/>
      </c>
      <c r="G593" s="56" t="str">
        <f aca="false">IF('12 Auto Doors &amp; Shutters'!$C$24="","",'12 Auto Doors &amp; Shutters'!F24)</f>
        <v/>
      </c>
      <c r="H593" s="57" t="str">
        <f aca="false">IF('12 Auto Doors &amp; Shutters'!$C$24="","",'12 Auto Doors &amp; Shutters'!G24)</f>
        <v/>
      </c>
      <c r="I593" s="58" t="str">
        <f aca="false">IF('12 Auto Doors &amp; Shutters'!$C$24="","",'12 Auto Doors &amp; Shutters'!J24)</f>
        <v/>
      </c>
      <c r="J593" s="58" t="str">
        <f aca="false">IF('12 Auto Doors &amp; Shutters'!$C$24="","",'12 Auto Doors &amp; Shutters'!K24)</f>
        <v/>
      </c>
      <c r="K593" s="58" t="str">
        <f aca="false">IF('12 Auto Doors &amp; Shutters'!$C$24="","",'12 Auto Doors &amp; Shutters'!L24)</f>
        <v/>
      </c>
      <c r="L593" s="57" t="str">
        <f aca="false">IF('12 Auto Doors &amp; Shutters'!$C$24="","",'12 Auto Doors &amp; Shutters'!M24)</f>
        <v/>
      </c>
      <c r="M593" s="59" t="str">
        <f aca="false">IF(D593="","",IF(AND(OR(Search!$C$6="All Categories",A593=Search!$C$6),OR(Search!$P$5="",ISNUMBER(SEARCH(" "&amp;Search!$P$5,N593))),OR(Search!$P$6="",ISNUMBER(SEARCH(" "&amp;Search!$P$6,N593))),OR(Search!$P$7="",ISNUMBER(SEARCH(" "&amp;Search!$P$7,N593))),OR(Search!$P$8="",ISNUMBER(SEARCH(" "&amp;Search!$P$8,N593))),OR(Search!$P$9="",ISNUMBER(SEARCH(" "&amp;Search!$P$9,N593))),OR(Search!$P$10="",ISNUMBER(SEARCH(" "&amp;Search!$P$10,N593)))),ROW(),""))</f>
        <v/>
      </c>
      <c r="N593" s="0" t="str">
        <f aca="false">IF(D593="",""," "&amp;SUBSTITUTE(SUBSTITUTE(SUBSTITUTE(SUBSTITUTE(SUBSTITUTE(SUBSTITUTE(SUBSTITUTE(B593&amp;" "&amp;C593&amp;" "&amp;D593&amp;" "&amp;E593&amp;" "&amp;F593&amp;" "&amp;G593&amp;" "&amp;H593&amp;" "&amp;'12 Auto Doors &amp; Shutters'!R24,"("," "),")"," "),"/"," "),"-"," "),","," "),";"," "),":"," ")&amp;" ")</f>
        <v/>
      </c>
    </row>
    <row r="594" customFormat="false" ht="15" hidden="false" customHeight="false" outlineLevel="0" collapsed="false">
      <c r="A594" s="56" t="str">
        <f aca="false">IF('12 Auto Doors &amp; Shutters'!$C$25="","","Automatic Doors, Operators &amp; Shutters")</f>
        <v/>
      </c>
      <c r="B594" s="57" t="str">
        <f aca="false">IF('12 Auto Doors &amp; Shutters'!$C$25="","",'12 Auto Doors &amp; Shutters'!A25)</f>
        <v/>
      </c>
      <c r="C594" s="56" t="str">
        <f aca="false">IF('12 Auto Doors &amp; Shutters'!$C$25="","",'12 Auto Doors &amp; Shutters'!B25)</f>
        <v/>
      </c>
      <c r="D594" s="56" t="str">
        <f aca="false">IF('12 Auto Doors &amp; Shutters'!$C$25="","",'12 Auto Doors &amp; Shutters'!C25)</f>
        <v/>
      </c>
      <c r="E594" s="56" t="str">
        <f aca="false">IF('12 Auto Doors &amp; Shutters'!$C$25="","",'12 Auto Doors &amp; Shutters'!D25)</f>
        <v/>
      </c>
      <c r="F594" s="56" t="str">
        <f aca="false">IF('12 Auto Doors &amp; Shutters'!$C$25="","",'12 Auto Doors &amp; Shutters'!E25)</f>
        <v/>
      </c>
      <c r="G594" s="56" t="str">
        <f aca="false">IF('12 Auto Doors &amp; Shutters'!$C$25="","",'12 Auto Doors &amp; Shutters'!F25)</f>
        <v/>
      </c>
      <c r="H594" s="57" t="str">
        <f aca="false">IF('12 Auto Doors &amp; Shutters'!$C$25="","",'12 Auto Doors &amp; Shutters'!G25)</f>
        <v/>
      </c>
      <c r="I594" s="58" t="str">
        <f aca="false">IF('12 Auto Doors &amp; Shutters'!$C$25="","",'12 Auto Doors &amp; Shutters'!J25)</f>
        <v/>
      </c>
      <c r="J594" s="58" t="str">
        <f aca="false">IF('12 Auto Doors &amp; Shutters'!$C$25="","",'12 Auto Doors &amp; Shutters'!K25)</f>
        <v/>
      </c>
      <c r="K594" s="58" t="str">
        <f aca="false">IF('12 Auto Doors &amp; Shutters'!$C$25="","",'12 Auto Doors &amp; Shutters'!L25)</f>
        <v/>
      </c>
      <c r="L594" s="57" t="str">
        <f aca="false">IF('12 Auto Doors &amp; Shutters'!$C$25="","",'12 Auto Doors &amp; Shutters'!M25)</f>
        <v/>
      </c>
      <c r="M594" s="59" t="str">
        <f aca="false">IF(D594="","",IF(AND(OR(Search!$C$6="All Categories",A594=Search!$C$6),OR(Search!$P$5="",ISNUMBER(SEARCH(" "&amp;Search!$P$5,N594))),OR(Search!$P$6="",ISNUMBER(SEARCH(" "&amp;Search!$P$6,N594))),OR(Search!$P$7="",ISNUMBER(SEARCH(" "&amp;Search!$P$7,N594))),OR(Search!$P$8="",ISNUMBER(SEARCH(" "&amp;Search!$P$8,N594))),OR(Search!$P$9="",ISNUMBER(SEARCH(" "&amp;Search!$P$9,N594))),OR(Search!$P$10="",ISNUMBER(SEARCH(" "&amp;Search!$P$10,N594)))),ROW(),""))</f>
        <v/>
      </c>
      <c r="N594" s="0" t="str">
        <f aca="false">IF(D594="",""," "&amp;SUBSTITUTE(SUBSTITUTE(SUBSTITUTE(SUBSTITUTE(SUBSTITUTE(SUBSTITUTE(SUBSTITUTE(B594&amp;" "&amp;C594&amp;" "&amp;D594&amp;" "&amp;E594&amp;" "&amp;F594&amp;" "&amp;G594&amp;" "&amp;H594&amp;" "&amp;'12 Auto Doors &amp; Shutters'!R25,"("," "),")"," "),"/"," "),"-"," "),","," "),";"," "),":"," ")&amp;" ")</f>
        <v/>
      </c>
    </row>
    <row r="595" customFormat="false" ht="15" hidden="false" customHeight="false" outlineLevel="0" collapsed="false">
      <c r="A595" s="56" t="str">
        <f aca="false">IF('12 Auto Doors &amp; Shutters'!$C$26="","","Automatic Doors, Operators &amp; Shutters")</f>
        <v/>
      </c>
      <c r="B595" s="57" t="str">
        <f aca="false">IF('12 Auto Doors &amp; Shutters'!$C$26="","",'12 Auto Doors &amp; Shutters'!A26)</f>
        <v/>
      </c>
      <c r="C595" s="56" t="str">
        <f aca="false">IF('12 Auto Doors &amp; Shutters'!$C$26="","",'12 Auto Doors &amp; Shutters'!B26)</f>
        <v/>
      </c>
      <c r="D595" s="56" t="str">
        <f aca="false">IF('12 Auto Doors &amp; Shutters'!$C$26="","",'12 Auto Doors &amp; Shutters'!C26)</f>
        <v/>
      </c>
      <c r="E595" s="56" t="str">
        <f aca="false">IF('12 Auto Doors &amp; Shutters'!$C$26="","",'12 Auto Doors &amp; Shutters'!D26)</f>
        <v/>
      </c>
      <c r="F595" s="56" t="str">
        <f aca="false">IF('12 Auto Doors &amp; Shutters'!$C$26="","",'12 Auto Doors &amp; Shutters'!E26)</f>
        <v/>
      </c>
      <c r="G595" s="56" t="str">
        <f aca="false">IF('12 Auto Doors &amp; Shutters'!$C$26="","",'12 Auto Doors &amp; Shutters'!F26)</f>
        <v/>
      </c>
      <c r="H595" s="57" t="str">
        <f aca="false">IF('12 Auto Doors &amp; Shutters'!$C$26="","",'12 Auto Doors &amp; Shutters'!G26)</f>
        <v/>
      </c>
      <c r="I595" s="58" t="str">
        <f aca="false">IF('12 Auto Doors &amp; Shutters'!$C$26="","",'12 Auto Doors &amp; Shutters'!J26)</f>
        <v/>
      </c>
      <c r="J595" s="58" t="str">
        <f aca="false">IF('12 Auto Doors &amp; Shutters'!$C$26="","",'12 Auto Doors &amp; Shutters'!K26)</f>
        <v/>
      </c>
      <c r="K595" s="58" t="str">
        <f aca="false">IF('12 Auto Doors &amp; Shutters'!$C$26="","",'12 Auto Doors &amp; Shutters'!L26)</f>
        <v/>
      </c>
      <c r="L595" s="57" t="str">
        <f aca="false">IF('12 Auto Doors &amp; Shutters'!$C$26="","",'12 Auto Doors &amp; Shutters'!M26)</f>
        <v/>
      </c>
      <c r="M595" s="59" t="str">
        <f aca="false">IF(D595="","",IF(AND(OR(Search!$C$6="All Categories",A595=Search!$C$6),OR(Search!$P$5="",ISNUMBER(SEARCH(" "&amp;Search!$P$5,N595))),OR(Search!$P$6="",ISNUMBER(SEARCH(" "&amp;Search!$P$6,N595))),OR(Search!$P$7="",ISNUMBER(SEARCH(" "&amp;Search!$P$7,N595))),OR(Search!$P$8="",ISNUMBER(SEARCH(" "&amp;Search!$P$8,N595))),OR(Search!$P$9="",ISNUMBER(SEARCH(" "&amp;Search!$P$9,N595))),OR(Search!$P$10="",ISNUMBER(SEARCH(" "&amp;Search!$P$10,N595)))),ROW(),""))</f>
        <v/>
      </c>
      <c r="N595" s="0" t="str">
        <f aca="false">IF(D595="",""," "&amp;SUBSTITUTE(SUBSTITUTE(SUBSTITUTE(SUBSTITUTE(SUBSTITUTE(SUBSTITUTE(SUBSTITUTE(B595&amp;" "&amp;C595&amp;" "&amp;D595&amp;" "&amp;E595&amp;" "&amp;F595&amp;" "&amp;G595&amp;" "&amp;H595&amp;" "&amp;'12 Auto Doors &amp; Shutters'!R26,"("," "),")"," "),"/"," "),"-"," "),","," "),";"," "),":"," ")&amp;" ")</f>
        <v/>
      </c>
    </row>
    <row r="596" customFormat="false" ht="15" hidden="false" customHeight="false" outlineLevel="0" collapsed="false">
      <c r="A596" s="56" t="str">
        <f aca="false">IF('12 Auto Doors &amp; Shutters'!$C$27="","","Automatic Doors, Operators &amp; Shutters")</f>
        <v/>
      </c>
      <c r="B596" s="57" t="str">
        <f aca="false">IF('12 Auto Doors &amp; Shutters'!$C$27="","",'12 Auto Doors &amp; Shutters'!A27)</f>
        <v/>
      </c>
      <c r="C596" s="56" t="str">
        <f aca="false">IF('12 Auto Doors &amp; Shutters'!$C$27="","",'12 Auto Doors &amp; Shutters'!B27)</f>
        <v/>
      </c>
      <c r="D596" s="56" t="str">
        <f aca="false">IF('12 Auto Doors &amp; Shutters'!$C$27="","",'12 Auto Doors &amp; Shutters'!C27)</f>
        <v/>
      </c>
      <c r="E596" s="56" t="str">
        <f aca="false">IF('12 Auto Doors &amp; Shutters'!$C$27="","",'12 Auto Doors &amp; Shutters'!D27)</f>
        <v/>
      </c>
      <c r="F596" s="56" t="str">
        <f aca="false">IF('12 Auto Doors &amp; Shutters'!$C$27="","",'12 Auto Doors &amp; Shutters'!E27)</f>
        <v/>
      </c>
      <c r="G596" s="56" t="str">
        <f aca="false">IF('12 Auto Doors &amp; Shutters'!$C$27="","",'12 Auto Doors &amp; Shutters'!F27)</f>
        <v/>
      </c>
      <c r="H596" s="57" t="str">
        <f aca="false">IF('12 Auto Doors &amp; Shutters'!$C$27="","",'12 Auto Doors &amp; Shutters'!G27)</f>
        <v/>
      </c>
      <c r="I596" s="58" t="str">
        <f aca="false">IF('12 Auto Doors &amp; Shutters'!$C$27="","",'12 Auto Doors &amp; Shutters'!J27)</f>
        <v/>
      </c>
      <c r="J596" s="58" t="str">
        <f aca="false">IF('12 Auto Doors &amp; Shutters'!$C$27="","",'12 Auto Doors &amp; Shutters'!K27)</f>
        <v/>
      </c>
      <c r="K596" s="58" t="str">
        <f aca="false">IF('12 Auto Doors &amp; Shutters'!$C$27="","",'12 Auto Doors &amp; Shutters'!L27)</f>
        <v/>
      </c>
      <c r="L596" s="57" t="str">
        <f aca="false">IF('12 Auto Doors &amp; Shutters'!$C$27="","",'12 Auto Doors &amp; Shutters'!M27)</f>
        <v/>
      </c>
      <c r="M596" s="59" t="str">
        <f aca="false">IF(D596="","",IF(AND(OR(Search!$C$6="All Categories",A596=Search!$C$6),OR(Search!$P$5="",ISNUMBER(SEARCH(" "&amp;Search!$P$5,N596))),OR(Search!$P$6="",ISNUMBER(SEARCH(" "&amp;Search!$P$6,N596))),OR(Search!$P$7="",ISNUMBER(SEARCH(" "&amp;Search!$P$7,N596))),OR(Search!$P$8="",ISNUMBER(SEARCH(" "&amp;Search!$P$8,N596))),OR(Search!$P$9="",ISNUMBER(SEARCH(" "&amp;Search!$P$9,N596))),OR(Search!$P$10="",ISNUMBER(SEARCH(" "&amp;Search!$P$10,N596)))),ROW(),""))</f>
        <v/>
      </c>
      <c r="N596" s="0" t="str">
        <f aca="false">IF(D596="",""," "&amp;SUBSTITUTE(SUBSTITUTE(SUBSTITUTE(SUBSTITUTE(SUBSTITUTE(SUBSTITUTE(SUBSTITUTE(B596&amp;" "&amp;C596&amp;" "&amp;D596&amp;" "&amp;E596&amp;" "&amp;F596&amp;" "&amp;G596&amp;" "&amp;H596&amp;" "&amp;'12 Auto Doors &amp; Shutters'!R27,"("," "),")"," "),"/"," "),"-"," "),","," "),";"," "),":"," ")&amp;" ")</f>
        <v/>
      </c>
    </row>
    <row r="597" customFormat="false" ht="15" hidden="false" customHeight="false" outlineLevel="0" collapsed="false">
      <c r="A597" s="56" t="str">
        <f aca="false">IF('12 Auto Doors &amp; Shutters'!$C$28="","","Automatic Doors, Operators &amp; Shutters")</f>
        <v/>
      </c>
      <c r="B597" s="57" t="str">
        <f aca="false">IF('12 Auto Doors &amp; Shutters'!$C$28="","",'12 Auto Doors &amp; Shutters'!A28)</f>
        <v/>
      </c>
      <c r="C597" s="56" t="str">
        <f aca="false">IF('12 Auto Doors &amp; Shutters'!$C$28="","",'12 Auto Doors &amp; Shutters'!B28)</f>
        <v/>
      </c>
      <c r="D597" s="56" t="str">
        <f aca="false">IF('12 Auto Doors &amp; Shutters'!$C$28="","",'12 Auto Doors &amp; Shutters'!C28)</f>
        <v/>
      </c>
      <c r="E597" s="56" t="str">
        <f aca="false">IF('12 Auto Doors &amp; Shutters'!$C$28="","",'12 Auto Doors &amp; Shutters'!D28)</f>
        <v/>
      </c>
      <c r="F597" s="56" t="str">
        <f aca="false">IF('12 Auto Doors &amp; Shutters'!$C$28="","",'12 Auto Doors &amp; Shutters'!E28)</f>
        <v/>
      </c>
      <c r="G597" s="56" t="str">
        <f aca="false">IF('12 Auto Doors &amp; Shutters'!$C$28="","",'12 Auto Doors &amp; Shutters'!F28)</f>
        <v/>
      </c>
      <c r="H597" s="57" t="str">
        <f aca="false">IF('12 Auto Doors &amp; Shutters'!$C$28="","",'12 Auto Doors &amp; Shutters'!G28)</f>
        <v/>
      </c>
      <c r="I597" s="58" t="str">
        <f aca="false">IF('12 Auto Doors &amp; Shutters'!$C$28="","",'12 Auto Doors &amp; Shutters'!J28)</f>
        <v/>
      </c>
      <c r="J597" s="58" t="str">
        <f aca="false">IF('12 Auto Doors &amp; Shutters'!$C$28="","",'12 Auto Doors &amp; Shutters'!K28)</f>
        <v/>
      </c>
      <c r="K597" s="58" t="str">
        <f aca="false">IF('12 Auto Doors &amp; Shutters'!$C$28="","",'12 Auto Doors &amp; Shutters'!L28)</f>
        <v/>
      </c>
      <c r="L597" s="57" t="str">
        <f aca="false">IF('12 Auto Doors &amp; Shutters'!$C$28="","",'12 Auto Doors &amp; Shutters'!M28)</f>
        <v/>
      </c>
      <c r="M597" s="59" t="str">
        <f aca="false">IF(D597="","",IF(AND(OR(Search!$C$6="All Categories",A597=Search!$C$6),OR(Search!$P$5="",ISNUMBER(SEARCH(" "&amp;Search!$P$5,N597))),OR(Search!$P$6="",ISNUMBER(SEARCH(" "&amp;Search!$P$6,N597))),OR(Search!$P$7="",ISNUMBER(SEARCH(" "&amp;Search!$P$7,N597))),OR(Search!$P$8="",ISNUMBER(SEARCH(" "&amp;Search!$P$8,N597))),OR(Search!$P$9="",ISNUMBER(SEARCH(" "&amp;Search!$P$9,N597))),OR(Search!$P$10="",ISNUMBER(SEARCH(" "&amp;Search!$P$10,N597)))),ROW(),""))</f>
        <v/>
      </c>
      <c r="N597" s="0" t="str">
        <f aca="false">IF(D597="",""," "&amp;SUBSTITUTE(SUBSTITUTE(SUBSTITUTE(SUBSTITUTE(SUBSTITUTE(SUBSTITUTE(SUBSTITUTE(B597&amp;" "&amp;C597&amp;" "&amp;D597&amp;" "&amp;E597&amp;" "&amp;F597&amp;" "&amp;G597&amp;" "&amp;H597&amp;" "&amp;'12 Auto Doors &amp; Shutters'!R28,"("," "),")"," "),"/"," "),"-"," "),","," "),";"," "),":"," ")&amp;" ")</f>
        <v/>
      </c>
    </row>
    <row r="598" customFormat="false" ht="15" hidden="false" customHeight="false" outlineLevel="0" collapsed="false">
      <c r="A598" s="56" t="str">
        <f aca="false">IF('12 Auto Doors &amp; Shutters'!$C$29="","","Automatic Doors, Operators &amp; Shutters")</f>
        <v/>
      </c>
      <c r="B598" s="57" t="str">
        <f aca="false">IF('12 Auto Doors &amp; Shutters'!$C$29="","",'12 Auto Doors &amp; Shutters'!A29)</f>
        <v/>
      </c>
      <c r="C598" s="56" t="str">
        <f aca="false">IF('12 Auto Doors &amp; Shutters'!$C$29="","",'12 Auto Doors &amp; Shutters'!B29)</f>
        <v/>
      </c>
      <c r="D598" s="56" t="str">
        <f aca="false">IF('12 Auto Doors &amp; Shutters'!$C$29="","",'12 Auto Doors &amp; Shutters'!C29)</f>
        <v/>
      </c>
      <c r="E598" s="56" t="str">
        <f aca="false">IF('12 Auto Doors &amp; Shutters'!$C$29="","",'12 Auto Doors &amp; Shutters'!D29)</f>
        <v/>
      </c>
      <c r="F598" s="56" t="str">
        <f aca="false">IF('12 Auto Doors &amp; Shutters'!$C$29="","",'12 Auto Doors &amp; Shutters'!E29)</f>
        <v/>
      </c>
      <c r="G598" s="56" t="str">
        <f aca="false">IF('12 Auto Doors &amp; Shutters'!$C$29="","",'12 Auto Doors &amp; Shutters'!F29)</f>
        <v/>
      </c>
      <c r="H598" s="57" t="str">
        <f aca="false">IF('12 Auto Doors &amp; Shutters'!$C$29="","",'12 Auto Doors &amp; Shutters'!G29)</f>
        <v/>
      </c>
      <c r="I598" s="58" t="str">
        <f aca="false">IF('12 Auto Doors &amp; Shutters'!$C$29="","",'12 Auto Doors &amp; Shutters'!J29)</f>
        <v/>
      </c>
      <c r="J598" s="58" t="str">
        <f aca="false">IF('12 Auto Doors &amp; Shutters'!$C$29="","",'12 Auto Doors &amp; Shutters'!K29)</f>
        <v/>
      </c>
      <c r="K598" s="58" t="str">
        <f aca="false">IF('12 Auto Doors &amp; Shutters'!$C$29="","",'12 Auto Doors &amp; Shutters'!L29)</f>
        <v/>
      </c>
      <c r="L598" s="57" t="str">
        <f aca="false">IF('12 Auto Doors &amp; Shutters'!$C$29="","",'12 Auto Doors &amp; Shutters'!M29)</f>
        <v/>
      </c>
      <c r="M598" s="59" t="str">
        <f aca="false">IF(D598="","",IF(AND(OR(Search!$C$6="All Categories",A598=Search!$C$6),OR(Search!$P$5="",ISNUMBER(SEARCH(" "&amp;Search!$P$5,N598))),OR(Search!$P$6="",ISNUMBER(SEARCH(" "&amp;Search!$P$6,N598))),OR(Search!$P$7="",ISNUMBER(SEARCH(" "&amp;Search!$P$7,N598))),OR(Search!$P$8="",ISNUMBER(SEARCH(" "&amp;Search!$P$8,N598))),OR(Search!$P$9="",ISNUMBER(SEARCH(" "&amp;Search!$P$9,N598))),OR(Search!$P$10="",ISNUMBER(SEARCH(" "&amp;Search!$P$10,N598)))),ROW(),""))</f>
        <v/>
      </c>
      <c r="N598" s="0" t="str">
        <f aca="false">IF(D598="",""," "&amp;SUBSTITUTE(SUBSTITUTE(SUBSTITUTE(SUBSTITUTE(SUBSTITUTE(SUBSTITUTE(SUBSTITUTE(B598&amp;" "&amp;C598&amp;" "&amp;D598&amp;" "&amp;E598&amp;" "&amp;F598&amp;" "&amp;G598&amp;" "&amp;H598&amp;" "&amp;'12 Auto Doors &amp; Shutters'!R29,"("," "),")"," "),"/"," "),"-"," "),","," "),";"," "),":"," ")&amp;" ")</f>
        <v/>
      </c>
    </row>
    <row r="599" customFormat="false" ht="15" hidden="false" customHeight="false" outlineLevel="0" collapsed="false">
      <c r="A599" s="56" t="str">
        <f aca="false">IF('12 Auto Doors &amp; Shutters'!$C$30="","","Automatic Doors, Operators &amp; Shutters")</f>
        <v/>
      </c>
      <c r="B599" s="57" t="str">
        <f aca="false">IF('12 Auto Doors &amp; Shutters'!$C$30="","",'12 Auto Doors &amp; Shutters'!A30)</f>
        <v/>
      </c>
      <c r="C599" s="56" t="str">
        <f aca="false">IF('12 Auto Doors &amp; Shutters'!$C$30="","",'12 Auto Doors &amp; Shutters'!B30)</f>
        <v/>
      </c>
      <c r="D599" s="56" t="str">
        <f aca="false">IF('12 Auto Doors &amp; Shutters'!$C$30="","",'12 Auto Doors &amp; Shutters'!C30)</f>
        <v/>
      </c>
      <c r="E599" s="56" t="str">
        <f aca="false">IF('12 Auto Doors &amp; Shutters'!$C$30="","",'12 Auto Doors &amp; Shutters'!D30)</f>
        <v/>
      </c>
      <c r="F599" s="56" t="str">
        <f aca="false">IF('12 Auto Doors &amp; Shutters'!$C$30="","",'12 Auto Doors &amp; Shutters'!E30)</f>
        <v/>
      </c>
      <c r="G599" s="56" t="str">
        <f aca="false">IF('12 Auto Doors &amp; Shutters'!$C$30="","",'12 Auto Doors &amp; Shutters'!F30)</f>
        <v/>
      </c>
      <c r="H599" s="57" t="str">
        <f aca="false">IF('12 Auto Doors &amp; Shutters'!$C$30="","",'12 Auto Doors &amp; Shutters'!G30)</f>
        <v/>
      </c>
      <c r="I599" s="58" t="str">
        <f aca="false">IF('12 Auto Doors &amp; Shutters'!$C$30="","",'12 Auto Doors &amp; Shutters'!J30)</f>
        <v/>
      </c>
      <c r="J599" s="58" t="str">
        <f aca="false">IF('12 Auto Doors &amp; Shutters'!$C$30="","",'12 Auto Doors &amp; Shutters'!K30)</f>
        <v/>
      </c>
      <c r="K599" s="58" t="str">
        <f aca="false">IF('12 Auto Doors &amp; Shutters'!$C$30="","",'12 Auto Doors &amp; Shutters'!L30)</f>
        <v/>
      </c>
      <c r="L599" s="57" t="str">
        <f aca="false">IF('12 Auto Doors &amp; Shutters'!$C$30="","",'12 Auto Doors &amp; Shutters'!M30)</f>
        <v/>
      </c>
      <c r="M599" s="59" t="str">
        <f aca="false">IF(D599="","",IF(AND(OR(Search!$C$6="All Categories",A599=Search!$C$6),OR(Search!$P$5="",ISNUMBER(SEARCH(" "&amp;Search!$P$5,N599))),OR(Search!$P$6="",ISNUMBER(SEARCH(" "&amp;Search!$P$6,N599))),OR(Search!$P$7="",ISNUMBER(SEARCH(" "&amp;Search!$P$7,N599))),OR(Search!$P$8="",ISNUMBER(SEARCH(" "&amp;Search!$P$8,N599))),OR(Search!$P$9="",ISNUMBER(SEARCH(" "&amp;Search!$P$9,N599))),OR(Search!$P$10="",ISNUMBER(SEARCH(" "&amp;Search!$P$10,N599)))),ROW(),""))</f>
        <v/>
      </c>
      <c r="N599" s="0" t="str">
        <f aca="false">IF(D599="",""," "&amp;SUBSTITUTE(SUBSTITUTE(SUBSTITUTE(SUBSTITUTE(SUBSTITUTE(SUBSTITUTE(SUBSTITUTE(B599&amp;" "&amp;C599&amp;" "&amp;D599&amp;" "&amp;E599&amp;" "&amp;F599&amp;" "&amp;G599&amp;" "&amp;H599&amp;" "&amp;'12 Auto Doors &amp; Shutters'!R30,"("," "),")"," "),"/"," "),"-"," "),","," "),";"," "),":"," ")&amp;" ")</f>
        <v/>
      </c>
    </row>
    <row r="600" customFormat="false" ht="15" hidden="false" customHeight="false" outlineLevel="0" collapsed="false">
      <c r="A600" s="56" t="str">
        <f aca="false">IF('12 Auto Doors &amp; Shutters'!$C$31="","","Automatic Doors, Operators &amp; Shutters")</f>
        <v/>
      </c>
      <c r="B600" s="57" t="str">
        <f aca="false">IF('12 Auto Doors &amp; Shutters'!$C$31="","",'12 Auto Doors &amp; Shutters'!A31)</f>
        <v/>
      </c>
      <c r="C600" s="56" t="str">
        <f aca="false">IF('12 Auto Doors &amp; Shutters'!$C$31="","",'12 Auto Doors &amp; Shutters'!B31)</f>
        <v/>
      </c>
      <c r="D600" s="56" t="str">
        <f aca="false">IF('12 Auto Doors &amp; Shutters'!$C$31="","",'12 Auto Doors &amp; Shutters'!C31)</f>
        <v/>
      </c>
      <c r="E600" s="56" t="str">
        <f aca="false">IF('12 Auto Doors &amp; Shutters'!$C$31="","",'12 Auto Doors &amp; Shutters'!D31)</f>
        <v/>
      </c>
      <c r="F600" s="56" t="str">
        <f aca="false">IF('12 Auto Doors &amp; Shutters'!$C$31="","",'12 Auto Doors &amp; Shutters'!E31)</f>
        <v/>
      </c>
      <c r="G600" s="56" t="str">
        <f aca="false">IF('12 Auto Doors &amp; Shutters'!$C$31="","",'12 Auto Doors &amp; Shutters'!F31)</f>
        <v/>
      </c>
      <c r="H600" s="57" t="str">
        <f aca="false">IF('12 Auto Doors &amp; Shutters'!$C$31="","",'12 Auto Doors &amp; Shutters'!G31)</f>
        <v/>
      </c>
      <c r="I600" s="58" t="str">
        <f aca="false">IF('12 Auto Doors &amp; Shutters'!$C$31="","",'12 Auto Doors &amp; Shutters'!J31)</f>
        <v/>
      </c>
      <c r="J600" s="58" t="str">
        <f aca="false">IF('12 Auto Doors &amp; Shutters'!$C$31="","",'12 Auto Doors &amp; Shutters'!K31)</f>
        <v/>
      </c>
      <c r="K600" s="58" t="str">
        <f aca="false">IF('12 Auto Doors &amp; Shutters'!$C$31="","",'12 Auto Doors &amp; Shutters'!L31)</f>
        <v/>
      </c>
      <c r="L600" s="57" t="str">
        <f aca="false">IF('12 Auto Doors &amp; Shutters'!$C$31="","",'12 Auto Doors &amp; Shutters'!M31)</f>
        <v/>
      </c>
      <c r="M600" s="59" t="str">
        <f aca="false">IF(D600="","",IF(AND(OR(Search!$C$6="All Categories",A600=Search!$C$6),OR(Search!$P$5="",ISNUMBER(SEARCH(" "&amp;Search!$P$5,N600))),OR(Search!$P$6="",ISNUMBER(SEARCH(" "&amp;Search!$P$6,N600))),OR(Search!$P$7="",ISNUMBER(SEARCH(" "&amp;Search!$P$7,N600))),OR(Search!$P$8="",ISNUMBER(SEARCH(" "&amp;Search!$P$8,N600))),OR(Search!$P$9="",ISNUMBER(SEARCH(" "&amp;Search!$P$9,N600))),OR(Search!$P$10="",ISNUMBER(SEARCH(" "&amp;Search!$P$10,N600)))),ROW(),""))</f>
        <v/>
      </c>
      <c r="N600" s="0" t="str">
        <f aca="false">IF(D600="",""," "&amp;SUBSTITUTE(SUBSTITUTE(SUBSTITUTE(SUBSTITUTE(SUBSTITUTE(SUBSTITUTE(SUBSTITUTE(B600&amp;" "&amp;C600&amp;" "&amp;D600&amp;" "&amp;E600&amp;" "&amp;F600&amp;" "&amp;G600&amp;" "&amp;H600&amp;" "&amp;'12 Auto Doors &amp; Shutters'!R31,"("," "),")"," "),"/"," "),"-"," "),","," "),";"," "),":"," ")&amp;" ")</f>
        <v/>
      </c>
    </row>
    <row r="601" customFormat="false" ht="15" hidden="false" customHeight="false" outlineLevel="0" collapsed="false">
      <c r="A601" s="56" t="str">
        <f aca="false">IF('12 Auto Doors &amp; Shutters'!$C$32="","","Automatic Doors, Operators &amp; Shutters")</f>
        <v/>
      </c>
      <c r="B601" s="57" t="str">
        <f aca="false">IF('12 Auto Doors &amp; Shutters'!$C$32="","",'12 Auto Doors &amp; Shutters'!A32)</f>
        <v/>
      </c>
      <c r="C601" s="56" t="str">
        <f aca="false">IF('12 Auto Doors &amp; Shutters'!$C$32="","",'12 Auto Doors &amp; Shutters'!B32)</f>
        <v/>
      </c>
      <c r="D601" s="56" t="str">
        <f aca="false">IF('12 Auto Doors &amp; Shutters'!$C$32="","",'12 Auto Doors &amp; Shutters'!C32)</f>
        <v/>
      </c>
      <c r="E601" s="56" t="str">
        <f aca="false">IF('12 Auto Doors &amp; Shutters'!$C$32="","",'12 Auto Doors &amp; Shutters'!D32)</f>
        <v/>
      </c>
      <c r="F601" s="56" t="str">
        <f aca="false">IF('12 Auto Doors &amp; Shutters'!$C$32="","",'12 Auto Doors &amp; Shutters'!E32)</f>
        <v/>
      </c>
      <c r="G601" s="56" t="str">
        <f aca="false">IF('12 Auto Doors &amp; Shutters'!$C$32="","",'12 Auto Doors &amp; Shutters'!F32)</f>
        <v/>
      </c>
      <c r="H601" s="57" t="str">
        <f aca="false">IF('12 Auto Doors &amp; Shutters'!$C$32="","",'12 Auto Doors &amp; Shutters'!G32)</f>
        <v/>
      </c>
      <c r="I601" s="58" t="str">
        <f aca="false">IF('12 Auto Doors &amp; Shutters'!$C$32="","",'12 Auto Doors &amp; Shutters'!J32)</f>
        <v/>
      </c>
      <c r="J601" s="58" t="str">
        <f aca="false">IF('12 Auto Doors &amp; Shutters'!$C$32="","",'12 Auto Doors &amp; Shutters'!K32)</f>
        <v/>
      </c>
      <c r="K601" s="58" t="str">
        <f aca="false">IF('12 Auto Doors &amp; Shutters'!$C$32="","",'12 Auto Doors &amp; Shutters'!L32)</f>
        <v/>
      </c>
      <c r="L601" s="57" t="str">
        <f aca="false">IF('12 Auto Doors &amp; Shutters'!$C$32="","",'12 Auto Doors &amp; Shutters'!M32)</f>
        <v/>
      </c>
      <c r="M601" s="59" t="str">
        <f aca="false">IF(D601="","",IF(AND(OR(Search!$C$6="All Categories",A601=Search!$C$6),OR(Search!$P$5="",ISNUMBER(SEARCH(" "&amp;Search!$P$5,N601))),OR(Search!$P$6="",ISNUMBER(SEARCH(" "&amp;Search!$P$6,N601))),OR(Search!$P$7="",ISNUMBER(SEARCH(" "&amp;Search!$P$7,N601))),OR(Search!$P$8="",ISNUMBER(SEARCH(" "&amp;Search!$P$8,N601))),OR(Search!$P$9="",ISNUMBER(SEARCH(" "&amp;Search!$P$9,N601))),OR(Search!$P$10="",ISNUMBER(SEARCH(" "&amp;Search!$P$10,N601)))),ROW(),""))</f>
        <v/>
      </c>
      <c r="N601" s="0" t="str">
        <f aca="false">IF(D601="",""," "&amp;SUBSTITUTE(SUBSTITUTE(SUBSTITUTE(SUBSTITUTE(SUBSTITUTE(SUBSTITUTE(SUBSTITUTE(B601&amp;" "&amp;C601&amp;" "&amp;D601&amp;" "&amp;E601&amp;" "&amp;F601&amp;" "&amp;G601&amp;" "&amp;H601&amp;" "&amp;'12 Auto Doors &amp; Shutters'!R32,"("," "),")"," "),"/"," "),"-"," "),","," "),";"," "),":"," ")&amp;" ")</f>
        <v/>
      </c>
    </row>
    <row r="602" customFormat="false" ht="15" hidden="false" customHeight="false" outlineLevel="0" collapsed="false">
      <c r="A602" s="56" t="str">
        <f aca="false">IF('12 Auto Doors &amp; Shutters'!$C$33="","","Automatic Doors, Operators &amp; Shutters")</f>
        <v/>
      </c>
      <c r="B602" s="57" t="str">
        <f aca="false">IF('12 Auto Doors &amp; Shutters'!$C$33="","",'12 Auto Doors &amp; Shutters'!A33)</f>
        <v/>
      </c>
      <c r="C602" s="56" t="str">
        <f aca="false">IF('12 Auto Doors &amp; Shutters'!$C$33="","",'12 Auto Doors &amp; Shutters'!B33)</f>
        <v/>
      </c>
      <c r="D602" s="56" t="str">
        <f aca="false">IF('12 Auto Doors &amp; Shutters'!$C$33="","",'12 Auto Doors &amp; Shutters'!C33)</f>
        <v/>
      </c>
      <c r="E602" s="56" t="str">
        <f aca="false">IF('12 Auto Doors &amp; Shutters'!$C$33="","",'12 Auto Doors &amp; Shutters'!D33)</f>
        <v/>
      </c>
      <c r="F602" s="56" t="str">
        <f aca="false">IF('12 Auto Doors &amp; Shutters'!$C$33="","",'12 Auto Doors &amp; Shutters'!E33)</f>
        <v/>
      </c>
      <c r="G602" s="56" t="str">
        <f aca="false">IF('12 Auto Doors &amp; Shutters'!$C$33="","",'12 Auto Doors &amp; Shutters'!F33)</f>
        <v/>
      </c>
      <c r="H602" s="57" t="str">
        <f aca="false">IF('12 Auto Doors &amp; Shutters'!$C$33="","",'12 Auto Doors &amp; Shutters'!G33)</f>
        <v/>
      </c>
      <c r="I602" s="58" t="str">
        <f aca="false">IF('12 Auto Doors &amp; Shutters'!$C$33="","",'12 Auto Doors &amp; Shutters'!J33)</f>
        <v/>
      </c>
      <c r="J602" s="58" t="str">
        <f aca="false">IF('12 Auto Doors &amp; Shutters'!$C$33="","",'12 Auto Doors &amp; Shutters'!K33)</f>
        <v/>
      </c>
      <c r="K602" s="58" t="str">
        <f aca="false">IF('12 Auto Doors &amp; Shutters'!$C$33="","",'12 Auto Doors &amp; Shutters'!L33)</f>
        <v/>
      </c>
      <c r="L602" s="57" t="str">
        <f aca="false">IF('12 Auto Doors &amp; Shutters'!$C$33="","",'12 Auto Doors &amp; Shutters'!M33)</f>
        <v/>
      </c>
      <c r="M602" s="59" t="str">
        <f aca="false">IF(D602="","",IF(AND(OR(Search!$C$6="All Categories",A602=Search!$C$6),OR(Search!$P$5="",ISNUMBER(SEARCH(" "&amp;Search!$P$5,N602))),OR(Search!$P$6="",ISNUMBER(SEARCH(" "&amp;Search!$P$6,N602))),OR(Search!$P$7="",ISNUMBER(SEARCH(" "&amp;Search!$P$7,N602))),OR(Search!$P$8="",ISNUMBER(SEARCH(" "&amp;Search!$P$8,N602))),OR(Search!$P$9="",ISNUMBER(SEARCH(" "&amp;Search!$P$9,N602))),OR(Search!$P$10="",ISNUMBER(SEARCH(" "&amp;Search!$P$10,N602)))),ROW(),""))</f>
        <v/>
      </c>
      <c r="N602" s="0" t="str">
        <f aca="false">IF(D602="",""," "&amp;SUBSTITUTE(SUBSTITUTE(SUBSTITUTE(SUBSTITUTE(SUBSTITUTE(SUBSTITUTE(SUBSTITUTE(B602&amp;" "&amp;C602&amp;" "&amp;D602&amp;" "&amp;E602&amp;" "&amp;F602&amp;" "&amp;G602&amp;" "&amp;H602&amp;" "&amp;'12 Auto Doors &amp; Shutters'!R33,"("," "),")"," "),"/"," "),"-"," "),","," "),";"," "),":"," ")&amp;" ")</f>
        <v/>
      </c>
    </row>
    <row r="603" customFormat="false" ht="15" hidden="false" customHeight="false" outlineLevel="0" collapsed="false">
      <c r="A603" s="56" t="str">
        <f aca="false">IF('12 Auto Doors &amp; Shutters'!$C$34="","","Automatic Doors, Operators &amp; Shutters")</f>
        <v/>
      </c>
      <c r="B603" s="57" t="str">
        <f aca="false">IF('12 Auto Doors &amp; Shutters'!$C$34="","",'12 Auto Doors &amp; Shutters'!A34)</f>
        <v/>
      </c>
      <c r="C603" s="56" t="str">
        <f aca="false">IF('12 Auto Doors &amp; Shutters'!$C$34="","",'12 Auto Doors &amp; Shutters'!B34)</f>
        <v/>
      </c>
      <c r="D603" s="56" t="str">
        <f aca="false">IF('12 Auto Doors &amp; Shutters'!$C$34="","",'12 Auto Doors &amp; Shutters'!C34)</f>
        <v/>
      </c>
      <c r="E603" s="56" t="str">
        <f aca="false">IF('12 Auto Doors &amp; Shutters'!$C$34="","",'12 Auto Doors &amp; Shutters'!D34)</f>
        <v/>
      </c>
      <c r="F603" s="56" t="str">
        <f aca="false">IF('12 Auto Doors &amp; Shutters'!$C$34="","",'12 Auto Doors &amp; Shutters'!E34)</f>
        <v/>
      </c>
      <c r="G603" s="56" t="str">
        <f aca="false">IF('12 Auto Doors &amp; Shutters'!$C$34="","",'12 Auto Doors &amp; Shutters'!F34)</f>
        <v/>
      </c>
      <c r="H603" s="57" t="str">
        <f aca="false">IF('12 Auto Doors &amp; Shutters'!$C$34="","",'12 Auto Doors &amp; Shutters'!G34)</f>
        <v/>
      </c>
      <c r="I603" s="58" t="str">
        <f aca="false">IF('12 Auto Doors &amp; Shutters'!$C$34="","",'12 Auto Doors &amp; Shutters'!J34)</f>
        <v/>
      </c>
      <c r="J603" s="58" t="str">
        <f aca="false">IF('12 Auto Doors &amp; Shutters'!$C$34="","",'12 Auto Doors &amp; Shutters'!K34)</f>
        <v/>
      </c>
      <c r="K603" s="58" t="str">
        <f aca="false">IF('12 Auto Doors &amp; Shutters'!$C$34="","",'12 Auto Doors &amp; Shutters'!L34)</f>
        <v/>
      </c>
      <c r="L603" s="57" t="str">
        <f aca="false">IF('12 Auto Doors &amp; Shutters'!$C$34="","",'12 Auto Doors &amp; Shutters'!M34)</f>
        <v/>
      </c>
      <c r="M603" s="59" t="str">
        <f aca="false">IF(D603="","",IF(AND(OR(Search!$C$6="All Categories",A603=Search!$C$6),OR(Search!$P$5="",ISNUMBER(SEARCH(" "&amp;Search!$P$5,N603))),OR(Search!$P$6="",ISNUMBER(SEARCH(" "&amp;Search!$P$6,N603))),OR(Search!$P$7="",ISNUMBER(SEARCH(" "&amp;Search!$P$7,N603))),OR(Search!$P$8="",ISNUMBER(SEARCH(" "&amp;Search!$P$8,N603))),OR(Search!$P$9="",ISNUMBER(SEARCH(" "&amp;Search!$P$9,N603))),OR(Search!$P$10="",ISNUMBER(SEARCH(" "&amp;Search!$P$10,N603)))),ROW(),""))</f>
        <v/>
      </c>
      <c r="N603" s="0" t="str">
        <f aca="false">IF(D603="",""," "&amp;SUBSTITUTE(SUBSTITUTE(SUBSTITUTE(SUBSTITUTE(SUBSTITUTE(SUBSTITUTE(SUBSTITUTE(B603&amp;" "&amp;C603&amp;" "&amp;D603&amp;" "&amp;E603&amp;" "&amp;F603&amp;" "&amp;G603&amp;" "&amp;H603&amp;" "&amp;'12 Auto Doors &amp; Shutters'!R34,"("," "),")"," "),"/"," "),"-"," "),","," "),";"," "),":"," ")&amp;" ")</f>
        <v/>
      </c>
    </row>
    <row r="604" customFormat="false" ht="15" hidden="false" customHeight="false" outlineLevel="0" collapsed="false">
      <c r="A604" s="56" t="str">
        <f aca="false">IF('12 Auto Doors &amp; Shutters'!$C$35="","","Automatic Doors, Operators &amp; Shutters")</f>
        <v/>
      </c>
      <c r="B604" s="57" t="str">
        <f aca="false">IF('12 Auto Doors &amp; Shutters'!$C$35="","",'12 Auto Doors &amp; Shutters'!A35)</f>
        <v/>
      </c>
      <c r="C604" s="56" t="str">
        <f aca="false">IF('12 Auto Doors &amp; Shutters'!$C$35="","",'12 Auto Doors &amp; Shutters'!B35)</f>
        <v/>
      </c>
      <c r="D604" s="56" t="str">
        <f aca="false">IF('12 Auto Doors &amp; Shutters'!$C$35="","",'12 Auto Doors &amp; Shutters'!C35)</f>
        <v/>
      </c>
      <c r="E604" s="56" t="str">
        <f aca="false">IF('12 Auto Doors &amp; Shutters'!$C$35="","",'12 Auto Doors &amp; Shutters'!D35)</f>
        <v/>
      </c>
      <c r="F604" s="56" t="str">
        <f aca="false">IF('12 Auto Doors &amp; Shutters'!$C$35="","",'12 Auto Doors &amp; Shutters'!E35)</f>
        <v/>
      </c>
      <c r="G604" s="56" t="str">
        <f aca="false">IF('12 Auto Doors &amp; Shutters'!$C$35="","",'12 Auto Doors &amp; Shutters'!F35)</f>
        <v/>
      </c>
      <c r="H604" s="57" t="str">
        <f aca="false">IF('12 Auto Doors &amp; Shutters'!$C$35="","",'12 Auto Doors &amp; Shutters'!G35)</f>
        <v/>
      </c>
      <c r="I604" s="58" t="str">
        <f aca="false">IF('12 Auto Doors &amp; Shutters'!$C$35="","",'12 Auto Doors &amp; Shutters'!J35)</f>
        <v/>
      </c>
      <c r="J604" s="58" t="str">
        <f aca="false">IF('12 Auto Doors &amp; Shutters'!$C$35="","",'12 Auto Doors &amp; Shutters'!K35)</f>
        <v/>
      </c>
      <c r="K604" s="58" t="str">
        <f aca="false">IF('12 Auto Doors &amp; Shutters'!$C$35="","",'12 Auto Doors &amp; Shutters'!L35)</f>
        <v/>
      </c>
      <c r="L604" s="57" t="str">
        <f aca="false">IF('12 Auto Doors &amp; Shutters'!$C$35="","",'12 Auto Doors &amp; Shutters'!M35)</f>
        <v/>
      </c>
      <c r="M604" s="59" t="str">
        <f aca="false">IF(D604="","",IF(AND(OR(Search!$C$6="All Categories",A604=Search!$C$6),OR(Search!$P$5="",ISNUMBER(SEARCH(" "&amp;Search!$P$5,N604))),OR(Search!$P$6="",ISNUMBER(SEARCH(" "&amp;Search!$P$6,N604))),OR(Search!$P$7="",ISNUMBER(SEARCH(" "&amp;Search!$P$7,N604))),OR(Search!$P$8="",ISNUMBER(SEARCH(" "&amp;Search!$P$8,N604))),OR(Search!$P$9="",ISNUMBER(SEARCH(" "&amp;Search!$P$9,N604))),OR(Search!$P$10="",ISNUMBER(SEARCH(" "&amp;Search!$P$10,N604)))),ROW(),""))</f>
        <v/>
      </c>
      <c r="N604" s="0" t="str">
        <f aca="false">IF(D604="",""," "&amp;SUBSTITUTE(SUBSTITUTE(SUBSTITUTE(SUBSTITUTE(SUBSTITUTE(SUBSTITUTE(SUBSTITUTE(B604&amp;" "&amp;C604&amp;" "&amp;D604&amp;" "&amp;E604&amp;" "&amp;F604&amp;" "&amp;G604&amp;" "&amp;H604&amp;" "&amp;'12 Auto Doors &amp; Shutters'!R35,"("," "),")"," "),"/"," "),"-"," "),","," "),";"," "),":"," ")&amp;" ")</f>
        <v/>
      </c>
    </row>
    <row r="605" customFormat="false" ht="15" hidden="false" customHeight="false" outlineLevel="0" collapsed="false">
      <c r="A605" s="56" t="str">
        <f aca="false">IF('12 Auto Doors &amp; Shutters'!$C$36="","","Automatic Doors, Operators &amp; Shutters")</f>
        <v/>
      </c>
      <c r="B605" s="57" t="str">
        <f aca="false">IF('12 Auto Doors &amp; Shutters'!$C$36="","",'12 Auto Doors &amp; Shutters'!A36)</f>
        <v/>
      </c>
      <c r="C605" s="56" t="str">
        <f aca="false">IF('12 Auto Doors &amp; Shutters'!$C$36="","",'12 Auto Doors &amp; Shutters'!B36)</f>
        <v/>
      </c>
      <c r="D605" s="56" t="str">
        <f aca="false">IF('12 Auto Doors &amp; Shutters'!$C$36="","",'12 Auto Doors &amp; Shutters'!C36)</f>
        <v/>
      </c>
      <c r="E605" s="56" t="str">
        <f aca="false">IF('12 Auto Doors &amp; Shutters'!$C$36="","",'12 Auto Doors &amp; Shutters'!D36)</f>
        <v/>
      </c>
      <c r="F605" s="56" t="str">
        <f aca="false">IF('12 Auto Doors &amp; Shutters'!$C$36="","",'12 Auto Doors &amp; Shutters'!E36)</f>
        <v/>
      </c>
      <c r="G605" s="56" t="str">
        <f aca="false">IF('12 Auto Doors &amp; Shutters'!$C$36="","",'12 Auto Doors &amp; Shutters'!F36)</f>
        <v/>
      </c>
      <c r="H605" s="57" t="str">
        <f aca="false">IF('12 Auto Doors &amp; Shutters'!$C$36="","",'12 Auto Doors &amp; Shutters'!G36)</f>
        <v/>
      </c>
      <c r="I605" s="58" t="str">
        <f aca="false">IF('12 Auto Doors &amp; Shutters'!$C$36="","",'12 Auto Doors &amp; Shutters'!J36)</f>
        <v/>
      </c>
      <c r="J605" s="58" t="str">
        <f aca="false">IF('12 Auto Doors &amp; Shutters'!$C$36="","",'12 Auto Doors &amp; Shutters'!K36)</f>
        <v/>
      </c>
      <c r="K605" s="58" t="str">
        <f aca="false">IF('12 Auto Doors &amp; Shutters'!$C$36="","",'12 Auto Doors &amp; Shutters'!L36)</f>
        <v/>
      </c>
      <c r="L605" s="57" t="str">
        <f aca="false">IF('12 Auto Doors &amp; Shutters'!$C$36="","",'12 Auto Doors &amp; Shutters'!M36)</f>
        <v/>
      </c>
      <c r="M605" s="59" t="str">
        <f aca="false">IF(D605="","",IF(AND(OR(Search!$C$6="All Categories",A605=Search!$C$6),OR(Search!$P$5="",ISNUMBER(SEARCH(" "&amp;Search!$P$5,N605))),OR(Search!$P$6="",ISNUMBER(SEARCH(" "&amp;Search!$P$6,N605))),OR(Search!$P$7="",ISNUMBER(SEARCH(" "&amp;Search!$P$7,N605))),OR(Search!$P$8="",ISNUMBER(SEARCH(" "&amp;Search!$P$8,N605))),OR(Search!$P$9="",ISNUMBER(SEARCH(" "&amp;Search!$P$9,N605))),OR(Search!$P$10="",ISNUMBER(SEARCH(" "&amp;Search!$P$10,N605)))),ROW(),""))</f>
        <v/>
      </c>
      <c r="N605" s="0" t="str">
        <f aca="false">IF(D605="",""," "&amp;SUBSTITUTE(SUBSTITUTE(SUBSTITUTE(SUBSTITUTE(SUBSTITUTE(SUBSTITUTE(SUBSTITUTE(B605&amp;" "&amp;C605&amp;" "&amp;D605&amp;" "&amp;E605&amp;" "&amp;F605&amp;" "&amp;G605&amp;" "&amp;H605&amp;" "&amp;'12 Auto Doors &amp; Shutters'!R36,"("," "),")"," "),"/"," "),"-"," "),","," "),";"," "),":"," ")&amp;" ")</f>
        <v/>
      </c>
    </row>
    <row r="606" customFormat="false" ht="15" hidden="false" customHeight="false" outlineLevel="0" collapsed="false">
      <c r="A606" s="56" t="str">
        <f aca="false">IF('12 Auto Doors &amp; Shutters'!$C$37="","","Automatic Doors, Operators &amp; Shutters")</f>
        <v/>
      </c>
      <c r="B606" s="57" t="str">
        <f aca="false">IF('12 Auto Doors &amp; Shutters'!$C$37="","",'12 Auto Doors &amp; Shutters'!A37)</f>
        <v/>
      </c>
      <c r="C606" s="56" t="str">
        <f aca="false">IF('12 Auto Doors &amp; Shutters'!$C$37="","",'12 Auto Doors &amp; Shutters'!B37)</f>
        <v/>
      </c>
      <c r="D606" s="56" t="str">
        <f aca="false">IF('12 Auto Doors &amp; Shutters'!$C$37="","",'12 Auto Doors &amp; Shutters'!C37)</f>
        <v/>
      </c>
      <c r="E606" s="56" t="str">
        <f aca="false">IF('12 Auto Doors &amp; Shutters'!$C$37="","",'12 Auto Doors &amp; Shutters'!D37)</f>
        <v/>
      </c>
      <c r="F606" s="56" t="str">
        <f aca="false">IF('12 Auto Doors &amp; Shutters'!$C$37="","",'12 Auto Doors &amp; Shutters'!E37)</f>
        <v/>
      </c>
      <c r="G606" s="56" t="str">
        <f aca="false">IF('12 Auto Doors &amp; Shutters'!$C$37="","",'12 Auto Doors &amp; Shutters'!F37)</f>
        <v/>
      </c>
      <c r="H606" s="57" t="str">
        <f aca="false">IF('12 Auto Doors &amp; Shutters'!$C$37="","",'12 Auto Doors &amp; Shutters'!G37)</f>
        <v/>
      </c>
      <c r="I606" s="58" t="str">
        <f aca="false">IF('12 Auto Doors &amp; Shutters'!$C$37="","",'12 Auto Doors &amp; Shutters'!J37)</f>
        <v/>
      </c>
      <c r="J606" s="58" t="str">
        <f aca="false">IF('12 Auto Doors &amp; Shutters'!$C$37="","",'12 Auto Doors &amp; Shutters'!K37)</f>
        <v/>
      </c>
      <c r="K606" s="58" t="str">
        <f aca="false">IF('12 Auto Doors &amp; Shutters'!$C$37="","",'12 Auto Doors &amp; Shutters'!L37)</f>
        <v/>
      </c>
      <c r="L606" s="57" t="str">
        <f aca="false">IF('12 Auto Doors &amp; Shutters'!$C$37="","",'12 Auto Doors &amp; Shutters'!M37)</f>
        <v/>
      </c>
      <c r="M606" s="59" t="str">
        <f aca="false">IF(D606="","",IF(AND(OR(Search!$C$6="All Categories",A606=Search!$C$6),OR(Search!$P$5="",ISNUMBER(SEARCH(" "&amp;Search!$P$5,N606))),OR(Search!$P$6="",ISNUMBER(SEARCH(" "&amp;Search!$P$6,N606))),OR(Search!$P$7="",ISNUMBER(SEARCH(" "&amp;Search!$P$7,N606))),OR(Search!$P$8="",ISNUMBER(SEARCH(" "&amp;Search!$P$8,N606))),OR(Search!$P$9="",ISNUMBER(SEARCH(" "&amp;Search!$P$9,N606))),OR(Search!$P$10="",ISNUMBER(SEARCH(" "&amp;Search!$P$10,N606)))),ROW(),""))</f>
        <v/>
      </c>
      <c r="N606" s="0" t="str">
        <f aca="false">IF(D606="",""," "&amp;SUBSTITUTE(SUBSTITUTE(SUBSTITUTE(SUBSTITUTE(SUBSTITUTE(SUBSTITUTE(SUBSTITUTE(B606&amp;" "&amp;C606&amp;" "&amp;D606&amp;" "&amp;E606&amp;" "&amp;F606&amp;" "&amp;G606&amp;" "&amp;H606&amp;" "&amp;'12 Auto Doors &amp; Shutters'!R37,"("," "),")"," "),"/"," "),"-"," "),","," "),";"," "),":"," ")&amp;" ")</f>
        <v/>
      </c>
    </row>
    <row r="607" customFormat="false" ht="22.35" hidden="false" customHeight="false" outlineLevel="0" collapsed="false">
      <c r="A607" s="56" t="str">
        <f aca="false">IF('13 Coating &amp; Finishing'!$C$5="","","Coating, Finishing &amp; Treatment Services")</f>
        <v>Coating, Finishing &amp; Treatment Services</v>
      </c>
      <c r="B607" s="57" t="str">
        <f aca="false">IF('13 Coating &amp; Finishing'!$C$5="","",'13 Coating &amp; Finishing'!A5)</f>
        <v>CF-001</v>
      </c>
      <c r="C607" s="56" t="str">
        <f aca="false">IF('13 Coating &amp; Finishing'!$C$5="","",'13 Coating &amp; Finishing'!B5)</f>
        <v>Aluminium Finishing</v>
      </c>
      <c r="D607" s="56" t="str">
        <f aca="false">IF('13 Coating &amp; Finishing'!$C$5="","",'13 Coating &amp; Finishing'!C5)</f>
        <v>Powder coating (job work)</v>
      </c>
      <c r="E607" s="56" t="str">
        <f aca="false">IF('13 Coating &amp; Finishing'!$C$5="","",'13 Coating &amp; Finishing'!D5)</f>
        <v>Standard RAL, 60-80 micron</v>
      </c>
      <c r="F607" s="56" t="str">
        <f aca="false">IF('13 Coating &amp; Finishing'!$C$5="","",'13 Coating &amp; Finishing'!E5)</f>
        <v>Matt / gloss</v>
      </c>
      <c r="G607" s="56" t="str">
        <f aca="false">IF('13 Coating &amp; Finishing'!$C$5="","",'13 Coating &amp; Finishing'!F5)</f>
        <v>Local applicator</v>
      </c>
      <c r="H607" s="57" t="str">
        <f aca="false">IF('13 Coating &amp; Finishing'!$C$5="","",'13 Coating &amp; Finishing'!G5)</f>
        <v>kg</v>
      </c>
      <c r="I607" s="58" t="n">
        <f aca="false">IF('13 Coating &amp; Finishing'!$C$5="","",'13 Coating &amp; Finishing'!J5)</f>
        <v>3</v>
      </c>
      <c r="J607" s="58" t="n">
        <f aca="false">IF('13 Coating &amp; Finishing'!$C$5="","",'13 Coating &amp; Finishing'!K5)</f>
        <v>3.6</v>
      </c>
      <c r="K607" s="58" t="n">
        <f aca="false">IF('13 Coating &amp; Finishing'!$C$5="","",'13 Coating &amp; Finishing'!L5)</f>
        <v>3.78</v>
      </c>
      <c r="L607" s="57" t="str">
        <f aca="false">IF('13 Coating &amp; Finishing'!$C$5="","",'13 Coating &amp; Finishing'!M5)</f>
        <v>Indicative</v>
      </c>
      <c r="M607" s="59" t="str">
        <f aca="false">IF(D607="","",IF(AND(OR(Search!$C$6="All Categories",A607=Search!$C$6),OR(Search!$P$5="",ISNUMBER(SEARCH(" "&amp;Search!$P$5,N607))),OR(Search!$P$6="",ISNUMBER(SEARCH(" "&amp;Search!$P$6,N607))),OR(Search!$P$7="",ISNUMBER(SEARCH(" "&amp;Search!$P$7,N607))),OR(Search!$P$8="",ISNUMBER(SEARCH(" "&amp;Search!$P$8,N607))),OR(Search!$P$9="",ISNUMBER(SEARCH(" "&amp;Search!$P$9,N607))),OR(Search!$P$10="",ISNUMBER(SEARCH(" "&amp;Search!$P$10,N607)))),ROW(),""))</f>
        <v/>
      </c>
      <c r="N607" s="0" t="str">
        <f aca="false">IF(D607="",""," "&amp;SUBSTITUTE(SUBSTITUTE(SUBSTITUTE(SUBSTITUTE(SUBSTITUTE(SUBSTITUTE(SUBSTITUTE(B607&amp;" "&amp;C607&amp;" "&amp;D607&amp;" "&amp;E607&amp;" "&amp;F607&amp;" "&amp;G607&amp;" "&amp;H607&amp;" "&amp;'13 Coating &amp; Finishing'!R5,"("," "),")"," "),"/"," "),"-"," "),","," "),";"," "),":"," ")&amp;" ")</f>
        <v> CF 001 Aluminium Finishing Powder coating  job work  Standard RAL  60 80 micron Matt   gloss Local applicator kg aluminum alu pc stainless steel </v>
      </c>
    </row>
    <row r="608" customFormat="false" ht="22.35" hidden="false" customHeight="false" outlineLevel="0" collapsed="false">
      <c r="A608" s="56" t="str">
        <f aca="false">IF('13 Coating &amp; Finishing'!$C$6="","","Coating, Finishing &amp; Treatment Services")</f>
        <v>Coating, Finishing &amp; Treatment Services</v>
      </c>
      <c r="B608" s="57" t="str">
        <f aca="false">IF('13 Coating &amp; Finishing'!$C$6="","",'13 Coating &amp; Finishing'!A6)</f>
        <v>CF-002</v>
      </c>
      <c r="C608" s="56" t="str">
        <f aca="false">IF('13 Coating &amp; Finishing'!$C$6="","",'13 Coating &amp; Finishing'!B6)</f>
        <v>Aluminium Finishing</v>
      </c>
      <c r="D608" s="56" t="str">
        <f aca="false">IF('13 Coating &amp; Finishing'!$C$6="","",'13 Coating &amp; Finishing'!C6)</f>
        <v>Powder coating (job work)</v>
      </c>
      <c r="E608" s="56" t="str">
        <f aca="false">IF('13 Coating &amp; Finishing'!$C$6="","",'13 Coating &amp; Finishing'!D6)</f>
        <v>Standard RAL</v>
      </c>
      <c r="F608" s="56" t="str">
        <f aca="false">IF('13 Coating &amp; Finishing'!$C$6="","",'13 Coating &amp; Finishing'!E6)</f>
        <v>Matt / gloss</v>
      </c>
      <c r="G608" s="56" t="str">
        <f aca="false">IF('13 Coating &amp; Finishing'!$C$6="","",'13 Coating &amp; Finishing'!F6)</f>
        <v>Local applicator</v>
      </c>
      <c r="H608" s="57" t="str">
        <f aca="false">IF('13 Coating &amp; Finishing'!$C$6="","",'13 Coating &amp; Finishing'!G6)</f>
        <v>m2</v>
      </c>
      <c r="I608" s="58" t="n">
        <f aca="false">IF('13 Coating &amp; Finishing'!$C$6="","",'13 Coating &amp; Finishing'!J6)</f>
        <v>30</v>
      </c>
      <c r="J608" s="58" t="n">
        <f aca="false">IF('13 Coating &amp; Finishing'!$C$6="","",'13 Coating &amp; Finishing'!K6)</f>
        <v>36</v>
      </c>
      <c r="K608" s="58" t="n">
        <f aca="false">IF('13 Coating &amp; Finishing'!$C$6="","",'13 Coating &amp; Finishing'!L6)</f>
        <v>37.8</v>
      </c>
      <c r="L608" s="57" t="str">
        <f aca="false">IF('13 Coating &amp; Finishing'!$C$6="","",'13 Coating &amp; Finishing'!M6)</f>
        <v>Indicative</v>
      </c>
      <c r="M608" s="59" t="str">
        <f aca="false">IF(D608="","",IF(AND(OR(Search!$C$6="All Categories",A608=Search!$C$6),OR(Search!$P$5="",ISNUMBER(SEARCH(" "&amp;Search!$P$5,N608))),OR(Search!$P$6="",ISNUMBER(SEARCH(" "&amp;Search!$P$6,N608))),OR(Search!$P$7="",ISNUMBER(SEARCH(" "&amp;Search!$P$7,N608))),OR(Search!$P$8="",ISNUMBER(SEARCH(" "&amp;Search!$P$8,N608))),OR(Search!$P$9="",ISNUMBER(SEARCH(" "&amp;Search!$P$9,N608))),OR(Search!$P$10="",ISNUMBER(SEARCH(" "&amp;Search!$P$10,N608)))),ROW(),""))</f>
        <v/>
      </c>
      <c r="N608" s="0" t="str">
        <f aca="false">IF(D608="",""," "&amp;SUBSTITUTE(SUBSTITUTE(SUBSTITUTE(SUBSTITUTE(SUBSTITUTE(SUBSTITUTE(SUBSTITUTE(B608&amp;" "&amp;C608&amp;" "&amp;D608&amp;" "&amp;E608&amp;" "&amp;F608&amp;" "&amp;G608&amp;" "&amp;H608&amp;" "&amp;'13 Coating &amp; Finishing'!R6,"("," "),")"," "),"/"," "),"-"," "),","," "),";"," "),":"," ")&amp;" ")</f>
        <v> CF 002 Aluminium Finishing Powder coating  job work  Standard RAL Matt   gloss Local applicator m2 aluminum alu pc stainless steel </v>
      </c>
    </row>
    <row r="609" customFormat="false" ht="22.35" hidden="false" customHeight="false" outlineLevel="0" collapsed="false">
      <c r="A609" s="56" t="str">
        <f aca="false">IF('13 Coating &amp; Finishing'!$C$7="","","Coating, Finishing &amp; Treatment Services")</f>
        <v>Coating, Finishing &amp; Treatment Services</v>
      </c>
      <c r="B609" s="57" t="str">
        <f aca="false">IF('13 Coating &amp; Finishing'!$C$7="","",'13 Coating &amp; Finishing'!A7)</f>
        <v>CF-003</v>
      </c>
      <c r="C609" s="56" t="str">
        <f aca="false">IF('13 Coating &amp; Finishing'!$C$7="","",'13 Coating &amp; Finishing'!B7)</f>
        <v>Aluminium Finishing</v>
      </c>
      <c r="D609" s="56" t="str">
        <f aca="false">IF('13 Coating &amp; Finishing'!$C$7="","",'13 Coating &amp; Finishing'!C7)</f>
        <v>Powder coating - special / metallic / texture</v>
      </c>
      <c r="E609" s="56" t="str">
        <f aca="false">IF('13 Coating &amp; Finishing'!$C$7="","",'13 Coating &amp; Finishing'!D7)</f>
        <v>Per m2</v>
      </c>
      <c r="F609" s="56" t="str">
        <f aca="false">IF('13 Coating &amp; Finishing'!$C$7="","",'13 Coating &amp; Finishing'!E7)</f>
        <v>Special</v>
      </c>
      <c r="G609" s="56" t="str">
        <f aca="false">IF('13 Coating &amp; Finishing'!$C$7="","",'13 Coating &amp; Finishing'!F7)</f>
        <v>Local applicator</v>
      </c>
      <c r="H609" s="57" t="str">
        <f aca="false">IF('13 Coating &amp; Finishing'!$C$7="","",'13 Coating &amp; Finishing'!G7)</f>
        <v>m2</v>
      </c>
      <c r="I609" s="58" t="n">
        <f aca="false">IF('13 Coating &amp; Finishing'!$C$7="","",'13 Coating &amp; Finishing'!J7)</f>
        <v>45</v>
      </c>
      <c r="J609" s="58" t="n">
        <f aca="false">IF('13 Coating &amp; Finishing'!$C$7="","",'13 Coating &amp; Finishing'!K7)</f>
        <v>54</v>
      </c>
      <c r="K609" s="58" t="n">
        <f aca="false">IF('13 Coating &amp; Finishing'!$C$7="","",'13 Coating &amp; Finishing'!L7)</f>
        <v>56.7</v>
      </c>
      <c r="L609" s="57" t="str">
        <f aca="false">IF('13 Coating &amp; Finishing'!$C$7="","",'13 Coating &amp; Finishing'!M7)</f>
        <v>Indicative</v>
      </c>
      <c r="M609" s="59" t="str">
        <f aca="false">IF(D609="","",IF(AND(OR(Search!$C$6="All Categories",A609=Search!$C$6),OR(Search!$P$5="",ISNUMBER(SEARCH(" "&amp;Search!$P$5,N609))),OR(Search!$P$6="",ISNUMBER(SEARCH(" "&amp;Search!$P$6,N609))),OR(Search!$P$7="",ISNUMBER(SEARCH(" "&amp;Search!$P$7,N609))),OR(Search!$P$8="",ISNUMBER(SEARCH(" "&amp;Search!$P$8,N609))),OR(Search!$P$9="",ISNUMBER(SEARCH(" "&amp;Search!$P$9,N609))),OR(Search!$P$10="",ISNUMBER(SEARCH(" "&amp;Search!$P$10,N609)))),ROW(),""))</f>
        <v/>
      </c>
      <c r="N609" s="0" t="str">
        <f aca="false">IF(D609="",""," "&amp;SUBSTITUTE(SUBSTITUTE(SUBSTITUTE(SUBSTITUTE(SUBSTITUTE(SUBSTITUTE(SUBSTITUTE(B609&amp;" "&amp;C609&amp;" "&amp;D609&amp;" "&amp;E609&amp;" "&amp;F609&amp;" "&amp;G609&amp;" "&amp;H609&amp;" "&amp;'13 Coating &amp; Finishing'!R7,"("," "),")"," "),"/"," "),"-"," "),","," "),";"," "),":"," ")&amp;" ")</f>
        <v> CF 003 Aluminium Finishing Powder coating   special   metallic   texture Per m2 Special Local applicator m2 aluminum alu pc </v>
      </c>
    </row>
    <row r="610" customFormat="false" ht="22.35" hidden="false" customHeight="false" outlineLevel="0" collapsed="false">
      <c r="A610" s="56" t="str">
        <f aca="false">IF('13 Coating &amp; Finishing'!$C$8="","","Coating, Finishing &amp; Treatment Services")</f>
        <v>Coating, Finishing &amp; Treatment Services</v>
      </c>
      <c r="B610" s="57" t="str">
        <f aca="false">IF('13 Coating &amp; Finishing'!$C$8="","",'13 Coating &amp; Finishing'!A8)</f>
        <v>CF-004</v>
      </c>
      <c r="C610" s="56" t="str">
        <f aca="false">IF('13 Coating &amp; Finishing'!$C$8="","",'13 Coating &amp; Finishing'!B8)</f>
        <v>Aluminium Finishing</v>
      </c>
      <c r="D610" s="56" t="str">
        <f aca="false">IF('13 Coating &amp; Finishing'!$C$8="","",'13 Coating &amp; Finishing'!C8)</f>
        <v>Anodizing (job work)</v>
      </c>
      <c r="E610" s="56" t="str">
        <f aca="false">IF('13 Coating &amp; Finishing'!$C$8="","",'13 Coating &amp; Finishing'!D8)</f>
        <v>15-20 micron</v>
      </c>
      <c r="F610" s="56" t="str">
        <f aca="false">IF('13 Coating &amp; Finishing'!$C$8="","",'13 Coating &amp; Finishing'!E8)</f>
        <v>Natural / bronze / black</v>
      </c>
      <c r="G610" s="56" t="str">
        <f aca="false">IF('13 Coating &amp; Finishing'!$C$8="","",'13 Coating &amp; Finishing'!F8)</f>
        <v>Local applicator</v>
      </c>
      <c r="H610" s="57" t="str">
        <f aca="false">IF('13 Coating &amp; Finishing'!$C$8="","",'13 Coating &amp; Finishing'!G8)</f>
        <v>kg</v>
      </c>
      <c r="I610" s="58" t="n">
        <f aca="false">IF('13 Coating &amp; Finishing'!$C$8="","",'13 Coating &amp; Finishing'!J8)</f>
        <v>5</v>
      </c>
      <c r="J610" s="58" t="n">
        <f aca="false">IF('13 Coating &amp; Finishing'!$C$8="","",'13 Coating &amp; Finishing'!K8)</f>
        <v>6</v>
      </c>
      <c r="K610" s="58" t="n">
        <f aca="false">IF('13 Coating &amp; Finishing'!$C$8="","",'13 Coating &amp; Finishing'!L8)</f>
        <v>6.3</v>
      </c>
      <c r="L610" s="57" t="str">
        <f aca="false">IF('13 Coating &amp; Finishing'!$C$8="","",'13 Coating &amp; Finishing'!M8)</f>
        <v>Indicative</v>
      </c>
      <c r="M610" s="59" t="str">
        <f aca="false">IF(D610="","",IF(AND(OR(Search!$C$6="All Categories",A610=Search!$C$6),OR(Search!$P$5="",ISNUMBER(SEARCH(" "&amp;Search!$P$5,N610))),OR(Search!$P$6="",ISNUMBER(SEARCH(" "&amp;Search!$P$6,N610))),OR(Search!$P$7="",ISNUMBER(SEARCH(" "&amp;Search!$P$7,N610))),OR(Search!$P$8="",ISNUMBER(SEARCH(" "&amp;Search!$P$8,N610))),OR(Search!$P$9="",ISNUMBER(SEARCH(" "&amp;Search!$P$9,N610))),OR(Search!$P$10="",ISNUMBER(SEARCH(" "&amp;Search!$P$10,N610)))),ROW(),""))</f>
        <v/>
      </c>
      <c r="N610" s="0" t="str">
        <f aca="false">IF(D610="",""," "&amp;SUBSTITUTE(SUBSTITUTE(SUBSTITUTE(SUBSTITUTE(SUBSTITUTE(SUBSTITUTE(SUBSTITUTE(B610&amp;" "&amp;C610&amp;" "&amp;D610&amp;" "&amp;E610&amp;" "&amp;F610&amp;" "&amp;G610&amp;" "&amp;H610&amp;" "&amp;'13 Coating &amp; Finishing'!R8,"("," "),")"," "),"/"," "),"-"," "),","," "),";"," "),":"," ")&amp;" ")</f>
        <v> CF 004 Aluminium Finishing Anodizing  job work  15 20 micron Natural   bronze   black Local applicator kg aluminum alu </v>
      </c>
    </row>
    <row r="611" customFormat="false" ht="22.35" hidden="false" customHeight="false" outlineLevel="0" collapsed="false">
      <c r="A611" s="56" t="str">
        <f aca="false">IF('13 Coating &amp; Finishing'!$C$9="","","Coating, Finishing &amp; Treatment Services")</f>
        <v>Coating, Finishing &amp; Treatment Services</v>
      </c>
      <c r="B611" s="57" t="str">
        <f aca="false">IF('13 Coating &amp; Finishing'!$C$9="","",'13 Coating &amp; Finishing'!A9)</f>
        <v>CF-005</v>
      </c>
      <c r="C611" s="56" t="str">
        <f aca="false">IF('13 Coating &amp; Finishing'!$C$9="","",'13 Coating &amp; Finishing'!B9)</f>
        <v>Aluminium Finishing</v>
      </c>
      <c r="D611" s="56" t="str">
        <f aca="false">IF('13 Coating &amp; Finishing'!$C$9="","",'13 Coating &amp; Finishing'!C9)</f>
        <v>PVDF coating (job work)</v>
      </c>
      <c r="E611" s="56" t="str">
        <f aca="false">IF('13 Coating &amp; Finishing'!$C$9="","",'13 Coating &amp; Finishing'!D9)</f>
        <v>2-coat, 35-40 micron</v>
      </c>
      <c r="F611" s="56" t="str">
        <f aca="false">IF('13 Coating &amp; Finishing'!$C$9="","",'13 Coating &amp; Finishing'!E9)</f>
        <v>Colour as approved</v>
      </c>
      <c r="G611" s="56" t="str">
        <f aca="false">IF('13 Coating &amp; Finishing'!$C$9="","",'13 Coating &amp; Finishing'!F9)</f>
        <v>Local applicator</v>
      </c>
      <c r="H611" s="57" t="str">
        <f aca="false">IF('13 Coating &amp; Finishing'!$C$9="","",'13 Coating &amp; Finishing'!G9)</f>
        <v>m2</v>
      </c>
      <c r="I611" s="58" t="n">
        <f aca="false">IF('13 Coating &amp; Finishing'!$C$9="","",'13 Coating &amp; Finishing'!J9)</f>
        <v>70</v>
      </c>
      <c r="J611" s="58" t="n">
        <f aca="false">IF('13 Coating &amp; Finishing'!$C$9="","",'13 Coating &amp; Finishing'!K9)</f>
        <v>84</v>
      </c>
      <c r="K611" s="58" t="n">
        <f aca="false">IF('13 Coating &amp; Finishing'!$C$9="","",'13 Coating &amp; Finishing'!L9)</f>
        <v>88.2</v>
      </c>
      <c r="L611" s="57" t="str">
        <f aca="false">IF('13 Coating &amp; Finishing'!$C$9="","",'13 Coating &amp; Finishing'!M9)</f>
        <v>Indicative</v>
      </c>
      <c r="M611" s="59" t="str">
        <f aca="false">IF(D611="","",IF(AND(OR(Search!$C$6="All Categories",A611=Search!$C$6),OR(Search!$P$5="",ISNUMBER(SEARCH(" "&amp;Search!$P$5,N611))),OR(Search!$P$6="",ISNUMBER(SEARCH(" "&amp;Search!$P$6,N611))),OR(Search!$P$7="",ISNUMBER(SEARCH(" "&amp;Search!$P$7,N611))),OR(Search!$P$8="",ISNUMBER(SEARCH(" "&amp;Search!$P$8,N611))),OR(Search!$P$9="",ISNUMBER(SEARCH(" "&amp;Search!$P$9,N611))),OR(Search!$P$10="",ISNUMBER(SEARCH(" "&amp;Search!$P$10,N611)))),ROW(),""))</f>
        <v/>
      </c>
      <c r="N611" s="0" t="str">
        <f aca="false">IF(D611="",""," "&amp;SUBSTITUTE(SUBSTITUTE(SUBSTITUTE(SUBSTITUTE(SUBSTITUTE(SUBSTITUTE(SUBSTITUTE(B611&amp;" "&amp;C611&amp;" "&amp;D611&amp;" "&amp;E611&amp;" "&amp;F611&amp;" "&amp;G611&amp;" "&amp;H611&amp;" "&amp;'13 Coating &amp; Finishing'!R9,"("," "),")"," "),"/"," "),"-"," "),","," "),";"," "),":"," ")&amp;" ")</f>
        <v> CF 005 Aluminium Finishing PVDF coating  job work  2 coat  35 40 micron Colour as approved Local applicator m2 aluminum alu </v>
      </c>
    </row>
    <row r="612" customFormat="false" ht="22.35" hidden="false" customHeight="false" outlineLevel="0" collapsed="false">
      <c r="A612" s="56" t="str">
        <f aca="false">IF('13 Coating &amp; Finishing'!$C$10="","","Coating, Finishing &amp; Treatment Services")</f>
        <v>Coating, Finishing &amp; Treatment Services</v>
      </c>
      <c r="B612" s="57" t="str">
        <f aca="false">IF('13 Coating &amp; Finishing'!$C$10="","",'13 Coating &amp; Finishing'!A10)</f>
        <v>CF-006</v>
      </c>
      <c r="C612" s="56" t="str">
        <f aca="false">IF('13 Coating &amp; Finishing'!$C$10="","",'13 Coating &amp; Finishing'!B10)</f>
        <v>Aluminium Finishing</v>
      </c>
      <c r="D612" s="56" t="str">
        <f aca="false">IF('13 Coating &amp; Finishing'!$C$10="","",'13 Coating &amp; Finishing'!C10)</f>
        <v>PVDF coating (job work)</v>
      </c>
      <c r="E612" s="56" t="str">
        <f aca="false">IF('13 Coating &amp; Finishing'!$C$10="","",'13 Coating &amp; Finishing'!D10)</f>
        <v>3-coat metallic</v>
      </c>
      <c r="F612" s="56" t="str">
        <f aca="false">IF('13 Coating &amp; Finishing'!$C$10="","",'13 Coating &amp; Finishing'!E10)</f>
        <v>Metallic</v>
      </c>
      <c r="G612" s="56" t="str">
        <f aca="false">IF('13 Coating &amp; Finishing'!$C$10="","",'13 Coating &amp; Finishing'!F10)</f>
        <v>Local applicator</v>
      </c>
      <c r="H612" s="57" t="str">
        <f aca="false">IF('13 Coating &amp; Finishing'!$C$10="","",'13 Coating &amp; Finishing'!G10)</f>
        <v>m2</v>
      </c>
      <c r="I612" s="58" t="n">
        <f aca="false">IF('13 Coating &amp; Finishing'!$C$10="","",'13 Coating &amp; Finishing'!J10)</f>
        <v>90</v>
      </c>
      <c r="J612" s="58" t="n">
        <f aca="false">IF('13 Coating &amp; Finishing'!$C$10="","",'13 Coating &amp; Finishing'!K10)</f>
        <v>108</v>
      </c>
      <c r="K612" s="58" t="n">
        <f aca="false">IF('13 Coating &amp; Finishing'!$C$10="","",'13 Coating &amp; Finishing'!L10)</f>
        <v>113.4</v>
      </c>
      <c r="L612" s="57" t="str">
        <f aca="false">IF('13 Coating &amp; Finishing'!$C$10="","",'13 Coating &amp; Finishing'!M10)</f>
        <v>Indicative</v>
      </c>
      <c r="M612" s="59" t="str">
        <f aca="false">IF(D612="","",IF(AND(OR(Search!$C$6="All Categories",A612=Search!$C$6),OR(Search!$P$5="",ISNUMBER(SEARCH(" "&amp;Search!$P$5,N612))),OR(Search!$P$6="",ISNUMBER(SEARCH(" "&amp;Search!$P$6,N612))),OR(Search!$P$7="",ISNUMBER(SEARCH(" "&amp;Search!$P$7,N612))),OR(Search!$P$8="",ISNUMBER(SEARCH(" "&amp;Search!$P$8,N612))),OR(Search!$P$9="",ISNUMBER(SEARCH(" "&amp;Search!$P$9,N612))),OR(Search!$P$10="",ISNUMBER(SEARCH(" "&amp;Search!$P$10,N612)))),ROW(),""))</f>
        <v/>
      </c>
      <c r="N612" s="0" t="str">
        <f aca="false">IF(D612="",""," "&amp;SUBSTITUTE(SUBSTITUTE(SUBSTITUTE(SUBSTITUTE(SUBSTITUTE(SUBSTITUTE(SUBSTITUTE(B612&amp;" "&amp;C612&amp;" "&amp;D612&amp;" "&amp;E612&amp;" "&amp;F612&amp;" "&amp;G612&amp;" "&amp;H612&amp;" "&amp;'13 Coating &amp; Finishing'!R10,"("," "),")"," "),"/"," "),"-"," "),","," "),";"," "),":"," ")&amp;" ")</f>
        <v> CF 006 Aluminium Finishing PVDF coating  job work  3 coat metallic Metallic Local applicator m2 aluminum alu </v>
      </c>
    </row>
    <row r="613" customFormat="false" ht="22.35" hidden="false" customHeight="false" outlineLevel="0" collapsed="false">
      <c r="A613" s="56" t="str">
        <f aca="false">IF('13 Coating &amp; Finishing'!$C$11="","","Coating, Finishing &amp; Treatment Services")</f>
        <v>Coating, Finishing &amp; Treatment Services</v>
      </c>
      <c r="B613" s="57" t="str">
        <f aca="false">IF('13 Coating &amp; Finishing'!$C$11="","",'13 Coating &amp; Finishing'!A11)</f>
        <v>CF-007</v>
      </c>
      <c r="C613" s="56" t="str">
        <f aca="false">IF('13 Coating &amp; Finishing'!$C$11="","",'13 Coating &amp; Finishing'!B11)</f>
        <v>Aluminium Finishing</v>
      </c>
      <c r="D613" s="56" t="str">
        <f aca="false">IF('13 Coating &amp; Finishing'!$C$11="","",'13 Coating &amp; Finishing'!C11)</f>
        <v>Wood-grain sublimation</v>
      </c>
      <c r="E613" s="56" t="str">
        <f aca="false">IF('13 Coating &amp; Finishing'!$C$11="","",'13 Coating &amp; Finishing'!D11)</f>
        <v>Over powder coat</v>
      </c>
      <c r="F613" s="56" t="str">
        <f aca="false">IF('13 Coating &amp; Finishing'!$C$11="","",'13 Coating &amp; Finishing'!E11)</f>
        <v>Wood effect</v>
      </c>
      <c r="G613" s="56" t="str">
        <f aca="false">IF('13 Coating &amp; Finishing'!$C$11="","",'13 Coating &amp; Finishing'!F11)</f>
        <v>Local applicator</v>
      </c>
      <c r="H613" s="57" t="str">
        <f aca="false">IF('13 Coating &amp; Finishing'!$C$11="","",'13 Coating &amp; Finishing'!G11)</f>
        <v>m2</v>
      </c>
      <c r="I613" s="58" t="n">
        <f aca="false">IF('13 Coating &amp; Finishing'!$C$11="","",'13 Coating &amp; Finishing'!J11)</f>
        <v>55</v>
      </c>
      <c r="J613" s="58" t="n">
        <f aca="false">IF('13 Coating &amp; Finishing'!$C$11="","",'13 Coating &amp; Finishing'!K11)</f>
        <v>66</v>
      </c>
      <c r="K613" s="58" t="n">
        <f aca="false">IF('13 Coating &amp; Finishing'!$C$11="","",'13 Coating &amp; Finishing'!L11)</f>
        <v>69.3</v>
      </c>
      <c r="L613" s="57" t="str">
        <f aca="false">IF('13 Coating &amp; Finishing'!$C$11="","",'13 Coating &amp; Finishing'!M11)</f>
        <v>Indicative</v>
      </c>
      <c r="M613" s="59" t="str">
        <f aca="false">IF(D613="","",IF(AND(OR(Search!$C$6="All Categories",A613=Search!$C$6),OR(Search!$P$5="",ISNUMBER(SEARCH(" "&amp;Search!$P$5,N613))),OR(Search!$P$6="",ISNUMBER(SEARCH(" "&amp;Search!$P$6,N613))),OR(Search!$P$7="",ISNUMBER(SEARCH(" "&amp;Search!$P$7,N613))),OR(Search!$P$8="",ISNUMBER(SEARCH(" "&amp;Search!$P$8,N613))),OR(Search!$P$9="",ISNUMBER(SEARCH(" "&amp;Search!$P$9,N613))),OR(Search!$P$10="",ISNUMBER(SEARCH(" "&amp;Search!$P$10,N613)))),ROW(),""))</f>
        <v/>
      </c>
      <c r="N613" s="0" t="str">
        <f aca="false">IF(D613="",""," "&amp;SUBSTITUTE(SUBSTITUTE(SUBSTITUTE(SUBSTITUTE(SUBSTITUTE(SUBSTITUTE(SUBSTITUTE(B613&amp;" "&amp;C613&amp;" "&amp;D613&amp;" "&amp;E613&amp;" "&amp;F613&amp;" "&amp;G613&amp;" "&amp;H613&amp;" "&amp;'13 Coating &amp; Finishing'!R11,"("," "),")"," "),"/"," "),"-"," "),","," "),";"," "),":"," ")&amp;" ")</f>
        <v> CF 007 Aluminium Finishing Wood grain sublimation Over powder coat Wood effect Local applicator m2 aluminum alu pc </v>
      </c>
    </row>
    <row r="614" customFormat="false" ht="22.35" hidden="false" customHeight="false" outlineLevel="0" collapsed="false">
      <c r="A614" s="56" t="str">
        <f aca="false">IF('13 Coating &amp; Finishing'!$C$12="","","Coating, Finishing &amp; Treatment Services")</f>
        <v>Coating, Finishing &amp; Treatment Services</v>
      </c>
      <c r="B614" s="57" t="str">
        <f aca="false">IF('13 Coating &amp; Finishing'!$C$12="","",'13 Coating &amp; Finishing'!A12)</f>
        <v>CF-008</v>
      </c>
      <c r="C614" s="56" t="str">
        <f aca="false">IF('13 Coating &amp; Finishing'!$C$12="","",'13 Coating &amp; Finishing'!B12)</f>
        <v>Steel Finishing</v>
      </c>
      <c r="D614" s="56" t="str">
        <f aca="false">IF('13 Coating &amp; Finishing'!$C$12="","",'13 Coating &amp; Finishing'!C12)</f>
        <v>Hot-dip galvanizing</v>
      </c>
      <c r="E614" s="56" t="str">
        <f aca="false">IF('13 Coating &amp; Finishing'!$C$12="","",'13 Coating &amp; Finishing'!D12)</f>
        <v>Per kg of steel</v>
      </c>
      <c r="F614" s="56" t="str">
        <f aca="false">IF('13 Coating &amp; Finishing'!$C$12="","",'13 Coating &amp; Finishing'!E12)</f>
        <v>HDG</v>
      </c>
      <c r="G614" s="56" t="str">
        <f aca="false">IF('13 Coating &amp; Finishing'!$C$12="","",'13 Coating &amp; Finishing'!F12)</f>
        <v>Local galvanizer</v>
      </c>
      <c r="H614" s="57" t="str">
        <f aca="false">IF('13 Coating &amp; Finishing'!$C$12="","",'13 Coating &amp; Finishing'!G12)</f>
        <v>kg</v>
      </c>
      <c r="I614" s="58" t="n">
        <f aca="false">IF('13 Coating &amp; Finishing'!$C$12="","",'13 Coating &amp; Finishing'!J12)</f>
        <v>1.6</v>
      </c>
      <c r="J614" s="58" t="n">
        <f aca="false">IF('13 Coating &amp; Finishing'!$C$12="","",'13 Coating &amp; Finishing'!K12)</f>
        <v>1.92</v>
      </c>
      <c r="K614" s="58" t="n">
        <f aca="false">IF('13 Coating &amp; Finishing'!$C$12="","",'13 Coating &amp; Finishing'!L12)</f>
        <v>2.02</v>
      </c>
      <c r="L614" s="57" t="str">
        <f aca="false">IF('13 Coating &amp; Finishing'!$C$12="","",'13 Coating &amp; Finishing'!M12)</f>
        <v>Indicative</v>
      </c>
      <c r="M614" s="59" t="str">
        <f aca="false">IF(D614="","",IF(AND(OR(Search!$C$6="All Categories",A614=Search!$C$6),OR(Search!$P$5="",ISNUMBER(SEARCH(" "&amp;Search!$P$5,N614))),OR(Search!$P$6="",ISNUMBER(SEARCH(" "&amp;Search!$P$6,N614))),OR(Search!$P$7="",ISNUMBER(SEARCH(" "&amp;Search!$P$7,N614))),OR(Search!$P$8="",ISNUMBER(SEARCH(" "&amp;Search!$P$8,N614))),OR(Search!$P$9="",ISNUMBER(SEARCH(" "&amp;Search!$P$9,N614))),OR(Search!$P$10="",ISNUMBER(SEARCH(" "&amp;Search!$P$10,N614)))),ROW(),""))</f>
        <v/>
      </c>
      <c r="N614" s="0" t="str">
        <f aca="false">IF(D614="",""," "&amp;SUBSTITUTE(SUBSTITUTE(SUBSTITUTE(SUBSTITUTE(SUBSTITUTE(SUBSTITUTE(SUBSTITUTE(B614&amp;" "&amp;C614&amp;" "&amp;D614&amp;" "&amp;E614&amp;" "&amp;F614&amp;" "&amp;G614&amp;" "&amp;H614&amp;" "&amp;'13 Coating &amp; Finishing'!R12,"("," "),")"," "),"/"," "),"-"," "),","," "),";"," "),":"," ")&amp;" ")</f>
        <v> CF 008 Steel Finishing Hot dip galvanizing Per kg of steel HDG Local galvanizer kg galvanised gi </v>
      </c>
    </row>
    <row r="615" customFormat="false" ht="22.35" hidden="false" customHeight="false" outlineLevel="0" collapsed="false">
      <c r="A615" s="56" t="str">
        <f aca="false">IF('13 Coating &amp; Finishing'!$C$13="","","Coating, Finishing &amp; Treatment Services")</f>
        <v>Coating, Finishing &amp; Treatment Services</v>
      </c>
      <c r="B615" s="57" t="str">
        <f aca="false">IF('13 Coating &amp; Finishing'!$C$13="","",'13 Coating &amp; Finishing'!A13)</f>
        <v>CF-009</v>
      </c>
      <c r="C615" s="56" t="str">
        <f aca="false">IF('13 Coating &amp; Finishing'!$C$13="","",'13 Coating &amp; Finishing'!B13)</f>
        <v>Steel Finishing</v>
      </c>
      <c r="D615" s="56" t="str">
        <f aca="false">IF('13 Coating &amp; Finishing'!$C$13="","",'13 Coating &amp; Finishing'!C13)</f>
        <v>Sand blasting (SA 2.5)</v>
      </c>
      <c r="E615" s="56" t="str">
        <f aca="false">IF('13 Coating &amp; Finishing'!$C$13="","",'13 Coating &amp; Finishing'!D13)</f>
        <v>Per m2</v>
      </c>
      <c r="F615" s="56" t="str">
        <f aca="false">IF('13 Coating &amp; Finishing'!$C$13="","",'13 Coating &amp; Finishing'!E13)</f>
        <v>-</v>
      </c>
      <c r="G615" s="56" t="str">
        <f aca="false">IF('13 Coating &amp; Finishing'!$C$13="","",'13 Coating &amp; Finishing'!F13)</f>
        <v>Local</v>
      </c>
      <c r="H615" s="57" t="str">
        <f aca="false">IF('13 Coating &amp; Finishing'!$C$13="","",'13 Coating &amp; Finishing'!G13)</f>
        <v>m2</v>
      </c>
      <c r="I615" s="58" t="n">
        <f aca="false">IF('13 Coating &amp; Finishing'!$C$13="","",'13 Coating &amp; Finishing'!J13)</f>
        <v>20</v>
      </c>
      <c r="J615" s="58" t="n">
        <f aca="false">IF('13 Coating &amp; Finishing'!$C$13="","",'13 Coating &amp; Finishing'!K13)</f>
        <v>24</v>
      </c>
      <c r="K615" s="58" t="n">
        <f aca="false">IF('13 Coating &amp; Finishing'!$C$13="","",'13 Coating &amp; Finishing'!L13)</f>
        <v>25.2</v>
      </c>
      <c r="L615" s="57" t="str">
        <f aca="false">IF('13 Coating &amp; Finishing'!$C$13="","",'13 Coating &amp; Finishing'!M13)</f>
        <v>Indicative</v>
      </c>
      <c r="M615" s="59" t="str">
        <f aca="false">IF(D615="","",IF(AND(OR(Search!$C$6="All Categories",A615=Search!$C$6),OR(Search!$P$5="",ISNUMBER(SEARCH(" "&amp;Search!$P$5,N615))),OR(Search!$P$6="",ISNUMBER(SEARCH(" "&amp;Search!$P$6,N615))),OR(Search!$P$7="",ISNUMBER(SEARCH(" "&amp;Search!$P$7,N615))),OR(Search!$P$8="",ISNUMBER(SEARCH(" "&amp;Search!$P$8,N615))),OR(Search!$P$9="",ISNUMBER(SEARCH(" "&amp;Search!$P$9,N615))),OR(Search!$P$10="",ISNUMBER(SEARCH(" "&amp;Search!$P$10,N615)))),ROW(),""))</f>
        <v/>
      </c>
      <c r="N615" s="0" t="str">
        <f aca="false">IF(D615="",""," "&amp;SUBSTITUTE(SUBSTITUTE(SUBSTITUTE(SUBSTITUTE(SUBSTITUTE(SUBSTITUTE(SUBSTITUTE(B615&amp;" "&amp;C615&amp;" "&amp;D615&amp;" "&amp;E615&amp;" "&amp;F615&amp;" "&amp;G615&amp;" "&amp;H615&amp;" "&amp;'13 Coating &amp; Finishing'!R13,"("," "),")"," "),"/"," "),"-"," "),","," "),";"," "),":"," ")&amp;" ")</f>
        <v> CF 009 Steel Finishing Sand blasting  SA 2.5  Per m2   Local m2  </v>
      </c>
    </row>
    <row r="616" customFormat="false" ht="22.35" hidden="false" customHeight="false" outlineLevel="0" collapsed="false">
      <c r="A616" s="56" t="str">
        <f aca="false">IF('13 Coating &amp; Finishing'!$C$14="","","Coating, Finishing &amp; Treatment Services")</f>
        <v>Coating, Finishing &amp; Treatment Services</v>
      </c>
      <c r="B616" s="57" t="str">
        <f aca="false">IF('13 Coating &amp; Finishing'!$C$14="","",'13 Coating &amp; Finishing'!A14)</f>
        <v>CF-010</v>
      </c>
      <c r="C616" s="56" t="str">
        <f aca="false">IF('13 Coating &amp; Finishing'!$C$14="","",'13 Coating &amp; Finishing'!B14)</f>
        <v>Steel Finishing</v>
      </c>
      <c r="D616" s="56" t="str">
        <f aca="false">IF('13 Coating &amp; Finishing'!$C$14="","",'13 Coating &amp; Finishing'!C14)</f>
        <v>Primer + enamel paint (2 coats)</v>
      </c>
      <c r="E616" s="56" t="str">
        <f aca="false">IF('13 Coating &amp; Finishing'!$C$14="","",'13 Coating &amp; Finishing'!D14)</f>
        <v>Per m2</v>
      </c>
      <c r="F616" s="56" t="str">
        <f aca="false">IF('13 Coating &amp; Finishing'!$C$14="","",'13 Coating &amp; Finishing'!E14)</f>
        <v>Colour as req.</v>
      </c>
      <c r="G616" s="56" t="str">
        <f aca="false">IF('13 Coating &amp; Finishing'!$C$14="","",'13 Coating &amp; Finishing'!F14)</f>
        <v>Jotun / National / Equiv.</v>
      </c>
      <c r="H616" s="57" t="str">
        <f aca="false">IF('13 Coating &amp; Finishing'!$C$14="","",'13 Coating &amp; Finishing'!G14)</f>
        <v>m2</v>
      </c>
      <c r="I616" s="58" t="n">
        <f aca="false">IF('13 Coating &amp; Finishing'!$C$14="","",'13 Coating &amp; Finishing'!J14)</f>
        <v>25</v>
      </c>
      <c r="J616" s="58" t="n">
        <f aca="false">IF('13 Coating &amp; Finishing'!$C$14="","",'13 Coating &amp; Finishing'!K14)</f>
        <v>30</v>
      </c>
      <c r="K616" s="58" t="n">
        <f aca="false">IF('13 Coating &amp; Finishing'!$C$14="","",'13 Coating &amp; Finishing'!L14)</f>
        <v>31.5</v>
      </c>
      <c r="L616" s="57" t="str">
        <f aca="false">IF('13 Coating &amp; Finishing'!$C$14="","",'13 Coating &amp; Finishing'!M14)</f>
        <v>Indicative</v>
      </c>
      <c r="M616" s="59" t="str">
        <f aca="false">IF(D616="","",IF(AND(OR(Search!$C$6="All Categories",A616=Search!$C$6),OR(Search!$P$5="",ISNUMBER(SEARCH(" "&amp;Search!$P$5,N616))),OR(Search!$P$6="",ISNUMBER(SEARCH(" "&amp;Search!$P$6,N616))),OR(Search!$P$7="",ISNUMBER(SEARCH(" "&amp;Search!$P$7,N616))),OR(Search!$P$8="",ISNUMBER(SEARCH(" "&amp;Search!$P$8,N616))),OR(Search!$P$9="",ISNUMBER(SEARCH(" "&amp;Search!$P$9,N616))),OR(Search!$P$10="",ISNUMBER(SEARCH(" "&amp;Search!$P$10,N616)))),ROW(),""))</f>
        <v/>
      </c>
      <c r="N616" s="0" t="str">
        <f aca="false">IF(D616="",""," "&amp;SUBSTITUTE(SUBSTITUTE(SUBSTITUTE(SUBSTITUTE(SUBSTITUTE(SUBSTITUTE(SUBSTITUTE(B616&amp;" "&amp;C616&amp;" "&amp;D616&amp;" "&amp;E616&amp;" "&amp;F616&amp;" "&amp;G616&amp;" "&amp;H616&amp;" "&amp;'13 Coating &amp; Finishing'!R14,"("," "),")"," "),"/"," "),"-"," "),","," "),";"," "),":"," ")&amp;" ")</f>
        <v> CF 010 Steel Finishing Primer + enamel paint  2 coats  Per m2 Colour as req. Jotun   National   Equiv. m2  </v>
      </c>
    </row>
    <row r="617" customFormat="false" ht="22.35" hidden="false" customHeight="false" outlineLevel="0" collapsed="false">
      <c r="A617" s="56" t="str">
        <f aca="false">IF('13 Coating &amp; Finishing'!$C$15="","","Coating, Finishing &amp; Treatment Services")</f>
        <v>Coating, Finishing &amp; Treatment Services</v>
      </c>
      <c r="B617" s="57" t="str">
        <f aca="false">IF('13 Coating &amp; Finishing'!$C$15="","",'13 Coating &amp; Finishing'!A15)</f>
        <v>CF-011</v>
      </c>
      <c r="C617" s="56" t="str">
        <f aca="false">IF('13 Coating &amp; Finishing'!$C$15="","",'13 Coating &amp; Finishing'!B15)</f>
        <v>Steel Finishing</v>
      </c>
      <c r="D617" s="56" t="str">
        <f aca="false">IF('13 Coating &amp; Finishing'!$C$15="","",'13 Coating &amp; Finishing'!C15)</f>
        <v>Epoxy / PU paint system (3 coat)</v>
      </c>
      <c r="E617" s="56" t="str">
        <f aca="false">IF('13 Coating &amp; Finishing'!$C$15="","",'13 Coating &amp; Finishing'!D15)</f>
        <v>Per m2</v>
      </c>
      <c r="F617" s="56" t="str">
        <f aca="false">IF('13 Coating &amp; Finishing'!$C$15="","",'13 Coating &amp; Finishing'!E15)</f>
        <v>Colour as req.</v>
      </c>
      <c r="G617" s="56" t="str">
        <f aca="false">IF('13 Coating &amp; Finishing'!$C$15="","",'13 Coating &amp; Finishing'!F15)</f>
        <v>Jotun / Hempel / Equiv.</v>
      </c>
      <c r="H617" s="57" t="str">
        <f aca="false">IF('13 Coating &amp; Finishing'!$C$15="","",'13 Coating &amp; Finishing'!G15)</f>
        <v>m2</v>
      </c>
      <c r="I617" s="58" t="n">
        <f aca="false">IF('13 Coating &amp; Finishing'!$C$15="","",'13 Coating &amp; Finishing'!J15)</f>
        <v>45</v>
      </c>
      <c r="J617" s="58" t="n">
        <f aca="false">IF('13 Coating &amp; Finishing'!$C$15="","",'13 Coating &amp; Finishing'!K15)</f>
        <v>54</v>
      </c>
      <c r="K617" s="58" t="n">
        <f aca="false">IF('13 Coating &amp; Finishing'!$C$15="","",'13 Coating &amp; Finishing'!L15)</f>
        <v>56.7</v>
      </c>
      <c r="L617" s="57" t="str">
        <f aca="false">IF('13 Coating &amp; Finishing'!$C$15="","",'13 Coating &amp; Finishing'!M15)</f>
        <v>Indicative</v>
      </c>
      <c r="M617" s="59" t="str">
        <f aca="false">IF(D617="","",IF(AND(OR(Search!$C$6="All Categories",A617=Search!$C$6),OR(Search!$P$5="",ISNUMBER(SEARCH(" "&amp;Search!$P$5,N617))),OR(Search!$P$6="",ISNUMBER(SEARCH(" "&amp;Search!$P$6,N617))),OR(Search!$P$7="",ISNUMBER(SEARCH(" "&amp;Search!$P$7,N617))),OR(Search!$P$8="",ISNUMBER(SEARCH(" "&amp;Search!$P$8,N617))),OR(Search!$P$9="",ISNUMBER(SEARCH(" "&amp;Search!$P$9,N617))),OR(Search!$P$10="",ISNUMBER(SEARCH(" "&amp;Search!$P$10,N617)))),ROW(),""))</f>
        <v/>
      </c>
      <c r="N617" s="0" t="str">
        <f aca="false">IF(D617="",""," "&amp;SUBSTITUTE(SUBSTITUTE(SUBSTITUTE(SUBSTITUTE(SUBSTITUTE(SUBSTITUTE(SUBSTITUTE(B617&amp;" "&amp;C617&amp;" "&amp;D617&amp;" "&amp;E617&amp;" "&amp;F617&amp;" "&amp;G617&amp;" "&amp;H617&amp;" "&amp;'13 Coating &amp; Finishing'!R15,"("," "),")"," "),"/"," "),"-"," "),","," "),";"," "),":"," ")&amp;" ")</f>
        <v> CF 011 Steel Finishing Epoxy   PU paint system  3 coat  Per m2 Colour as req. Jotun   Hempel   Equiv. m2  </v>
      </c>
    </row>
    <row r="618" customFormat="false" ht="22.35" hidden="false" customHeight="false" outlineLevel="0" collapsed="false">
      <c r="A618" s="56" t="str">
        <f aca="false">IF('13 Coating &amp; Finishing'!$C$16="","","Coating, Finishing &amp; Treatment Services")</f>
        <v>Coating, Finishing &amp; Treatment Services</v>
      </c>
      <c r="B618" s="57" t="str">
        <f aca="false">IF('13 Coating &amp; Finishing'!$C$16="","",'13 Coating &amp; Finishing'!A16)</f>
        <v>CF-012</v>
      </c>
      <c r="C618" s="56" t="str">
        <f aca="false">IF('13 Coating &amp; Finishing'!$C$16="","",'13 Coating &amp; Finishing'!B16)</f>
        <v>Steel Finishing</v>
      </c>
      <c r="D618" s="56" t="str">
        <f aca="false">IF('13 Coating &amp; Finishing'!$C$16="","",'13 Coating &amp; Finishing'!C16)</f>
        <v>Intumescent fire-protective paint</v>
      </c>
      <c r="E618" s="56" t="str">
        <f aca="false">IF('13 Coating &amp; Finishing'!$C$16="","",'13 Coating &amp; Finishing'!D16)</f>
        <v>60 min, per m2</v>
      </c>
      <c r="F618" s="56" t="str">
        <f aca="false">IF('13 Coating &amp; Finishing'!$C$16="","",'13 Coating &amp; Finishing'!E16)</f>
        <v>-</v>
      </c>
      <c r="G618" s="56" t="str">
        <f aca="false">IF('13 Coating &amp; Finishing'!$C$16="","",'13 Coating &amp; Finishing'!F16)</f>
        <v>Jotun / Equiv.</v>
      </c>
      <c r="H618" s="57" t="str">
        <f aca="false">IF('13 Coating &amp; Finishing'!$C$16="","",'13 Coating &amp; Finishing'!G16)</f>
        <v>m2</v>
      </c>
      <c r="I618" s="58" t="n">
        <f aca="false">IF('13 Coating &amp; Finishing'!$C$16="","",'13 Coating &amp; Finishing'!J16)</f>
        <v>120</v>
      </c>
      <c r="J618" s="58" t="n">
        <f aca="false">IF('13 Coating &amp; Finishing'!$C$16="","",'13 Coating &amp; Finishing'!K16)</f>
        <v>144</v>
      </c>
      <c r="K618" s="58" t="n">
        <f aca="false">IF('13 Coating &amp; Finishing'!$C$16="","",'13 Coating &amp; Finishing'!L16)</f>
        <v>151.2</v>
      </c>
      <c r="L618" s="57" t="str">
        <f aca="false">IF('13 Coating &amp; Finishing'!$C$16="","",'13 Coating &amp; Finishing'!M16)</f>
        <v>Indicative</v>
      </c>
      <c r="M618" s="59" t="str">
        <f aca="false">IF(D618="","",IF(AND(OR(Search!$C$6="All Categories",A618=Search!$C$6),OR(Search!$P$5="",ISNUMBER(SEARCH(" "&amp;Search!$P$5,N618))),OR(Search!$P$6="",ISNUMBER(SEARCH(" "&amp;Search!$P$6,N618))),OR(Search!$P$7="",ISNUMBER(SEARCH(" "&amp;Search!$P$7,N618))),OR(Search!$P$8="",ISNUMBER(SEARCH(" "&amp;Search!$P$8,N618))),OR(Search!$P$9="",ISNUMBER(SEARCH(" "&amp;Search!$P$9,N618))),OR(Search!$P$10="",ISNUMBER(SEARCH(" "&amp;Search!$P$10,N618)))),ROW(),""))</f>
        <v/>
      </c>
      <c r="N618" s="0" t="str">
        <f aca="false">IF(D618="",""," "&amp;SUBSTITUTE(SUBSTITUTE(SUBSTITUTE(SUBSTITUTE(SUBSTITUTE(SUBSTITUTE(SUBSTITUTE(B618&amp;" "&amp;C618&amp;" "&amp;D618&amp;" "&amp;E618&amp;" "&amp;F618&amp;" "&amp;G618&amp;" "&amp;H618&amp;" "&amp;'13 Coating &amp; Finishing'!R16,"("," "),")"," "),"/"," "),"-"," "),","," "),";"," "),":"," ")&amp;" ")</f>
        <v> CF 012 Steel Finishing Intumescent fire protective paint 60 min  per m2   Jotun   Equiv. m2  </v>
      </c>
    </row>
    <row r="619" customFormat="false" ht="22.35" hidden="false" customHeight="false" outlineLevel="0" collapsed="false">
      <c r="A619" s="56" t="str">
        <f aca="false">IF('13 Coating &amp; Finishing'!$C$17="","","Coating, Finishing &amp; Treatment Services")</f>
        <v>Coating, Finishing &amp; Treatment Services</v>
      </c>
      <c r="B619" s="57" t="str">
        <f aca="false">IF('13 Coating &amp; Finishing'!$C$17="","",'13 Coating &amp; Finishing'!A17)</f>
        <v>CF-013</v>
      </c>
      <c r="C619" s="56" t="str">
        <f aca="false">IF('13 Coating &amp; Finishing'!$C$17="","",'13 Coating &amp; Finishing'!B17)</f>
        <v>Steel Finishing</v>
      </c>
      <c r="D619" s="56" t="str">
        <f aca="false">IF('13 Coating &amp; Finishing'!$C$17="","",'13 Coating &amp; Finishing'!C17)</f>
        <v>Powder coating on MS / GI</v>
      </c>
      <c r="E619" s="56" t="str">
        <f aca="false">IF('13 Coating &amp; Finishing'!$C$17="","",'13 Coating &amp; Finishing'!D17)</f>
        <v>Per m2</v>
      </c>
      <c r="F619" s="56" t="str">
        <f aca="false">IF('13 Coating &amp; Finishing'!$C$17="","",'13 Coating &amp; Finishing'!E17)</f>
        <v>RAL</v>
      </c>
      <c r="G619" s="56" t="str">
        <f aca="false">IF('13 Coating &amp; Finishing'!$C$17="","",'13 Coating &amp; Finishing'!F17)</f>
        <v>Local applicator</v>
      </c>
      <c r="H619" s="57" t="str">
        <f aca="false">IF('13 Coating &amp; Finishing'!$C$17="","",'13 Coating &amp; Finishing'!G17)</f>
        <v>m2</v>
      </c>
      <c r="I619" s="58" t="n">
        <f aca="false">IF('13 Coating &amp; Finishing'!$C$17="","",'13 Coating &amp; Finishing'!J17)</f>
        <v>35</v>
      </c>
      <c r="J619" s="58" t="n">
        <f aca="false">IF('13 Coating &amp; Finishing'!$C$17="","",'13 Coating &amp; Finishing'!K17)</f>
        <v>42</v>
      </c>
      <c r="K619" s="58" t="n">
        <f aca="false">IF('13 Coating &amp; Finishing'!$C$17="","",'13 Coating &amp; Finishing'!L17)</f>
        <v>44.1</v>
      </c>
      <c r="L619" s="57" t="str">
        <f aca="false">IF('13 Coating &amp; Finishing'!$C$17="","",'13 Coating &amp; Finishing'!M17)</f>
        <v>Indicative</v>
      </c>
      <c r="M619" s="59" t="str">
        <f aca="false">IF(D619="","",IF(AND(OR(Search!$C$6="All Categories",A619=Search!$C$6),OR(Search!$P$5="",ISNUMBER(SEARCH(" "&amp;Search!$P$5,N619))),OR(Search!$P$6="",ISNUMBER(SEARCH(" "&amp;Search!$P$6,N619))),OR(Search!$P$7="",ISNUMBER(SEARCH(" "&amp;Search!$P$7,N619))),OR(Search!$P$8="",ISNUMBER(SEARCH(" "&amp;Search!$P$8,N619))),OR(Search!$P$9="",ISNUMBER(SEARCH(" "&amp;Search!$P$9,N619))),OR(Search!$P$10="",ISNUMBER(SEARCH(" "&amp;Search!$P$10,N619)))),ROW(),""))</f>
        <v/>
      </c>
      <c r="N619" s="0" t="str">
        <f aca="false">IF(D619="",""," "&amp;SUBSTITUTE(SUBSTITUTE(SUBSTITUTE(SUBSTITUTE(SUBSTITUTE(SUBSTITUTE(SUBSTITUTE(B619&amp;" "&amp;C619&amp;" "&amp;D619&amp;" "&amp;E619&amp;" "&amp;F619&amp;" "&amp;G619&amp;" "&amp;H619&amp;" "&amp;'13 Coating &amp; Finishing'!R17,"("," "),")"," "),"/"," "),"-"," "),","," "),";"," "),":"," ")&amp;" ")</f>
        <v> CF 013 Steel Finishing Powder coating on MS   GI Per m2 RAL Local applicator m2 pc mild steel galvanized </v>
      </c>
    </row>
    <row r="620" customFormat="false" ht="22.35" hidden="false" customHeight="false" outlineLevel="0" collapsed="false">
      <c r="A620" s="56" t="str">
        <f aca="false">IF('13 Coating &amp; Finishing'!$C$18="","","Coating, Finishing &amp; Treatment Services")</f>
        <v>Coating, Finishing &amp; Treatment Services</v>
      </c>
      <c r="B620" s="57" t="str">
        <f aca="false">IF('13 Coating &amp; Finishing'!$C$18="","",'13 Coating &amp; Finishing'!A18)</f>
        <v>CF-014</v>
      </c>
      <c r="C620" s="56" t="str">
        <f aca="false">IF('13 Coating &amp; Finishing'!$C$18="","",'13 Coating &amp; Finishing'!B18)</f>
        <v>Stainless Steel Finishing</v>
      </c>
      <c r="D620" s="56" t="str">
        <f aca="false">IF('13 Coating &amp; Finishing'!$C$18="","",'13 Coating &amp; Finishing'!C18)</f>
        <v>Hairline re-polishing / weld polishing</v>
      </c>
      <c r="E620" s="56" t="str">
        <f aca="false">IF('13 Coating &amp; Finishing'!$C$18="","",'13 Coating &amp; Finishing'!D18)</f>
        <v>Per lm of weld</v>
      </c>
      <c r="F620" s="56" t="str">
        <f aca="false">IF('13 Coating &amp; Finishing'!$C$18="","",'13 Coating &amp; Finishing'!E18)</f>
        <v>#4</v>
      </c>
      <c r="G620" s="56" t="str">
        <f aca="false">IF('13 Coating &amp; Finishing'!$C$18="","",'13 Coating &amp; Finishing'!F18)</f>
        <v>In-house / Local</v>
      </c>
      <c r="H620" s="57" t="str">
        <f aca="false">IF('13 Coating &amp; Finishing'!$C$18="","",'13 Coating &amp; Finishing'!G18)</f>
        <v>lm</v>
      </c>
      <c r="I620" s="58" t="n">
        <f aca="false">IF('13 Coating &amp; Finishing'!$C$18="","",'13 Coating &amp; Finishing'!J18)</f>
        <v>15</v>
      </c>
      <c r="J620" s="58" t="n">
        <f aca="false">IF('13 Coating &amp; Finishing'!$C$18="","",'13 Coating &amp; Finishing'!K18)</f>
        <v>18</v>
      </c>
      <c r="K620" s="58" t="n">
        <f aca="false">IF('13 Coating &amp; Finishing'!$C$18="","",'13 Coating &amp; Finishing'!L18)</f>
        <v>18.9</v>
      </c>
      <c r="L620" s="57" t="str">
        <f aca="false">IF('13 Coating &amp; Finishing'!$C$18="","",'13 Coating &amp; Finishing'!M18)</f>
        <v>Indicative</v>
      </c>
      <c r="M620" s="59" t="str">
        <f aca="false">IF(D620="","",IF(AND(OR(Search!$C$6="All Categories",A620=Search!$C$6),OR(Search!$P$5="",ISNUMBER(SEARCH(" "&amp;Search!$P$5,N620))),OR(Search!$P$6="",ISNUMBER(SEARCH(" "&amp;Search!$P$6,N620))),OR(Search!$P$7="",ISNUMBER(SEARCH(" "&amp;Search!$P$7,N620))),OR(Search!$P$8="",ISNUMBER(SEARCH(" "&amp;Search!$P$8,N620))),OR(Search!$P$9="",ISNUMBER(SEARCH(" "&amp;Search!$P$9,N620))),OR(Search!$P$10="",ISNUMBER(SEARCH(" "&amp;Search!$P$10,N620)))),ROW(),""))</f>
        <v/>
      </c>
      <c r="N620" s="0" t="str">
        <f aca="false">IF(D620="",""," "&amp;SUBSTITUTE(SUBSTITUTE(SUBSTITUTE(SUBSTITUTE(SUBSTITUTE(SUBSTITUTE(SUBSTITUTE(B620&amp;" "&amp;C620&amp;" "&amp;D620&amp;" "&amp;E620&amp;" "&amp;F620&amp;" "&amp;G620&amp;" "&amp;H620&amp;" "&amp;'13 Coating &amp; Finishing'!R18,"("," "),")"," "),"/"," "),"-"," "),","," "),";"," "),":"," ")&amp;" ")</f>
        <v> CF 014 Stainless Steel Finishing Hairline re polishing   weld polishing Per lm of weld #4 In house   Local lm satin brushed stainless steel </v>
      </c>
    </row>
    <row r="621" customFormat="false" ht="22.35" hidden="false" customHeight="false" outlineLevel="0" collapsed="false">
      <c r="A621" s="56" t="str">
        <f aca="false">IF('13 Coating &amp; Finishing'!$C$19="","","Coating, Finishing &amp; Treatment Services")</f>
        <v>Coating, Finishing &amp; Treatment Services</v>
      </c>
      <c r="B621" s="57" t="str">
        <f aca="false">IF('13 Coating &amp; Finishing'!$C$19="","",'13 Coating &amp; Finishing'!A19)</f>
        <v>CF-015</v>
      </c>
      <c r="C621" s="56" t="str">
        <f aca="false">IF('13 Coating &amp; Finishing'!$C$19="","",'13 Coating &amp; Finishing'!B19)</f>
        <v>Stainless Steel Finishing</v>
      </c>
      <c r="D621" s="56" t="str">
        <f aca="false">IF('13 Coating &amp; Finishing'!$C$19="","",'13 Coating &amp; Finishing'!C19)</f>
        <v>Mirror polishing</v>
      </c>
      <c r="E621" s="56" t="str">
        <f aca="false">IF('13 Coating &amp; Finishing'!$C$19="","",'13 Coating &amp; Finishing'!D19)</f>
        <v>Per m2</v>
      </c>
      <c r="F621" s="56" t="str">
        <f aca="false">IF('13 Coating &amp; Finishing'!$C$19="","",'13 Coating &amp; Finishing'!E19)</f>
        <v>#8</v>
      </c>
      <c r="G621" s="56" t="str">
        <f aca="false">IF('13 Coating &amp; Finishing'!$C$19="","",'13 Coating &amp; Finishing'!F19)</f>
        <v>Local</v>
      </c>
      <c r="H621" s="57" t="str">
        <f aca="false">IF('13 Coating &amp; Finishing'!$C$19="","",'13 Coating &amp; Finishing'!G19)</f>
        <v>m2</v>
      </c>
      <c r="I621" s="58" t="n">
        <f aca="false">IF('13 Coating &amp; Finishing'!$C$19="","",'13 Coating &amp; Finishing'!J19)</f>
        <v>120</v>
      </c>
      <c r="J621" s="58" t="n">
        <f aca="false">IF('13 Coating &amp; Finishing'!$C$19="","",'13 Coating &amp; Finishing'!K19)</f>
        <v>144</v>
      </c>
      <c r="K621" s="58" t="n">
        <f aca="false">IF('13 Coating &amp; Finishing'!$C$19="","",'13 Coating &amp; Finishing'!L19)</f>
        <v>151.2</v>
      </c>
      <c r="L621" s="57" t="str">
        <f aca="false">IF('13 Coating &amp; Finishing'!$C$19="","",'13 Coating &amp; Finishing'!M19)</f>
        <v>Indicative</v>
      </c>
      <c r="M621" s="59" t="str">
        <f aca="false">IF(D621="","",IF(AND(OR(Search!$C$6="All Categories",A621=Search!$C$6),OR(Search!$P$5="",ISNUMBER(SEARCH(" "&amp;Search!$P$5,N621))),OR(Search!$P$6="",ISNUMBER(SEARCH(" "&amp;Search!$P$6,N621))),OR(Search!$P$7="",ISNUMBER(SEARCH(" "&amp;Search!$P$7,N621))),OR(Search!$P$8="",ISNUMBER(SEARCH(" "&amp;Search!$P$8,N621))),OR(Search!$P$9="",ISNUMBER(SEARCH(" "&amp;Search!$P$9,N621))),OR(Search!$P$10="",ISNUMBER(SEARCH(" "&amp;Search!$P$10,N621)))),ROW(),""))</f>
        <v/>
      </c>
      <c r="N621" s="0" t="str">
        <f aca="false">IF(D621="",""," "&amp;SUBSTITUTE(SUBSTITUTE(SUBSTITUTE(SUBSTITUTE(SUBSTITUTE(SUBSTITUTE(SUBSTITUTE(B621&amp;" "&amp;C621&amp;" "&amp;D621&amp;" "&amp;E621&amp;" "&amp;F621&amp;" "&amp;G621&amp;" "&amp;H621&amp;" "&amp;'13 Coating &amp; Finishing'!R19,"("," "),")"," "),"/"," "),"-"," "),","," "),";"," "),":"," ")&amp;" ")</f>
        <v> CF 015 Stainless Steel Finishing Mirror polishing Per m2 #8 Local m2 glass stainless steel </v>
      </c>
    </row>
    <row r="622" customFormat="false" ht="22.35" hidden="false" customHeight="false" outlineLevel="0" collapsed="false">
      <c r="A622" s="56" t="str">
        <f aca="false">IF('13 Coating &amp; Finishing'!$C$20="","","Coating, Finishing &amp; Treatment Services")</f>
        <v>Coating, Finishing &amp; Treatment Services</v>
      </c>
      <c r="B622" s="57" t="str">
        <f aca="false">IF('13 Coating &amp; Finishing'!$C$20="","",'13 Coating &amp; Finishing'!A20)</f>
        <v>CF-016</v>
      </c>
      <c r="C622" s="56" t="str">
        <f aca="false">IF('13 Coating &amp; Finishing'!$C$20="","",'13 Coating &amp; Finishing'!B20)</f>
        <v>Stainless Steel Finishing</v>
      </c>
      <c r="D622" s="56" t="str">
        <f aca="false">IF('13 Coating &amp; Finishing'!$C$20="","",'13 Coating &amp; Finishing'!C20)</f>
        <v>PVD colour coating</v>
      </c>
      <c r="E622" s="56" t="str">
        <f aca="false">IF('13 Coating &amp; Finishing'!$C$20="","",'13 Coating &amp; Finishing'!D20)</f>
        <v>Per m2</v>
      </c>
      <c r="F622" s="56" t="str">
        <f aca="false">IF('13 Coating &amp; Finishing'!$C$20="","",'13 Coating &amp; Finishing'!E20)</f>
        <v>Gold / Black / Rose gold</v>
      </c>
      <c r="G622" s="56" t="str">
        <f aca="false">IF('13 Coating &amp; Finishing'!$C$20="","",'13 Coating &amp; Finishing'!F20)</f>
        <v>Local / Imported</v>
      </c>
      <c r="H622" s="57" t="str">
        <f aca="false">IF('13 Coating &amp; Finishing'!$C$20="","",'13 Coating &amp; Finishing'!G20)</f>
        <v>m2</v>
      </c>
      <c r="I622" s="58" t="n">
        <f aca="false">IF('13 Coating &amp; Finishing'!$C$20="","",'13 Coating &amp; Finishing'!J20)</f>
        <v>260</v>
      </c>
      <c r="J622" s="58" t="n">
        <f aca="false">IF('13 Coating &amp; Finishing'!$C$20="","",'13 Coating &amp; Finishing'!K20)</f>
        <v>312</v>
      </c>
      <c r="K622" s="58" t="n">
        <f aca="false">IF('13 Coating &amp; Finishing'!$C$20="","",'13 Coating &amp; Finishing'!L20)</f>
        <v>327.6</v>
      </c>
      <c r="L622" s="57" t="str">
        <f aca="false">IF('13 Coating &amp; Finishing'!$C$20="","",'13 Coating &amp; Finishing'!M20)</f>
        <v>Indicative</v>
      </c>
      <c r="M622" s="59" t="str">
        <f aca="false">IF(D622="","",IF(AND(OR(Search!$C$6="All Categories",A622=Search!$C$6),OR(Search!$P$5="",ISNUMBER(SEARCH(" "&amp;Search!$P$5,N622))),OR(Search!$P$6="",ISNUMBER(SEARCH(" "&amp;Search!$P$6,N622))),OR(Search!$P$7="",ISNUMBER(SEARCH(" "&amp;Search!$P$7,N622))),OR(Search!$P$8="",ISNUMBER(SEARCH(" "&amp;Search!$P$8,N622))),OR(Search!$P$9="",ISNUMBER(SEARCH(" "&amp;Search!$P$9,N622))),OR(Search!$P$10="",ISNUMBER(SEARCH(" "&amp;Search!$P$10,N622)))),ROW(),""))</f>
        <v/>
      </c>
      <c r="N622" s="0" t="str">
        <f aca="false">IF(D622="",""," "&amp;SUBSTITUTE(SUBSTITUTE(SUBSTITUTE(SUBSTITUTE(SUBSTITUTE(SUBSTITUTE(SUBSTITUTE(B622&amp;" "&amp;C622&amp;" "&amp;D622&amp;" "&amp;E622&amp;" "&amp;F622&amp;" "&amp;G622&amp;" "&amp;H622&amp;" "&amp;'13 Coating &amp; Finishing'!R20,"("," "),")"," "),"/"," "),"-"," "),","," "),";"," "),":"," ")&amp;" ")</f>
        <v> CF 016 Stainless Steel Finishing PVD colour coating Per m2 Gold   Black   Rose gold Local   Imported m2 stainless steel </v>
      </c>
    </row>
    <row r="623" customFormat="false" ht="22.35" hidden="false" customHeight="false" outlineLevel="0" collapsed="false">
      <c r="A623" s="56" t="str">
        <f aca="false">IF('13 Coating &amp; Finishing'!$C$21="","","Coating, Finishing &amp; Treatment Services")</f>
        <v>Coating, Finishing &amp; Treatment Services</v>
      </c>
      <c r="B623" s="57" t="str">
        <f aca="false">IF('13 Coating &amp; Finishing'!$C$21="","",'13 Coating &amp; Finishing'!A21)</f>
        <v>CF-017</v>
      </c>
      <c r="C623" s="56" t="str">
        <f aca="false">IF('13 Coating &amp; Finishing'!$C$21="","",'13 Coating &amp; Finishing'!B21)</f>
        <v>Stainless Steel Finishing</v>
      </c>
      <c r="D623" s="56" t="str">
        <f aca="false">IF('13 Coating &amp; Finishing'!$C$21="","",'13 Coating &amp; Finishing'!C21)</f>
        <v>Passivation / pickling</v>
      </c>
      <c r="E623" s="56" t="str">
        <f aca="false">IF('13 Coating &amp; Finishing'!$C$21="","",'13 Coating &amp; Finishing'!D21)</f>
        <v>Per m2</v>
      </c>
      <c r="F623" s="56" t="str">
        <f aca="false">IF('13 Coating &amp; Finishing'!$C$21="","",'13 Coating &amp; Finishing'!E21)</f>
        <v>-</v>
      </c>
      <c r="G623" s="56" t="str">
        <f aca="false">IF('13 Coating &amp; Finishing'!$C$21="","",'13 Coating &amp; Finishing'!F21)</f>
        <v>Local</v>
      </c>
      <c r="H623" s="57" t="str">
        <f aca="false">IF('13 Coating &amp; Finishing'!$C$21="","",'13 Coating &amp; Finishing'!G21)</f>
        <v>m2</v>
      </c>
      <c r="I623" s="58" t="n">
        <f aca="false">IF('13 Coating &amp; Finishing'!$C$21="","",'13 Coating &amp; Finishing'!J21)</f>
        <v>25</v>
      </c>
      <c r="J623" s="58" t="n">
        <f aca="false">IF('13 Coating &amp; Finishing'!$C$21="","",'13 Coating &amp; Finishing'!K21)</f>
        <v>30</v>
      </c>
      <c r="K623" s="58" t="n">
        <f aca="false">IF('13 Coating &amp; Finishing'!$C$21="","",'13 Coating &amp; Finishing'!L21)</f>
        <v>31.5</v>
      </c>
      <c r="L623" s="57" t="str">
        <f aca="false">IF('13 Coating &amp; Finishing'!$C$21="","",'13 Coating &amp; Finishing'!M21)</f>
        <v>Indicative</v>
      </c>
      <c r="M623" s="59" t="str">
        <f aca="false">IF(D623="","",IF(AND(OR(Search!$C$6="All Categories",A623=Search!$C$6),OR(Search!$P$5="",ISNUMBER(SEARCH(" "&amp;Search!$P$5,N623))),OR(Search!$P$6="",ISNUMBER(SEARCH(" "&amp;Search!$P$6,N623))),OR(Search!$P$7="",ISNUMBER(SEARCH(" "&amp;Search!$P$7,N623))),OR(Search!$P$8="",ISNUMBER(SEARCH(" "&amp;Search!$P$8,N623))),OR(Search!$P$9="",ISNUMBER(SEARCH(" "&amp;Search!$P$9,N623))),OR(Search!$P$10="",ISNUMBER(SEARCH(" "&amp;Search!$P$10,N623)))),ROW(),""))</f>
        <v/>
      </c>
      <c r="N623" s="0" t="str">
        <f aca="false">IF(D623="",""," "&amp;SUBSTITUTE(SUBSTITUTE(SUBSTITUTE(SUBSTITUTE(SUBSTITUTE(SUBSTITUTE(SUBSTITUTE(B623&amp;" "&amp;C623&amp;" "&amp;D623&amp;" "&amp;E623&amp;" "&amp;F623&amp;" "&amp;G623&amp;" "&amp;H623&amp;" "&amp;'13 Coating &amp; Finishing'!R21,"("," "),")"," "),"/"," "),"-"," "),","," "),";"," "),":"," ")&amp;" ")</f>
        <v> CF 017 Stainless Steel Finishing Passivation   pickling Per m2   Local m2 stainless steel </v>
      </c>
    </row>
    <row r="624" customFormat="false" ht="15" hidden="false" customHeight="false" outlineLevel="0" collapsed="false">
      <c r="A624" s="56" t="str">
        <f aca="false">IF('13 Coating &amp; Finishing'!$C$22="","","Coating, Finishing &amp; Treatment Services")</f>
        <v/>
      </c>
      <c r="B624" s="57" t="str">
        <f aca="false">IF('13 Coating &amp; Finishing'!$C$22="","",'13 Coating &amp; Finishing'!A22)</f>
        <v/>
      </c>
      <c r="C624" s="56" t="str">
        <f aca="false">IF('13 Coating &amp; Finishing'!$C$22="","",'13 Coating &amp; Finishing'!B22)</f>
        <v/>
      </c>
      <c r="D624" s="56" t="str">
        <f aca="false">IF('13 Coating &amp; Finishing'!$C$22="","",'13 Coating &amp; Finishing'!C22)</f>
        <v/>
      </c>
      <c r="E624" s="56" t="str">
        <f aca="false">IF('13 Coating &amp; Finishing'!$C$22="","",'13 Coating &amp; Finishing'!D22)</f>
        <v/>
      </c>
      <c r="F624" s="56" t="str">
        <f aca="false">IF('13 Coating &amp; Finishing'!$C$22="","",'13 Coating &amp; Finishing'!E22)</f>
        <v/>
      </c>
      <c r="G624" s="56" t="str">
        <f aca="false">IF('13 Coating &amp; Finishing'!$C$22="","",'13 Coating &amp; Finishing'!F22)</f>
        <v/>
      </c>
      <c r="H624" s="57" t="str">
        <f aca="false">IF('13 Coating &amp; Finishing'!$C$22="","",'13 Coating &amp; Finishing'!G22)</f>
        <v/>
      </c>
      <c r="I624" s="58" t="str">
        <f aca="false">IF('13 Coating &amp; Finishing'!$C$22="","",'13 Coating &amp; Finishing'!J22)</f>
        <v/>
      </c>
      <c r="J624" s="58" t="str">
        <f aca="false">IF('13 Coating &amp; Finishing'!$C$22="","",'13 Coating &amp; Finishing'!K22)</f>
        <v/>
      </c>
      <c r="K624" s="58" t="str">
        <f aca="false">IF('13 Coating &amp; Finishing'!$C$22="","",'13 Coating &amp; Finishing'!L22)</f>
        <v/>
      </c>
      <c r="L624" s="57" t="str">
        <f aca="false">IF('13 Coating &amp; Finishing'!$C$22="","",'13 Coating &amp; Finishing'!M22)</f>
        <v/>
      </c>
      <c r="M624" s="59" t="str">
        <f aca="false">IF(D624="","",IF(AND(OR(Search!$C$6="All Categories",A624=Search!$C$6),OR(Search!$P$5="",ISNUMBER(SEARCH(" "&amp;Search!$P$5,N624))),OR(Search!$P$6="",ISNUMBER(SEARCH(" "&amp;Search!$P$6,N624))),OR(Search!$P$7="",ISNUMBER(SEARCH(" "&amp;Search!$P$7,N624))),OR(Search!$P$8="",ISNUMBER(SEARCH(" "&amp;Search!$P$8,N624))),OR(Search!$P$9="",ISNUMBER(SEARCH(" "&amp;Search!$P$9,N624))),OR(Search!$P$10="",ISNUMBER(SEARCH(" "&amp;Search!$P$10,N624)))),ROW(),""))</f>
        <v/>
      </c>
      <c r="N624" s="0" t="str">
        <f aca="false">IF(D624="",""," "&amp;SUBSTITUTE(SUBSTITUTE(SUBSTITUTE(SUBSTITUTE(SUBSTITUTE(SUBSTITUTE(SUBSTITUTE(B624&amp;" "&amp;C624&amp;" "&amp;D624&amp;" "&amp;E624&amp;" "&amp;F624&amp;" "&amp;G624&amp;" "&amp;H624&amp;" "&amp;'13 Coating &amp; Finishing'!R22,"("," "),")"," "),"/"," "),"-"," "),","," "),";"," "),":"," ")&amp;" ")</f>
        <v/>
      </c>
    </row>
    <row r="625" customFormat="false" ht="15" hidden="false" customHeight="false" outlineLevel="0" collapsed="false">
      <c r="A625" s="56" t="str">
        <f aca="false">IF('13 Coating &amp; Finishing'!$C$23="","","Coating, Finishing &amp; Treatment Services")</f>
        <v/>
      </c>
      <c r="B625" s="57" t="str">
        <f aca="false">IF('13 Coating &amp; Finishing'!$C$23="","",'13 Coating &amp; Finishing'!A23)</f>
        <v/>
      </c>
      <c r="C625" s="56" t="str">
        <f aca="false">IF('13 Coating &amp; Finishing'!$C$23="","",'13 Coating &amp; Finishing'!B23)</f>
        <v/>
      </c>
      <c r="D625" s="56" t="str">
        <f aca="false">IF('13 Coating &amp; Finishing'!$C$23="","",'13 Coating &amp; Finishing'!C23)</f>
        <v/>
      </c>
      <c r="E625" s="56" t="str">
        <f aca="false">IF('13 Coating &amp; Finishing'!$C$23="","",'13 Coating &amp; Finishing'!D23)</f>
        <v/>
      </c>
      <c r="F625" s="56" t="str">
        <f aca="false">IF('13 Coating &amp; Finishing'!$C$23="","",'13 Coating &amp; Finishing'!E23)</f>
        <v/>
      </c>
      <c r="G625" s="56" t="str">
        <f aca="false">IF('13 Coating &amp; Finishing'!$C$23="","",'13 Coating &amp; Finishing'!F23)</f>
        <v/>
      </c>
      <c r="H625" s="57" t="str">
        <f aca="false">IF('13 Coating &amp; Finishing'!$C$23="","",'13 Coating &amp; Finishing'!G23)</f>
        <v/>
      </c>
      <c r="I625" s="58" t="str">
        <f aca="false">IF('13 Coating &amp; Finishing'!$C$23="","",'13 Coating &amp; Finishing'!J23)</f>
        <v/>
      </c>
      <c r="J625" s="58" t="str">
        <f aca="false">IF('13 Coating &amp; Finishing'!$C$23="","",'13 Coating &amp; Finishing'!K23)</f>
        <v/>
      </c>
      <c r="K625" s="58" t="str">
        <f aca="false">IF('13 Coating &amp; Finishing'!$C$23="","",'13 Coating &amp; Finishing'!L23)</f>
        <v/>
      </c>
      <c r="L625" s="57" t="str">
        <f aca="false">IF('13 Coating &amp; Finishing'!$C$23="","",'13 Coating &amp; Finishing'!M23)</f>
        <v/>
      </c>
      <c r="M625" s="59" t="str">
        <f aca="false">IF(D625="","",IF(AND(OR(Search!$C$6="All Categories",A625=Search!$C$6),OR(Search!$P$5="",ISNUMBER(SEARCH(" "&amp;Search!$P$5,N625))),OR(Search!$P$6="",ISNUMBER(SEARCH(" "&amp;Search!$P$6,N625))),OR(Search!$P$7="",ISNUMBER(SEARCH(" "&amp;Search!$P$7,N625))),OR(Search!$P$8="",ISNUMBER(SEARCH(" "&amp;Search!$P$8,N625))),OR(Search!$P$9="",ISNUMBER(SEARCH(" "&amp;Search!$P$9,N625))),OR(Search!$P$10="",ISNUMBER(SEARCH(" "&amp;Search!$P$10,N625)))),ROW(),""))</f>
        <v/>
      </c>
      <c r="N625" s="0" t="str">
        <f aca="false">IF(D625="",""," "&amp;SUBSTITUTE(SUBSTITUTE(SUBSTITUTE(SUBSTITUTE(SUBSTITUTE(SUBSTITUTE(SUBSTITUTE(B625&amp;" "&amp;C625&amp;" "&amp;D625&amp;" "&amp;E625&amp;" "&amp;F625&amp;" "&amp;G625&amp;" "&amp;H625&amp;" "&amp;'13 Coating &amp; Finishing'!R23,"("," "),")"," "),"/"," "),"-"," "),","," "),";"," "),":"," ")&amp;" ")</f>
        <v/>
      </c>
    </row>
    <row r="626" customFormat="false" ht="15" hidden="false" customHeight="false" outlineLevel="0" collapsed="false">
      <c r="A626" s="56" t="str">
        <f aca="false">IF('13 Coating &amp; Finishing'!$C$24="","","Coating, Finishing &amp; Treatment Services")</f>
        <v/>
      </c>
      <c r="B626" s="57" t="str">
        <f aca="false">IF('13 Coating &amp; Finishing'!$C$24="","",'13 Coating &amp; Finishing'!A24)</f>
        <v/>
      </c>
      <c r="C626" s="56" t="str">
        <f aca="false">IF('13 Coating &amp; Finishing'!$C$24="","",'13 Coating &amp; Finishing'!B24)</f>
        <v/>
      </c>
      <c r="D626" s="56" t="str">
        <f aca="false">IF('13 Coating &amp; Finishing'!$C$24="","",'13 Coating &amp; Finishing'!C24)</f>
        <v/>
      </c>
      <c r="E626" s="56" t="str">
        <f aca="false">IF('13 Coating &amp; Finishing'!$C$24="","",'13 Coating &amp; Finishing'!D24)</f>
        <v/>
      </c>
      <c r="F626" s="56" t="str">
        <f aca="false">IF('13 Coating &amp; Finishing'!$C$24="","",'13 Coating &amp; Finishing'!E24)</f>
        <v/>
      </c>
      <c r="G626" s="56" t="str">
        <f aca="false">IF('13 Coating &amp; Finishing'!$C$24="","",'13 Coating &amp; Finishing'!F24)</f>
        <v/>
      </c>
      <c r="H626" s="57" t="str">
        <f aca="false">IF('13 Coating &amp; Finishing'!$C$24="","",'13 Coating &amp; Finishing'!G24)</f>
        <v/>
      </c>
      <c r="I626" s="58" t="str">
        <f aca="false">IF('13 Coating &amp; Finishing'!$C$24="","",'13 Coating &amp; Finishing'!J24)</f>
        <v/>
      </c>
      <c r="J626" s="58" t="str">
        <f aca="false">IF('13 Coating &amp; Finishing'!$C$24="","",'13 Coating &amp; Finishing'!K24)</f>
        <v/>
      </c>
      <c r="K626" s="58" t="str">
        <f aca="false">IF('13 Coating &amp; Finishing'!$C$24="","",'13 Coating &amp; Finishing'!L24)</f>
        <v/>
      </c>
      <c r="L626" s="57" t="str">
        <f aca="false">IF('13 Coating &amp; Finishing'!$C$24="","",'13 Coating &amp; Finishing'!M24)</f>
        <v/>
      </c>
      <c r="M626" s="59" t="str">
        <f aca="false">IF(D626="","",IF(AND(OR(Search!$C$6="All Categories",A626=Search!$C$6),OR(Search!$P$5="",ISNUMBER(SEARCH(" "&amp;Search!$P$5,N626))),OR(Search!$P$6="",ISNUMBER(SEARCH(" "&amp;Search!$P$6,N626))),OR(Search!$P$7="",ISNUMBER(SEARCH(" "&amp;Search!$P$7,N626))),OR(Search!$P$8="",ISNUMBER(SEARCH(" "&amp;Search!$P$8,N626))),OR(Search!$P$9="",ISNUMBER(SEARCH(" "&amp;Search!$P$9,N626))),OR(Search!$P$10="",ISNUMBER(SEARCH(" "&amp;Search!$P$10,N626)))),ROW(),""))</f>
        <v/>
      </c>
      <c r="N626" s="0" t="str">
        <f aca="false">IF(D626="",""," "&amp;SUBSTITUTE(SUBSTITUTE(SUBSTITUTE(SUBSTITUTE(SUBSTITUTE(SUBSTITUTE(SUBSTITUTE(B626&amp;" "&amp;C626&amp;" "&amp;D626&amp;" "&amp;E626&amp;" "&amp;F626&amp;" "&amp;G626&amp;" "&amp;H626&amp;" "&amp;'13 Coating &amp; Finishing'!R24,"("," "),")"," "),"/"," "),"-"," "),","," "),";"," "),":"," ")&amp;" ")</f>
        <v/>
      </c>
    </row>
    <row r="627" customFormat="false" ht="15" hidden="false" customHeight="false" outlineLevel="0" collapsed="false">
      <c r="A627" s="56" t="str">
        <f aca="false">IF('13 Coating &amp; Finishing'!$C$25="","","Coating, Finishing &amp; Treatment Services")</f>
        <v/>
      </c>
      <c r="B627" s="57" t="str">
        <f aca="false">IF('13 Coating &amp; Finishing'!$C$25="","",'13 Coating &amp; Finishing'!A25)</f>
        <v/>
      </c>
      <c r="C627" s="56" t="str">
        <f aca="false">IF('13 Coating &amp; Finishing'!$C$25="","",'13 Coating &amp; Finishing'!B25)</f>
        <v/>
      </c>
      <c r="D627" s="56" t="str">
        <f aca="false">IF('13 Coating &amp; Finishing'!$C$25="","",'13 Coating &amp; Finishing'!C25)</f>
        <v/>
      </c>
      <c r="E627" s="56" t="str">
        <f aca="false">IF('13 Coating &amp; Finishing'!$C$25="","",'13 Coating &amp; Finishing'!D25)</f>
        <v/>
      </c>
      <c r="F627" s="56" t="str">
        <f aca="false">IF('13 Coating &amp; Finishing'!$C$25="","",'13 Coating &amp; Finishing'!E25)</f>
        <v/>
      </c>
      <c r="G627" s="56" t="str">
        <f aca="false">IF('13 Coating &amp; Finishing'!$C$25="","",'13 Coating &amp; Finishing'!F25)</f>
        <v/>
      </c>
      <c r="H627" s="57" t="str">
        <f aca="false">IF('13 Coating &amp; Finishing'!$C$25="","",'13 Coating &amp; Finishing'!G25)</f>
        <v/>
      </c>
      <c r="I627" s="58" t="str">
        <f aca="false">IF('13 Coating &amp; Finishing'!$C$25="","",'13 Coating &amp; Finishing'!J25)</f>
        <v/>
      </c>
      <c r="J627" s="58" t="str">
        <f aca="false">IF('13 Coating &amp; Finishing'!$C$25="","",'13 Coating &amp; Finishing'!K25)</f>
        <v/>
      </c>
      <c r="K627" s="58" t="str">
        <f aca="false">IF('13 Coating &amp; Finishing'!$C$25="","",'13 Coating &amp; Finishing'!L25)</f>
        <v/>
      </c>
      <c r="L627" s="57" t="str">
        <f aca="false">IF('13 Coating &amp; Finishing'!$C$25="","",'13 Coating &amp; Finishing'!M25)</f>
        <v/>
      </c>
      <c r="M627" s="59" t="str">
        <f aca="false">IF(D627="","",IF(AND(OR(Search!$C$6="All Categories",A627=Search!$C$6),OR(Search!$P$5="",ISNUMBER(SEARCH(" "&amp;Search!$P$5,N627))),OR(Search!$P$6="",ISNUMBER(SEARCH(" "&amp;Search!$P$6,N627))),OR(Search!$P$7="",ISNUMBER(SEARCH(" "&amp;Search!$P$7,N627))),OR(Search!$P$8="",ISNUMBER(SEARCH(" "&amp;Search!$P$8,N627))),OR(Search!$P$9="",ISNUMBER(SEARCH(" "&amp;Search!$P$9,N627))),OR(Search!$P$10="",ISNUMBER(SEARCH(" "&amp;Search!$P$10,N627)))),ROW(),""))</f>
        <v/>
      </c>
      <c r="N627" s="0" t="str">
        <f aca="false">IF(D627="",""," "&amp;SUBSTITUTE(SUBSTITUTE(SUBSTITUTE(SUBSTITUTE(SUBSTITUTE(SUBSTITUTE(SUBSTITUTE(B627&amp;" "&amp;C627&amp;" "&amp;D627&amp;" "&amp;E627&amp;" "&amp;F627&amp;" "&amp;G627&amp;" "&amp;H627&amp;" "&amp;'13 Coating &amp; Finishing'!R25,"("," "),")"," "),"/"," "),"-"," "),","," "),";"," "),":"," ")&amp;" ")</f>
        <v/>
      </c>
    </row>
    <row r="628" customFormat="false" ht="15" hidden="false" customHeight="false" outlineLevel="0" collapsed="false">
      <c r="A628" s="56" t="str">
        <f aca="false">IF('13 Coating &amp; Finishing'!$C$26="","","Coating, Finishing &amp; Treatment Services")</f>
        <v/>
      </c>
      <c r="B628" s="57" t="str">
        <f aca="false">IF('13 Coating &amp; Finishing'!$C$26="","",'13 Coating &amp; Finishing'!A26)</f>
        <v/>
      </c>
      <c r="C628" s="56" t="str">
        <f aca="false">IF('13 Coating &amp; Finishing'!$C$26="","",'13 Coating &amp; Finishing'!B26)</f>
        <v/>
      </c>
      <c r="D628" s="56" t="str">
        <f aca="false">IF('13 Coating &amp; Finishing'!$C$26="","",'13 Coating &amp; Finishing'!C26)</f>
        <v/>
      </c>
      <c r="E628" s="56" t="str">
        <f aca="false">IF('13 Coating &amp; Finishing'!$C$26="","",'13 Coating &amp; Finishing'!D26)</f>
        <v/>
      </c>
      <c r="F628" s="56" t="str">
        <f aca="false">IF('13 Coating &amp; Finishing'!$C$26="","",'13 Coating &amp; Finishing'!E26)</f>
        <v/>
      </c>
      <c r="G628" s="56" t="str">
        <f aca="false">IF('13 Coating &amp; Finishing'!$C$26="","",'13 Coating &amp; Finishing'!F26)</f>
        <v/>
      </c>
      <c r="H628" s="57" t="str">
        <f aca="false">IF('13 Coating &amp; Finishing'!$C$26="","",'13 Coating &amp; Finishing'!G26)</f>
        <v/>
      </c>
      <c r="I628" s="58" t="str">
        <f aca="false">IF('13 Coating &amp; Finishing'!$C$26="","",'13 Coating &amp; Finishing'!J26)</f>
        <v/>
      </c>
      <c r="J628" s="58" t="str">
        <f aca="false">IF('13 Coating &amp; Finishing'!$C$26="","",'13 Coating &amp; Finishing'!K26)</f>
        <v/>
      </c>
      <c r="K628" s="58" t="str">
        <f aca="false">IF('13 Coating &amp; Finishing'!$C$26="","",'13 Coating &amp; Finishing'!L26)</f>
        <v/>
      </c>
      <c r="L628" s="57" t="str">
        <f aca="false">IF('13 Coating &amp; Finishing'!$C$26="","",'13 Coating &amp; Finishing'!M26)</f>
        <v/>
      </c>
      <c r="M628" s="59" t="str">
        <f aca="false">IF(D628="","",IF(AND(OR(Search!$C$6="All Categories",A628=Search!$C$6),OR(Search!$P$5="",ISNUMBER(SEARCH(" "&amp;Search!$P$5,N628))),OR(Search!$P$6="",ISNUMBER(SEARCH(" "&amp;Search!$P$6,N628))),OR(Search!$P$7="",ISNUMBER(SEARCH(" "&amp;Search!$P$7,N628))),OR(Search!$P$8="",ISNUMBER(SEARCH(" "&amp;Search!$P$8,N628))),OR(Search!$P$9="",ISNUMBER(SEARCH(" "&amp;Search!$P$9,N628))),OR(Search!$P$10="",ISNUMBER(SEARCH(" "&amp;Search!$P$10,N628)))),ROW(),""))</f>
        <v/>
      </c>
      <c r="N628" s="0" t="str">
        <f aca="false">IF(D628="",""," "&amp;SUBSTITUTE(SUBSTITUTE(SUBSTITUTE(SUBSTITUTE(SUBSTITUTE(SUBSTITUTE(SUBSTITUTE(B628&amp;" "&amp;C628&amp;" "&amp;D628&amp;" "&amp;E628&amp;" "&amp;F628&amp;" "&amp;G628&amp;" "&amp;H628&amp;" "&amp;'13 Coating &amp; Finishing'!R26,"("," "),")"," "),"/"," "),"-"," "),","," "),";"," "),":"," ")&amp;" ")</f>
        <v/>
      </c>
    </row>
    <row r="629" customFormat="false" ht="15" hidden="false" customHeight="false" outlineLevel="0" collapsed="false">
      <c r="A629" s="56" t="str">
        <f aca="false">IF('13 Coating &amp; Finishing'!$C$27="","","Coating, Finishing &amp; Treatment Services")</f>
        <v/>
      </c>
      <c r="B629" s="57" t="str">
        <f aca="false">IF('13 Coating &amp; Finishing'!$C$27="","",'13 Coating &amp; Finishing'!A27)</f>
        <v/>
      </c>
      <c r="C629" s="56" t="str">
        <f aca="false">IF('13 Coating &amp; Finishing'!$C$27="","",'13 Coating &amp; Finishing'!B27)</f>
        <v/>
      </c>
      <c r="D629" s="56" t="str">
        <f aca="false">IF('13 Coating &amp; Finishing'!$C$27="","",'13 Coating &amp; Finishing'!C27)</f>
        <v/>
      </c>
      <c r="E629" s="56" t="str">
        <f aca="false">IF('13 Coating &amp; Finishing'!$C$27="","",'13 Coating &amp; Finishing'!D27)</f>
        <v/>
      </c>
      <c r="F629" s="56" t="str">
        <f aca="false">IF('13 Coating &amp; Finishing'!$C$27="","",'13 Coating &amp; Finishing'!E27)</f>
        <v/>
      </c>
      <c r="G629" s="56" t="str">
        <f aca="false">IF('13 Coating &amp; Finishing'!$C$27="","",'13 Coating &amp; Finishing'!F27)</f>
        <v/>
      </c>
      <c r="H629" s="57" t="str">
        <f aca="false">IF('13 Coating &amp; Finishing'!$C$27="","",'13 Coating &amp; Finishing'!G27)</f>
        <v/>
      </c>
      <c r="I629" s="58" t="str">
        <f aca="false">IF('13 Coating &amp; Finishing'!$C$27="","",'13 Coating &amp; Finishing'!J27)</f>
        <v/>
      </c>
      <c r="J629" s="58" t="str">
        <f aca="false">IF('13 Coating &amp; Finishing'!$C$27="","",'13 Coating &amp; Finishing'!K27)</f>
        <v/>
      </c>
      <c r="K629" s="58" t="str">
        <f aca="false">IF('13 Coating &amp; Finishing'!$C$27="","",'13 Coating &amp; Finishing'!L27)</f>
        <v/>
      </c>
      <c r="L629" s="57" t="str">
        <f aca="false">IF('13 Coating &amp; Finishing'!$C$27="","",'13 Coating &amp; Finishing'!M27)</f>
        <v/>
      </c>
      <c r="M629" s="59" t="str">
        <f aca="false">IF(D629="","",IF(AND(OR(Search!$C$6="All Categories",A629=Search!$C$6),OR(Search!$P$5="",ISNUMBER(SEARCH(" "&amp;Search!$P$5,N629))),OR(Search!$P$6="",ISNUMBER(SEARCH(" "&amp;Search!$P$6,N629))),OR(Search!$P$7="",ISNUMBER(SEARCH(" "&amp;Search!$P$7,N629))),OR(Search!$P$8="",ISNUMBER(SEARCH(" "&amp;Search!$P$8,N629))),OR(Search!$P$9="",ISNUMBER(SEARCH(" "&amp;Search!$P$9,N629))),OR(Search!$P$10="",ISNUMBER(SEARCH(" "&amp;Search!$P$10,N629)))),ROW(),""))</f>
        <v/>
      </c>
      <c r="N629" s="0" t="str">
        <f aca="false">IF(D629="",""," "&amp;SUBSTITUTE(SUBSTITUTE(SUBSTITUTE(SUBSTITUTE(SUBSTITUTE(SUBSTITUTE(SUBSTITUTE(B629&amp;" "&amp;C629&amp;" "&amp;D629&amp;" "&amp;E629&amp;" "&amp;F629&amp;" "&amp;G629&amp;" "&amp;H629&amp;" "&amp;'13 Coating &amp; Finishing'!R27,"("," "),")"," "),"/"," "),"-"," "),","," "),";"," "),":"," ")&amp;" ")</f>
        <v/>
      </c>
    </row>
    <row r="630" customFormat="false" ht="15" hidden="false" customHeight="false" outlineLevel="0" collapsed="false">
      <c r="A630" s="56" t="str">
        <f aca="false">IF('13 Coating &amp; Finishing'!$C$28="","","Coating, Finishing &amp; Treatment Services")</f>
        <v/>
      </c>
      <c r="B630" s="57" t="str">
        <f aca="false">IF('13 Coating &amp; Finishing'!$C$28="","",'13 Coating &amp; Finishing'!A28)</f>
        <v/>
      </c>
      <c r="C630" s="56" t="str">
        <f aca="false">IF('13 Coating &amp; Finishing'!$C$28="","",'13 Coating &amp; Finishing'!B28)</f>
        <v/>
      </c>
      <c r="D630" s="56" t="str">
        <f aca="false">IF('13 Coating &amp; Finishing'!$C$28="","",'13 Coating &amp; Finishing'!C28)</f>
        <v/>
      </c>
      <c r="E630" s="56" t="str">
        <f aca="false">IF('13 Coating &amp; Finishing'!$C$28="","",'13 Coating &amp; Finishing'!D28)</f>
        <v/>
      </c>
      <c r="F630" s="56" t="str">
        <f aca="false">IF('13 Coating &amp; Finishing'!$C$28="","",'13 Coating &amp; Finishing'!E28)</f>
        <v/>
      </c>
      <c r="G630" s="56" t="str">
        <f aca="false">IF('13 Coating &amp; Finishing'!$C$28="","",'13 Coating &amp; Finishing'!F28)</f>
        <v/>
      </c>
      <c r="H630" s="57" t="str">
        <f aca="false">IF('13 Coating &amp; Finishing'!$C$28="","",'13 Coating &amp; Finishing'!G28)</f>
        <v/>
      </c>
      <c r="I630" s="58" t="str">
        <f aca="false">IF('13 Coating &amp; Finishing'!$C$28="","",'13 Coating &amp; Finishing'!J28)</f>
        <v/>
      </c>
      <c r="J630" s="58" t="str">
        <f aca="false">IF('13 Coating &amp; Finishing'!$C$28="","",'13 Coating &amp; Finishing'!K28)</f>
        <v/>
      </c>
      <c r="K630" s="58" t="str">
        <f aca="false">IF('13 Coating &amp; Finishing'!$C$28="","",'13 Coating &amp; Finishing'!L28)</f>
        <v/>
      </c>
      <c r="L630" s="57" t="str">
        <f aca="false">IF('13 Coating &amp; Finishing'!$C$28="","",'13 Coating &amp; Finishing'!M28)</f>
        <v/>
      </c>
      <c r="M630" s="59" t="str">
        <f aca="false">IF(D630="","",IF(AND(OR(Search!$C$6="All Categories",A630=Search!$C$6),OR(Search!$P$5="",ISNUMBER(SEARCH(" "&amp;Search!$P$5,N630))),OR(Search!$P$6="",ISNUMBER(SEARCH(" "&amp;Search!$P$6,N630))),OR(Search!$P$7="",ISNUMBER(SEARCH(" "&amp;Search!$P$7,N630))),OR(Search!$P$8="",ISNUMBER(SEARCH(" "&amp;Search!$P$8,N630))),OR(Search!$P$9="",ISNUMBER(SEARCH(" "&amp;Search!$P$9,N630))),OR(Search!$P$10="",ISNUMBER(SEARCH(" "&amp;Search!$P$10,N630)))),ROW(),""))</f>
        <v/>
      </c>
      <c r="N630" s="0" t="str">
        <f aca="false">IF(D630="",""," "&amp;SUBSTITUTE(SUBSTITUTE(SUBSTITUTE(SUBSTITUTE(SUBSTITUTE(SUBSTITUTE(SUBSTITUTE(B630&amp;" "&amp;C630&amp;" "&amp;D630&amp;" "&amp;E630&amp;" "&amp;F630&amp;" "&amp;G630&amp;" "&amp;H630&amp;" "&amp;'13 Coating &amp; Finishing'!R28,"("," "),")"," "),"/"," "),"-"," "),","," "),";"," "),":"," ")&amp;" ")</f>
        <v/>
      </c>
    </row>
    <row r="631" customFormat="false" ht="15" hidden="false" customHeight="false" outlineLevel="0" collapsed="false">
      <c r="A631" s="56" t="str">
        <f aca="false">IF('13 Coating &amp; Finishing'!$C$29="","","Coating, Finishing &amp; Treatment Services")</f>
        <v/>
      </c>
      <c r="B631" s="57" t="str">
        <f aca="false">IF('13 Coating &amp; Finishing'!$C$29="","",'13 Coating &amp; Finishing'!A29)</f>
        <v/>
      </c>
      <c r="C631" s="56" t="str">
        <f aca="false">IF('13 Coating &amp; Finishing'!$C$29="","",'13 Coating &amp; Finishing'!B29)</f>
        <v/>
      </c>
      <c r="D631" s="56" t="str">
        <f aca="false">IF('13 Coating &amp; Finishing'!$C$29="","",'13 Coating &amp; Finishing'!C29)</f>
        <v/>
      </c>
      <c r="E631" s="56" t="str">
        <f aca="false">IF('13 Coating &amp; Finishing'!$C$29="","",'13 Coating &amp; Finishing'!D29)</f>
        <v/>
      </c>
      <c r="F631" s="56" t="str">
        <f aca="false">IF('13 Coating &amp; Finishing'!$C$29="","",'13 Coating &amp; Finishing'!E29)</f>
        <v/>
      </c>
      <c r="G631" s="56" t="str">
        <f aca="false">IF('13 Coating &amp; Finishing'!$C$29="","",'13 Coating &amp; Finishing'!F29)</f>
        <v/>
      </c>
      <c r="H631" s="57" t="str">
        <f aca="false">IF('13 Coating &amp; Finishing'!$C$29="","",'13 Coating &amp; Finishing'!G29)</f>
        <v/>
      </c>
      <c r="I631" s="58" t="str">
        <f aca="false">IF('13 Coating &amp; Finishing'!$C$29="","",'13 Coating &amp; Finishing'!J29)</f>
        <v/>
      </c>
      <c r="J631" s="58" t="str">
        <f aca="false">IF('13 Coating &amp; Finishing'!$C$29="","",'13 Coating &amp; Finishing'!K29)</f>
        <v/>
      </c>
      <c r="K631" s="58" t="str">
        <f aca="false">IF('13 Coating &amp; Finishing'!$C$29="","",'13 Coating &amp; Finishing'!L29)</f>
        <v/>
      </c>
      <c r="L631" s="57" t="str">
        <f aca="false">IF('13 Coating &amp; Finishing'!$C$29="","",'13 Coating &amp; Finishing'!M29)</f>
        <v/>
      </c>
      <c r="M631" s="59" t="str">
        <f aca="false">IF(D631="","",IF(AND(OR(Search!$C$6="All Categories",A631=Search!$C$6),OR(Search!$P$5="",ISNUMBER(SEARCH(" "&amp;Search!$P$5,N631))),OR(Search!$P$6="",ISNUMBER(SEARCH(" "&amp;Search!$P$6,N631))),OR(Search!$P$7="",ISNUMBER(SEARCH(" "&amp;Search!$P$7,N631))),OR(Search!$P$8="",ISNUMBER(SEARCH(" "&amp;Search!$P$8,N631))),OR(Search!$P$9="",ISNUMBER(SEARCH(" "&amp;Search!$P$9,N631))),OR(Search!$P$10="",ISNUMBER(SEARCH(" "&amp;Search!$P$10,N631)))),ROW(),""))</f>
        <v/>
      </c>
      <c r="N631" s="0" t="str">
        <f aca="false">IF(D631="",""," "&amp;SUBSTITUTE(SUBSTITUTE(SUBSTITUTE(SUBSTITUTE(SUBSTITUTE(SUBSTITUTE(SUBSTITUTE(B631&amp;" "&amp;C631&amp;" "&amp;D631&amp;" "&amp;E631&amp;" "&amp;F631&amp;" "&amp;G631&amp;" "&amp;H631&amp;" "&amp;'13 Coating &amp; Finishing'!R29,"("," "),")"," "),"/"," "),"-"," "),","," "),";"," "),":"," ")&amp;" ")</f>
        <v/>
      </c>
    </row>
    <row r="632" customFormat="false" ht="15" hidden="false" customHeight="false" outlineLevel="0" collapsed="false">
      <c r="A632" s="56" t="str">
        <f aca="false">IF('13 Coating &amp; Finishing'!$C$30="","","Coating, Finishing &amp; Treatment Services")</f>
        <v/>
      </c>
      <c r="B632" s="57" t="str">
        <f aca="false">IF('13 Coating &amp; Finishing'!$C$30="","",'13 Coating &amp; Finishing'!A30)</f>
        <v/>
      </c>
      <c r="C632" s="56" t="str">
        <f aca="false">IF('13 Coating &amp; Finishing'!$C$30="","",'13 Coating &amp; Finishing'!B30)</f>
        <v/>
      </c>
      <c r="D632" s="56" t="str">
        <f aca="false">IF('13 Coating &amp; Finishing'!$C$30="","",'13 Coating &amp; Finishing'!C30)</f>
        <v/>
      </c>
      <c r="E632" s="56" t="str">
        <f aca="false">IF('13 Coating &amp; Finishing'!$C$30="","",'13 Coating &amp; Finishing'!D30)</f>
        <v/>
      </c>
      <c r="F632" s="56" t="str">
        <f aca="false">IF('13 Coating &amp; Finishing'!$C$30="","",'13 Coating &amp; Finishing'!E30)</f>
        <v/>
      </c>
      <c r="G632" s="56" t="str">
        <f aca="false">IF('13 Coating &amp; Finishing'!$C$30="","",'13 Coating &amp; Finishing'!F30)</f>
        <v/>
      </c>
      <c r="H632" s="57" t="str">
        <f aca="false">IF('13 Coating &amp; Finishing'!$C$30="","",'13 Coating &amp; Finishing'!G30)</f>
        <v/>
      </c>
      <c r="I632" s="58" t="str">
        <f aca="false">IF('13 Coating &amp; Finishing'!$C$30="","",'13 Coating &amp; Finishing'!J30)</f>
        <v/>
      </c>
      <c r="J632" s="58" t="str">
        <f aca="false">IF('13 Coating &amp; Finishing'!$C$30="","",'13 Coating &amp; Finishing'!K30)</f>
        <v/>
      </c>
      <c r="K632" s="58" t="str">
        <f aca="false">IF('13 Coating &amp; Finishing'!$C$30="","",'13 Coating &amp; Finishing'!L30)</f>
        <v/>
      </c>
      <c r="L632" s="57" t="str">
        <f aca="false">IF('13 Coating &amp; Finishing'!$C$30="","",'13 Coating &amp; Finishing'!M30)</f>
        <v/>
      </c>
      <c r="M632" s="59" t="str">
        <f aca="false">IF(D632="","",IF(AND(OR(Search!$C$6="All Categories",A632=Search!$C$6),OR(Search!$P$5="",ISNUMBER(SEARCH(" "&amp;Search!$P$5,N632))),OR(Search!$P$6="",ISNUMBER(SEARCH(" "&amp;Search!$P$6,N632))),OR(Search!$P$7="",ISNUMBER(SEARCH(" "&amp;Search!$P$7,N632))),OR(Search!$P$8="",ISNUMBER(SEARCH(" "&amp;Search!$P$8,N632))),OR(Search!$P$9="",ISNUMBER(SEARCH(" "&amp;Search!$P$9,N632))),OR(Search!$P$10="",ISNUMBER(SEARCH(" "&amp;Search!$P$10,N632)))),ROW(),""))</f>
        <v/>
      </c>
      <c r="N632" s="0" t="str">
        <f aca="false">IF(D632="",""," "&amp;SUBSTITUTE(SUBSTITUTE(SUBSTITUTE(SUBSTITUTE(SUBSTITUTE(SUBSTITUTE(SUBSTITUTE(B632&amp;" "&amp;C632&amp;" "&amp;D632&amp;" "&amp;E632&amp;" "&amp;F632&amp;" "&amp;G632&amp;" "&amp;H632&amp;" "&amp;'13 Coating &amp; Finishing'!R30,"("," "),")"," "),"/"," "),"-"," "),","," "),";"," "),":"," ")&amp;" ")</f>
        <v/>
      </c>
    </row>
    <row r="633" customFormat="false" ht="15" hidden="false" customHeight="false" outlineLevel="0" collapsed="false">
      <c r="A633" s="56" t="str">
        <f aca="false">IF('13 Coating &amp; Finishing'!$C$31="","","Coating, Finishing &amp; Treatment Services")</f>
        <v/>
      </c>
      <c r="B633" s="57" t="str">
        <f aca="false">IF('13 Coating &amp; Finishing'!$C$31="","",'13 Coating &amp; Finishing'!A31)</f>
        <v/>
      </c>
      <c r="C633" s="56" t="str">
        <f aca="false">IF('13 Coating &amp; Finishing'!$C$31="","",'13 Coating &amp; Finishing'!B31)</f>
        <v/>
      </c>
      <c r="D633" s="56" t="str">
        <f aca="false">IF('13 Coating &amp; Finishing'!$C$31="","",'13 Coating &amp; Finishing'!C31)</f>
        <v/>
      </c>
      <c r="E633" s="56" t="str">
        <f aca="false">IF('13 Coating &amp; Finishing'!$C$31="","",'13 Coating &amp; Finishing'!D31)</f>
        <v/>
      </c>
      <c r="F633" s="56" t="str">
        <f aca="false">IF('13 Coating &amp; Finishing'!$C$31="","",'13 Coating &amp; Finishing'!E31)</f>
        <v/>
      </c>
      <c r="G633" s="56" t="str">
        <f aca="false">IF('13 Coating &amp; Finishing'!$C$31="","",'13 Coating &amp; Finishing'!F31)</f>
        <v/>
      </c>
      <c r="H633" s="57" t="str">
        <f aca="false">IF('13 Coating &amp; Finishing'!$C$31="","",'13 Coating &amp; Finishing'!G31)</f>
        <v/>
      </c>
      <c r="I633" s="58" t="str">
        <f aca="false">IF('13 Coating &amp; Finishing'!$C$31="","",'13 Coating &amp; Finishing'!J31)</f>
        <v/>
      </c>
      <c r="J633" s="58" t="str">
        <f aca="false">IF('13 Coating &amp; Finishing'!$C$31="","",'13 Coating &amp; Finishing'!K31)</f>
        <v/>
      </c>
      <c r="K633" s="58" t="str">
        <f aca="false">IF('13 Coating &amp; Finishing'!$C$31="","",'13 Coating &amp; Finishing'!L31)</f>
        <v/>
      </c>
      <c r="L633" s="57" t="str">
        <f aca="false">IF('13 Coating &amp; Finishing'!$C$31="","",'13 Coating &amp; Finishing'!M31)</f>
        <v/>
      </c>
      <c r="M633" s="59" t="str">
        <f aca="false">IF(D633="","",IF(AND(OR(Search!$C$6="All Categories",A633=Search!$C$6),OR(Search!$P$5="",ISNUMBER(SEARCH(" "&amp;Search!$P$5,N633))),OR(Search!$P$6="",ISNUMBER(SEARCH(" "&amp;Search!$P$6,N633))),OR(Search!$P$7="",ISNUMBER(SEARCH(" "&amp;Search!$P$7,N633))),OR(Search!$P$8="",ISNUMBER(SEARCH(" "&amp;Search!$P$8,N633))),OR(Search!$P$9="",ISNUMBER(SEARCH(" "&amp;Search!$P$9,N633))),OR(Search!$P$10="",ISNUMBER(SEARCH(" "&amp;Search!$P$10,N633)))),ROW(),""))</f>
        <v/>
      </c>
      <c r="N633" s="0" t="str">
        <f aca="false">IF(D633="",""," "&amp;SUBSTITUTE(SUBSTITUTE(SUBSTITUTE(SUBSTITUTE(SUBSTITUTE(SUBSTITUTE(SUBSTITUTE(B633&amp;" "&amp;C633&amp;" "&amp;D633&amp;" "&amp;E633&amp;" "&amp;F633&amp;" "&amp;G633&amp;" "&amp;H633&amp;" "&amp;'13 Coating &amp; Finishing'!R31,"("," "),")"," "),"/"," "),"-"," "),","," "),";"," "),":"," ")&amp;" ")</f>
        <v/>
      </c>
    </row>
    <row r="634" customFormat="false" ht="15" hidden="false" customHeight="false" outlineLevel="0" collapsed="false">
      <c r="A634" s="56" t="str">
        <f aca="false">IF('13 Coating &amp; Finishing'!$C$32="","","Coating, Finishing &amp; Treatment Services")</f>
        <v/>
      </c>
      <c r="B634" s="57" t="str">
        <f aca="false">IF('13 Coating &amp; Finishing'!$C$32="","",'13 Coating &amp; Finishing'!A32)</f>
        <v/>
      </c>
      <c r="C634" s="56" t="str">
        <f aca="false">IF('13 Coating &amp; Finishing'!$C$32="","",'13 Coating &amp; Finishing'!B32)</f>
        <v/>
      </c>
      <c r="D634" s="56" t="str">
        <f aca="false">IF('13 Coating &amp; Finishing'!$C$32="","",'13 Coating &amp; Finishing'!C32)</f>
        <v/>
      </c>
      <c r="E634" s="56" t="str">
        <f aca="false">IF('13 Coating &amp; Finishing'!$C$32="","",'13 Coating &amp; Finishing'!D32)</f>
        <v/>
      </c>
      <c r="F634" s="56" t="str">
        <f aca="false">IF('13 Coating &amp; Finishing'!$C$32="","",'13 Coating &amp; Finishing'!E32)</f>
        <v/>
      </c>
      <c r="G634" s="56" t="str">
        <f aca="false">IF('13 Coating &amp; Finishing'!$C$32="","",'13 Coating &amp; Finishing'!F32)</f>
        <v/>
      </c>
      <c r="H634" s="57" t="str">
        <f aca="false">IF('13 Coating &amp; Finishing'!$C$32="","",'13 Coating &amp; Finishing'!G32)</f>
        <v/>
      </c>
      <c r="I634" s="58" t="str">
        <f aca="false">IF('13 Coating &amp; Finishing'!$C$32="","",'13 Coating &amp; Finishing'!J32)</f>
        <v/>
      </c>
      <c r="J634" s="58" t="str">
        <f aca="false">IF('13 Coating &amp; Finishing'!$C$32="","",'13 Coating &amp; Finishing'!K32)</f>
        <v/>
      </c>
      <c r="K634" s="58" t="str">
        <f aca="false">IF('13 Coating &amp; Finishing'!$C$32="","",'13 Coating &amp; Finishing'!L32)</f>
        <v/>
      </c>
      <c r="L634" s="57" t="str">
        <f aca="false">IF('13 Coating &amp; Finishing'!$C$32="","",'13 Coating &amp; Finishing'!M32)</f>
        <v/>
      </c>
      <c r="M634" s="59" t="str">
        <f aca="false">IF(D634="","",IF(AND(OR(Search!$C$6="All Categories",A634=Search!$C$6),OR(Search!$P$5="",ISNUMBER(SEARCH(" "&amp;Search!$P$5,N634))),OR(Search!$P$6="",ISNUMBER(SEARCH(" "&amp;Search!$P$6,N634))),OR(Search!$P$7="",ISNUMBER(SEARCH(" "&amp;Search!$P$7,N634))),OR(Search!$P$8="",ISNUMBER(SEARCH(" "&amp;Search!$P$8,N634))),OR(Search!$P$9="",ISNUMBER(SEARCH(" "&amp;Search!$P$9,N634))),OR(Search!$P$10="",ISNUMBER(SEARCH(" "&amp;Search!$P$10,N634)))),ROW(),""))</f>
        <v/>
      </c>
      <c r="N634" s="0" t="str">
        <f aca="false">IF(D634="",""," "&amp;SUBSTITUTE(SUBSTITUTE(SUBSTITUTE(SUBSTITUTE(SUBSTITUTE(SUBSTITUTE(SUBSTITUTE(B634&amp;" "&amp;C634&amp;" "&amp;D634&amp;" "&amp;E634&amp;" "&amp;F634&amp;" "&amp;G634&amp;" "&amp;H634&amp;" "&amp;'13 Coating &amp; Finishing'!R32,"("," "),")"," "),"/"," "),"-"," "),","," "),";"," "),":"," ")&amp;" ")</f>
        <v/>
      </c>
    </row>
    <row r="635" customFormat="false" ht="15" hidden="false" customHeight="false" outlineLevel="0" collapsed="false">
      <c r="A635" s="56" t="str">
        <f aca="false">IF('13 Coating &amp; Finishing'!$C$33="","","Coating, Finishing &amp; Treatment Services")</f>
        <v/>
      </c>
      <c r="B635" s="57" t="str">
        <f aca="false">IF('13 Coating &amp; Finishing'!$C$33="","",'13 Coating &amp; Finishing'!A33)</f>
        <v/>
      </c>
      <c r="C635" s="56" t="str">
        <f aca="false">IF('13 Coating &amp; Finishing'!$C$33="","",'13 Coating &amp; Finishing'!B33)</f>
        <v/>
      </c>
      <c r="D635" s="56" t="str">
        <f aca="false">IF('13 Coating &amp; Finishing'!$C$33="","",'13 Coating &amp; Finishing'!C33)</f>
        <v/>
      </c>
      <c r="E635" s="56" t="str">
        <f aca="false">IF('13 Coating &amp; Finishing'!$C$33="","",'13 Coating &amp; Finishing'!D33)</f>
        <v/>
      </c>
      <c r="F635" s="56" t="str">
        <f aca="false">IF('13 Coating &amp; Finishing'!$C$33="","",'13 Coating &amp; Finishing'!E33)</f>
        <v/>
      </c>
      <c r="G635" s="56" t="str">
        <f aca="false">IF('13 Coating &amp; Finishing'!$C$33="","",'13 Coating &amp; Finishing'!F33)</f>
        <v/>
      </c>
      <c r="H635" s="57" t="str">
        <f aca="false">IF('13 Coating &amp; Finishing'!$C$33="","",'13 Coating &amp; Finishing'!G33)</f>
        <v/>
      </c>
      <c r="I635" s="58" t="str">
        <f aca="false">IF('13 Coating &amp; Finishing'!$C$33="","",'13 Coating &amp; Finishing'!J33)</f>
        <v/>
      </c>
      <c r="J635" s="58" t="str">
        <f aca="false">IF('13 Coating &amp; Finishing'!$C$33="","",'13 Coating &amp; Finishing'!K33)</f>
        <v/>
      </c>
      <c r="K635" s="58" t="str">
        <f aca="false">IF('13 Coating &amp; Finishing'!$C$33="","",'13 Coating &amp; Finishing'!L33)</f>
        <v/>
      </c>
      <c r="L635" s="57" t="str">
        <f aca="false">IF('13 Coating &amp; Finishing'!$C$33="","",'13 Coating &amp; Finishing'!M33)</f>
        <v/>
      </c>
      <c r="M635" s="59" t="str">
        <f aca="false">IF(D635="","",IF(AND(OR(Search!$C$6="All Categories",A635=Search!$C$6),OR(Search!$P$5="",ISNUMBER(SEARCH(" "&amp;Search!$P$5,N635))),OR(Search!$P$6="",ISNUMBER(SEARCH(" "&amp;Search!$P$6,N635))),OR(Search!$P$7="",ISNUMBER(SEARCH(" "&amp;Search!$P$7,N635))),OR(Search!$P$8="",ISNUMBER(SEARCH(" "&amp;Search!$P$8,N635))),OR(Search!$P$9="",ISNUMBER(SEARCH(" "&amp;Search!$P$9,N635))),OR(Search!$P$10="",ISNUMBER(SEARCH(" "&amp;Search!$P$10,N635)))),ROW(),""))</f>
        <v/>
      </c>
      <c r="N635" s="0" t="str">
        <f aca="false">IF(D635="",""," "&amp;SUBSTITUTE(SUBSTITUTE(SUBSTITUTE(SUBSTITUTE(SUBSTITUTE(SUBSTITUTE(SUBSTITUTE(B635&amp;" "&amp;C635&amp;" "&amp;D635&amp;" "&amp;E635&amp;" "&amp;F635&amp;" "&amp;G635&amp;" "&amp;H635&amp;" "&amp;'13 Coating &amp; Finishing'!R33,"("," "),")"," "),"/"," "),"-"," "),","," "),";"," "),":"," ")&amp;" ")</f>
        <v/>
      </c>
    </row>
    <row r="636" customFormat="false" ht="15" hidden="false" customHeight="false" outlineLevel="0" collapsed="false">
      <c r="A636" s="56" t="str">
        <f aca="false">IF('13 Coating &amp; Finishing'!$C$34="","","Coating, Finishing &amp; Treatment Services")</f>
        <v/>
      </c>
      <c r="B636" s="57" t="str">
        <f aca="false">IF('13 Coating &amp; Finishing'!$C$34="","",'13 Coating &amp; Finishing'!A34)</f>
        <v/>
      </c>
      <c r="C636" s="56" t="str">
        <f aca="false">IF('13 Coating &amp; Finishing'!$C$34="","",'13 Coating &amp; Finishing'!B34)</f>
        <v/>
      </c>
      <c r="D636" s="56" t="str">
        <f aca="false">IF('13 Coating &amp; Finishing'!$C$34="","",'13 Coating &amp; Finishing'!C34)</f>
        <v/>
      </c>
      <c r="E636" s="56" t="str">
        <f aca="false">IF('13 Coating &amp; Finishing'!$C$34="","",'13 Coating &amp; Finishing'!D34)</f>
        <v/>
      </c>
      <c r="F636" s="56" t="str">
        <f aca="false">IF('13 Coating &amp; Finishing'!$C$34="","",'13 Coating &amp; Finishing'!E34)</f>
        <v/>
      </c>
      <c r="G636" s="56" t="str">
        <f aca="false">IF('13 Coating &amp; Finishing'!$C$34="","",'13 Coating &amp; Finishing'!F34)</f>
        <v/>
      </c>
      <c r="H636" s="57" t="str">
        <f aca="false">IF('13 Coating &amp; Finishing'!$C$34="","",'13 Coating &amp; Finishing'!G34)</f>
        <v/>
      </c>
      <c r="I636" s="58" t="str">
        <f aca="false">IF('13 Coating &amp; Finishing'!$C$34="","",'13 Coating &amp; Finishing'!J34)</f>
        <v/>
      </c>
      <c r="J636" s="58" t="str">
        <f aca="false">IF('13 Coating &amp; Finishing'!$C$34="","",'13 Coating &amp; Finishing'!K34)</f>
        <v/>
      </c>
      <c r="K636" s="58" t="str">
        <f aca="false">IF('13 Coating &amp; Finishing'!$C$34="","",'13 Coating &amp; Finishing'!L34)</f>
        <v/>
      </c>
      <c r="L636" s="57" t="str">
        <f aca="false">IF('13 Coating &amp; Finishing'!$C$34="","",'13 Coating &amp; Finishing'!M34)</f>
        <v/>
      </c>
      <c r="M636" s="59" t="str">
        <f aca="false">IF(D636="","",IF(AND(OR(Search!$C$6="All Categories",A636=Search!$C$6),OR(Search!$P$5="",ISNUMBER(SEARCH(" "&amp;Search!$P$5,N636))),OR(Search!$P$6="",ISNUMBER(SEARCH(" "&amp;Search!$P$6,N636))),OR(Search!$P$7="",ISNUMBER(SEARCH(" "&amp;Search!$P$7,N636))),OR(Search!$P$8="",ISNUMBER(SEARCH(" "&amp;Search!$P$8,N636))),OR(Search!$P$9="",ISNUMBER(SEARCH(" "&amp;Search!$P$9,N636))),OR(Search!$P$10="",ISNUMBER(SEARCH(" "&amp;Search!$P$10,N636)))),ROW(),""))</f>
        <v/>
      </c>
      <c r="N636" s="0" t="str">
        <f aca="false">IF(D636="",""," "&amp;SUBSTITUTE(SUBSTITUTE(SUBSTITUTE(SUBSTITUTE(SUBSTITUTE(SUBSTITUTE(SUBSTITUTE(B636&amp;" "&amp;C636&amp;" "&amp;D636&amp;" "&amp;E636&amp;" "&amp;F636&amp;" "&amp;G636&amp;" "&amp;H636&amp;" "&amp;'13 Coating &amp; Finishing'!R34,"("," "),")"," "),"/"," "),"-"," "),","," "),";"," "),":"," ")&amp;" ")</f>
        <v/>
      </c>
    </row>
    <row r="637" customFormat="false" ht="15" hidden="false" customHeight="false" outlineLevel="0" collapsed="false">
      <c r="A637" s="56" t="str">
        <f aca="false">IF('13 Coating &amp; Finishing'!$C$35="","","Coating, Finishing &amp; Treatment Services")</f>
        <v/>
      </c>
      <c r="B637" s="57" t="str">
        <f aca="false">IF('13 Coating &amp; Finishing'!$C$35="","",'13 Coating &amp; Finishing'!A35)</f>
        <v/>
      </c>
      <c r="C637" s="56" t="str">
        <f aca="false">IF('13 Coating &amp; Finishing'!$C$35="","",'13 Coating &amp; Finishing'!B35)</f>
        <v/>
      </c>
      <c r="D637" s="56" t="str">
        <f aca="false">IF('13 Coating &amp; Finishing'!$C$35="","",'13 Coating &amp; Finishing'!C35)</f>
        <v/>
      </c>
      <c r="E637" s="56" t="str">
        <f aca="false">IF('13 Coating &amp; Finishing'!$C$35="","",'13 Coating &amp; Finishing'!D35)</f>
        <v/>
      </c>
      <c r="F637" s="56" t="str">
        <f aca="false">IF('13 Coating &amp; Finishing'!$C$35="","",'13 Coating &amp; Finishing'!E35)</f>
        <v/>
      </c>
      <c r="G637" s="56" t="str">
        <f aca="false">IF('13 Coating &amp; Finishing'!$C$35="","",'13 Coating &amp; Finishing'!F35)</f>
        <v/>
      </c>
      <c r="H637" s="57" t="str">
        <f aca="false">IF('13 Coating &amp; Finishing'!$C$35="","",'13 Coating &amp; Finishing'!G35)</f>
        <v/>
      </c>
      <c r="I637" s="58" t="str">
        <f aca="false">IF('13 Coating &amp; Finishing'!$C$35="","",'13 Coating &amp; Finishing'!J35)</f>
        <v/>
      </c>
      <c r="J637" s="58" t="str">
        <f aca="false">IF('13 Coating &amp; Finishing'!$C$35="","",'13 Coating &amp; Finishing'!K35)</f>
        <v/>
      </c>
      <c r="K637" s="58" t="str">
        <f aca="false">IF('13 Coating &amp; Finishing'!$C$35="","",'13 Coating &amp; Finishing'!L35)</f>
        <v/>
      </c>
      <c r="L637" s="57" t="str">
        <f aca="false">IF('13 Coating &amp; Finishing'!$C$35="","",'13 Coating &amp; Finishing'!M35)</f>
        <v/>
      </c>
      <c r="M637" s="59" t="str">
        <f aca="false">IF(D637="","",IF(AND(OR(Search!$C$6="All Categories",A637=Search!$C$6),OR(Search!$P$5="",ISNUMBER(SEARCH(" "&amp;Search!$P$5,N637))),OR(Search!$P$6="",ISNUMBER(SEARCH(" "&amp;Search!$P$6,N637))),OR(Search!$P$7="",ISNUMBER(SEARCH(" "&amp;Search!$P$7,N637))),OR(Search!$P$8="",ISNUMBER(SEARCH(" "&amp;Search!$P$8,N637))),OR(Search!$P$9="",ISNUMBER(SEARCH(" "&amp;Search!$P$9,N637))),OR(Search!$P$10="",ISNUMBER(SEARCH(" "&amp;Search!$P$10,N637)))),ROW(),""))</f>
        <v/>
      </c>
      <c r="N637" s="0" t="str">
        <f aca="false">IF(D637="",""," "&amp;SUBSTITUTE(SUBSTITUTE(SUBSTITUTE(SUBSTITUTE(SUBSTITUTE(SUBSTITUTE(SUBSTITUTE(B637&amp;" "&amp;C637&amp;" "&amp;D637&amp;" "&amp;E637&amp;" "&amp;F637&amp;" "&amp;G637&amp;" "&amp;H637&amp;" "&amp;'13 Coating &amp; Finishing'!R35,"("," "),")"," "),"/"," "),"-"," "),","," "),";"," "),":"," ")&amp;" ")</f>
        <v/>
      </c>
    </row>
    <row r="638" customFormat="false" ht="15" hidden="false" customHeight="false" outlineLevel="0" collapsed="false">
      <c r="A638" s="56" t="str">
        <f aca="false">IF('13 Coating &amp; Finishing'!$C$36="","","Coating, Finishing &amp; Treatment Services")</f>
        <v/>
      </c>
      <c r="B638" s="57" t="str">
        <f aca="false">IF('13 Coating &amp; Finishing'!$C$36="","",'13 Coating &amp; Finishing'!A36)</f>
        <v/>
      </c>
      <c r="C638" s="56" t="str">
        <f aca="false">IF('13 Coating &amp; Finishing'!$C$36="","",'13 Coating &amp; Finishing'!B36)</f>
        <v/>
      </c>
      <c r="D638" s="56" t="str">
        <f aca="false">IF('13 Coating &amp; Finishing'!$C$36="","",'13 Coating &amp; Finishing'!C36)</f>
        <v/>
      </c>
      <c r="E638" s="56" t="str">
        <f aca="false">IF('13 Coating &amp; Finishing'!$C$36="","",'13 Coating &amp; Finishing'!D36)</f>
        <v/>
      </c>
      <c r="F638" s="56" t="str">
        <f aca="false">IF('13 Coating &amp; Finishing'!$C$36="","",'13 Coating &amp; Finishing'!E36)</f>
        <v/>
      </c>
      <c r="G638" s="56" t="str">
        <f aca="false">IF('13 Coating &amp; Finishing'!$C$36="","",'13 Coating &amp; Finishing'!F36)</f>
        <v/>
      </c>
      <c r="H638" s="57" t="str">
        <f aca="false">IF('13 Coating &amp; Finishing'!$C$36="","",'13 Coating &amp; Finishing'!G36)</f>
        <v/>
      </c>
      <c r="I638" s="58" t="str">
        <f aca="false">IF('13 Coating &amp; Finishing'!$C$36="","",'13 Coating &amp; Finishing'!J36)</f>
        <v/>
      </c>
      <c r="J638" s="58" t="str">
        <f aca="false">IF('13 Coating &amp; Finishing'!$C$36="","",'13 Coating &amp; Finishing'!K36)</f>
        <v/>
      </c>
      <c r="K638" s="58" t="str">
        <f aca="false">IF('13 Coating &amp; Finishing'!$C$36="","",'13 Coating &amp; Finishing'!L36)</f>
        <v/>
      </c>
      <c r="L638" s="57" t="str">
        <f aca="false">IF('13 Coating &amp; Finishing'!$C$36="","",'13 Coating &amp; Finishing'!M36)</f>
        <v/>
      </c>
      <c r="M638" s="59" t="str">
        <f aca="false">IF(D638="","",IF(AND(OR(Search!$C$6="All Categories",A638=Search!$C$6),OR(Search!$P$5="",ISNUMBER(SEARCH(" "&amp;Search!$P$5,N638))),OR(Search!$P$6="",ISNUMBER(SEARCH(" "&amp;Search!$P$6,N638))),OR(Search!$P$7="",ISNUMBER(SEARCH(" "&amp;Search!$P$7,N638))),OR(Search!$P$8="",ISNUMBER(SEARCH(" "&amp;Search!$P$8,N638))),OR(Search!$P$9="",ISNUMBER(SEARCH(" "&amp;Search!$P$9,N638))),OR(Search!$P$10="",ISNUMBER(SEARCH(" "&amp;Search!$P$10,N638)))),ROW(),""))</f>
        <v/>
      </c>
      <c r="N638" s="0" t="str">
        <f aca="false">IF(D638="",""," "&amp;SUBSTITUTE(SUBSTITUTE(SUBSTITUTE(SUBSTITUTE(SUBSTITUTE(SUBSTITUTE(SUBSTITUTE(B638&amp;" "&amp;C638&amp;" "&amp;D638&amp;" "&amp;E638&amp;" "&amp;F638&amp;" "&amp;G638&amp;" "&amp;H638&amp;" "&amp;'13 Coating &amp; Finishing'!R36,"("," "),")"," "),"/"," "),"-"," "),","," "),";"," "),":"," ")&amp;" ")</f>
        <v/>
      </c>
    </row>
    <row r="639" customFormat="false" ht="22.35" hidden="false" customHeight="false" outlineLevel="0" collapsed="false">
      <c r="A639" s="56" t="str">
        <f aca="false">IF('14 Labour &amp; Equipment'!$C$5="","","Labour, Equipment, Transport &amp; Misc. Costs")</f>
        <v>Labour, Equipment, Transport &amp; Misc. Costs</v>
      </c>
      <c r="B639" s="57" t="str">
        <f aca="false">IF('14 Labour &amp; Equipment'!$C$5="","",'14 Labour &amp; Equipment'!A5)</f>
        <v>LB-001</v>
      </c>
      <c r="C639" s="56" t="str">
        <f aca="false">IF('14 Labour &amp; Equipment'!$C$5="","",'14 Labour &amp; Equipment'!B5)</f>
        <v>Manpower (cost per day)</v>
      </c>
      <c r="D639" s="56" t="str">
        <f aca="false">IF('14 Labour &amp; Equipment'!$C$5="","",'14 Labour &amp; Equipment'!C5)</f>
        <v>Project manager</v>
      </c>
      <c r="E639" s="56" t="str">
        <f aca="false">IF('14 Labour &amp; Equipment'!$C$5="","",'14 Labour &amp; Equipment'!D5)</f>
        <v>8 hr day, incl. visa &amp; benefits</v>
      </c>
      <c r="F639" s="56" t="str">
        <f aca="false">IF('14 Labour &amp; Equipment'!$C$5="","",'14 Labour &amp; Equipment'!E5)</f>
        <v>-</v>
      </c>
      <c r="G639" s="56" t="str">
        <f aca="false">IF('14 Labour &amp; Equipment'!$C$5="","",'14 Labour &amp; Equipment'!F5)</f>
        <v>In-house</v>
      </c>
      <c r="H639" s="57" t="str">
        <f aca="false">IF('14 Labour &amp; Equipment'!$C$5="","",'14 Labour &amp; Equipment'!G5)</f>
        <v>day</v>
      </c>
      <c r="I639" s="58" t="n">
        <f aca="false">IF('14 Labour &amp; Equipment'!$C$5="","",'14 Labour &amp; Equipment'!J5)</f>
        <v>650</v>
      </c>
      <c r="J639" s="58" t="n">
        <f aca="false">IF('14 Labour &amp; Equipment'!$C$5="","",'14 Labour &amp; Equipment'!K5)</f>
        <v>780</v>
      </c>
      <c r="K639" s="58" t="n">
        <f aca="false">IF('14 Labour &amp; Equipment'!$C$5="","",'14 Labour &amp; Equipment'!L5)</f>
        <v>819</v>
      </c>
      <c r="L639" s="57" t="str">
        <f aca="false">IF('14 Labour &amp; Equipment'!$C$5="","",'14 Labour &amp; Equipment'!M5)</f>
        <v>Indicative</v>
      </c>
      <c r="M639" s="59" t="str">
        <f aca="false">IF(D639="","",IF(AND(OR(Search!$C$6="All Categories",A639=Search!$C$6),OR(Search!$P$5="",ISNUMBER(SEARCH(" "&amp;Search!$P$5,N639))),OR(Search!$P$6="",ISNUMBER(SEARCH(" "&amp;Search!$P$6,N639))),OR(Search!$P$7="",ISNUMBER(SEARCH(" "&amp;Search!$P$7,N639))),OR(Search!$P$8="",ISNUMBER(SEARCH(" "&amp;Search!$P$8,N639))),OR(Search!$P$9="",ISNUMBER(SEARCH(" "&amp;Search!$P$9,N639))),OR(Search!$P$10="",ISNUMBER(SEARCH(" "&amp;Search!$P$10,N639)))),ROW(),""))</f>
        <v/>
      </c>
      <c r="N639" s="0" t="str">
        <f aca="false">IF(D639="",""," "&amp;SUBSTITUTE(SUBSTITUTE(SUBSTITUTE(SUBSTITUTE(SUBSTITUTE(SUBSTITUTE(SUBSTITUTE(B639&amp;" "&amp;C639&amp;" "&amp;D639&amp;" "&amp;E639&amp;" "&amp;F639&amp;" "&amp;G639&amp;" "&amp;H639&amp;" "&amp;'14 Labour &amp; Equipment'!R5,"("," "),")"," "),"/"," "),"-"," "),","," "),";"," "),":"," ")&amp;" ")</f>
        <v> LB 001 Manpower  cost per day  Project manager 8 hr day  incl. visa &amp; benefits   In house day  </v>
      </c>
    </row>
    <row r="640" customFormat="false" ht="22.35" hidden="false" customHeight="false" outlineLevel="0" collapsed="false">
      <c r="A640" s="56" t="str">
        <f aca="false">IF('14 Labour &amp; Equipment'!$C$6="","","Labour, Equipment, Transport &amp; Misc. Costs")</f>
        <v>Labour, Equipment, Transport &amp; Misc. Costs</v>
      </c>
      <c r="B640" s="57" t="str">
        <f aca="false">IF('14 Labour &amp; Equipment'!$C$6="","",'14 Labour &amp; Equipment'!A6)</f>
        <v>LB-002</v>
      </c>
      <c r="C640" s="56" t="str">
        <f aca="false">IF('14 Labour &amp; Equipment'!$C$6="","",'14 Labour &amp; Equipment'!B6)</f>
        <v>Manpower (cost per day)</v>
      </c>
      <c r="D640" s="56" t="str">
        <f aca="false">IF('14 Labour &amp; Equipment'!$C$6="","",'14 Labour &amp; Equipment'!C6)</f>
        <v>Site engineer</v>
      </c>
      <c r="E640" s="56" t="str">
        <f aca="false">IF('14 Labour &amp; Equipment'!$C$6="","",'14 Labour &amp; Equipment'!D6)</f>
        <v>8 hr day, incl. visa &amp; benefits</v>
      </c>
      <c r="F640" s="56" t="str">
        <f aca="false">IF('14 Labour &amp; Equipment'!$C$6="","",'14 Labour &amp; Equipment'!E6)</f>
        <v>-</v>
      </c>
      <c r="G640" s="56" t="str">
        <f aca="false">IF('14 Labour &amp; Equipment'!$C$6="","",'14 Labour &amp; Equipment'!F6)</f>
        <v>In-house</v>
      </c>
      <c r="H640" s="57" t="str">
        <f aca="false">IF('14 Labour &amp; Equipment'!$C$6="","",'14 Labour &amp; Equipment'!G6)</f>
        <v>day</v>
      </c>
      <c r="I640" s="58" t="n">
        <f aca="false">IF('14 Labour &amp; Equipment'!$C$6="","",'14 Labour &amp; Equipment'!J6)</f>
        <v>450</v>
      </c>
      <c r="J640" s="58" t="n">
        <f aca="false">IF('14 Labour &amp; Equipment'!$C$6="","",'14 Labour &amp; Equipment'!K6)</f>
        <v>540</v>
      </c>
      <c r="K640" s="58" t="n">
        <f aca="false">IF('14 Labour &amp; Equipment'!$C$6="","",'14 Labour &amp; Equipment'!L6)</f>
        <v>567</v>
      </c>
      <c r="L640" s="57" t="str">
        <f aca="false">IF('14 Labour &amp; Equipment'!$C$6="","",'14 Labour &amp; Equipment'!M6)</f>
        <v>Indicative</v>
      </c>
      <c r="M640" s="59" t="str">
        <f aca="false">IF(D640="","",IF(AND(OR(Search!$C$6="All Categories",A640=Search!$C$6),OR(Search!$P$5="",ISNUMBER(SEARCH(" "&amp;Search!$P$5,N640))),OR(Search!$P$6="",ISNUMBER(SEARCH(" "&amp;Search!$P$6,N640))),OR(Search!$P$7="",ISNUMBER(SEARCH(" "&amp;Search!$P$7,N640))),OR(Search!$P$8="",ISNUMBER(SEARCH(" "&amp;Search!$P$8,N640))),OR(Search!$P$9="",ISNUMBER(SEARCH(" "&amp;Search!$P$9,N640))),OR(Search!$P$10="",ISNUMBER(SEARCH(" "&amp;Search!$P$10,N640)))),ROW(),""))</f>
        <v/>
      </c>
      <c r="N640" s="0" t="str">
        <f aca="false">IF(D640="",""," "&amp;SUBSTITUTE(SUBSTITUTE(SUBSTITUTE(SUBSTITUTE(SUBSTITUTE(SUBSTITUTE(SUBSTITUTE(B640&amp;" "&amp;C640&amp;" "&amp;D640&amp;" "&amp;E640&amp;" "&amp;F640&amp;" "&amp;G640&amp;" "&amp;H640&amp;" "&amp;'14 Labour &amp; Equipment'!R6,"("," "),")"," "),"/"," "),"-"," "),","," "),";"," "),":"," ")&amp;" ")</f>
        <v> LB 002 Manpower  cost per day  Site engineer 8 hr day  incl. visa &amp; benefits   In house day  </v>
      </c>
    </row>
    <row r="641" customFormat="false" ht="22.35" hidden="false" customHeight="false" outlineLevel="0" collapsed="false">
      <c r="A641" s="56" t="str">
        <f aca="false">IF('14 Labour &amp; Equipment'!$C$7="","","Labour, Equipment, Transport &amp; Misc. Costs")</f>
        <v>Labour, Equipment, Transport &amp; Misc. Costs</v>
      </c>
      <c r="B641" s="57" t="str">
        <f aca="false">IF('14 Labour &amp; Equipment'!$C$7="","",'14 Labour &amp; Equipment'!A7)</f>
        <v>LB-003</v>
      </c>
      <c r="C641" s="56" t="str">
        <f aca="false">IF('14 Labour &amp; Equipment'!$C$7="","",'14 Labour &amp; Equipment'!B7)</f>
        <v>Manpower (cost per day)</v>
      </c>
      <c r="D641" s="56" t="str">
        <f aca="false">IF('14 Labour &amp; Equipment'!$C$7="","",'14 Labour &amp; Equipment'!C7)</f>
        <v>Foreman / supervisor</v>
      </c>
      <c r="E641" s="56" t="str">
        <f aca="false">IF('14 Labour &amp; Equipment'!$C$7="","",'14 Labour &amp; Equipment'!D7)</f>
        <v>8 hr day, incl. visa &amp; benefits</v>
      </c>
      <c r="F641" s="56" t="str">
        <f aca="false">IF('14 Labour &amp; Equipment'!$C$7="","",'14 Labour &amp; Equipment'!E7)</f>
        <v>-</v>
      </c>
      <c r="G641" s="56" t="str">
        <f aca="false">IF('14 Labour &amp; Equipment'!$C$7="","",'14 Labour &amp; Equipment'!F7)</f>
        <v>In-house</v>
      </c>
      <c r="H641" s="57" t="str">
        <f aca="false">IF('14 Labour &amp; Equipment'!$C$7="","",'14 Labour &amp; Equipment'!G7)</f>
        <v>day</v>
      </c>
      <c r="I641" s="58" t="n">
        <f aca="false">IF('14 Labour &amp; Equipment'!$C$7="","",'14 Labour &amp; Equipment'!J7)</f>
        <v>300</v>
      </c>
      <c r="J641" s="58" t="n">
        <f aca="false">IF('14 Labour &amp; Equipment'!$C$7="","",'14 Labour &amp; Equipment'!K7)</f>
        <v>360</v>
      </c>
      <c r="K641" s="58" t="n">
        <f aca="false">IF('14 Labour &amp; Equipment'!$C$7="","",'14 Labour &amp; Equipment'!L7)</f>
        <v>378</v>
      </c>
      <c r="L641" s="57" t="str">
        <f aca="false">IF('14 Labour &amp; Equipment'!$C$7="","",'14 Labour &amp; Equipment'!M7)</f>
        <v>Indicative</v>
      </c>
      <c r="M641" s="59" t="str">
        <f aca="false">IF(D641="","",IF(AND(OR(Search!$C$6="All Categories",A641=Search!$C$6),OR(Search!$P$5="",ISNUMBER(SEARCH(" "&amp;Search!$P$5,N641))),OR(Search!$P$6="",ISNUMBER(SEARCH(" "&amp;Search!$P$6,N641))),OR(Search!$P$7="",ISNUMBER(SEARCH(" "&amp;Search!$P$7,N641))),OR(Search!$P$8="",ISNUMBER(SEARCH(" "&amp;Search!$P$8,N641))),OR(Search!$P$9="",ISNUMBER(SEARCH(" "&amp;Search!$P$9,N641))),OR(Search!$P$10="",ISNUMBER(SEARCH(" "&amp;Search!$P$10,N641)))),ROW(),""))</f>
        <v/>
      </c>
      <c r="N641" s="0" t="str">
        <f aca="false">IF(D641="",""," "&amp;SUBSTITUTE(SUBSTITUTE(SUBSTITUTE(SUBSTITUTE(SUBSTITUTE(SUBSTITUTE(SUBSTITUTE(B641&amp;" "&amp;C641&amp;" "&amp;D641&amp;" "&amp;E641&amp;" "&amp;F641&amp;" "&amp;G641&amp;" "&amp;H641&amp;" "&amp;'14 Labour &amp; Equipment'!R7,"("," "),")"," "),"/"," "),"-"," "),","," "),";"," "),":"," ")&amp;" ")</f>
        <v> LB 003 Manpower  cost per day  Foreman   supervisor 8 hr day  incl. visa &amp; benefits   In house day  </v>
      </c>
    </row>
    <row r="642" customFormat="false" ht="22.35" hidden="false" customHeight="false" outlineLevel="0" collapsed="false">
      <c r="A642" s="56" t="str">
        <f aca="false">IF('14 Labour &amp; Equipment'!$C$8="","","Labour, Equipment, Transport &amp; Misc. Costs")</f>
        <v>Labour, Equipment, Transport &amp; Misc. Costs</v>
      </c>
      <c r="B642" s="57" t="str">
        <f aca="false">IF('14 Labour &amp; Equipment'!$C$8="","",'14 Labour &amp; Equipment'!A8)</f>
        <v>LB-004</v>
      </c>
      <c r="C642" s="56" t="str">
        <f aca="false">IF('14 Labour &amp; Equipment'!$C$8="","",'14 Labour &amp; Equipment'!B8)</f>
        <v>Manpower (cost per day)</v>
      </c>
      <c r="D642" s="56" t="str">
        <f aca="false">IF('14 Labour &amp; Equipment'!$C$8="","",'14 Labour &amp; Equipment'!C8)</f>
        <v>Aluminium fabricator</v>
      </c>
      <c r="E642" s="56" t="str">
        <f aca="false">IF('14 Labour &amp; Equipment'!$C$8="","",'14 Labour &amp; Equipment'!D8)</f>
        <v>8 hr day</v>
      </c>
      <c r="F642" s="56" t="str">
        <f aca="false">IF('14 Labour &amp; Equipment'!$C$8="","",'14 Labour &amp; Equipment'!E8)</f>
        <v>-</v>
      </c>
      <c r="G642" s="56" t="str">
        <f aca="false">IF('14 Labour &amp; Equipment'!$C$8="","",'14 Labour &amp; Equipment'!F8)</f>
        <v>In-house</v>
      </c>
      <c r="H642" s="57" t="str">
        <f aca="false">IF('14 Labour &amp; Equipment'!$C$8="","",'14 Labour &amp; Equipment'!G8)</f>
        <v>day</v>
      </c>
      <c r="I642" s="58" t="n">
        <f aca="false">IF('14 Labour &amp; Equipment'!$C$8="","",'14 Labour &amp; Equipment'!J8)</f>
        <v>220</v>
      </c>
      <c r="J642" s="58" t="n">
        <f aca="false">IF('14 Labour &amp; Equipment'!$C$8="","",'14 Labour &amp; Equipment'!K8)</f>
        <v>264</v>
      </c>
      <c r="K642" s="58" t="n">
        <f aca="false">IF('14 Labour &amp; Equipment'!$C$8="","",'14 Labour &amp; Equipment'!L8)</f>
        <v>277.2</v>
      </c>
      <c r="L642" s="57" t="str">
        <f aca="false">IF('14 Labour &amp; Equipment'!$C$8="","",'14 Labour &amp; Equipment'!M8)</f>
        <v>Indicative</v>
      </c>
      <c r="M642" s="59" t="str">
        <f aca="false">IF(D642="","",IF(AND(OR(Search!$C$6="All Categories",A642=Search!$C$6),OR(Search!$P$5="",ISNUMBER(SEARCH(" "&amp;Search!$P$5,N642))),OR(Search!$P$6="",ISNUMBER(SEARCH(" "&amp;Search!$P$6,N642))),OR(Search!$P$7="",ISNUMBER(SEARCH(" "&amp;Search!$P$7,N642))),OR(Search!$P$8="",ISNUMBER(SEARCH(" "&amp;Search!$P$8,N642))),OR(Search!$P$9="",ISNUMBER(SEARCH(" "&amp;Search!$P$9,N642))),OR(Search!$P$10="",ISNUMBER(SEARCH(" "&amp;Search!$P$10,N642)))),ROW(),""))</f>
        <v/>
      </c>
      <c r="N642" s="0" t="str">
        <f aca="false">IF(D642="",""," "&amp;SUBSTITUTE(SUBSTITUTE(SUBSTITUTE(SUBSTITUTE(SUBSTITUTE(SUBSTITUTE(SUBSTITUTE(B642&amp;" "&amp;C642&amp;" "&amp;D642&amp;" "&amp;E642&amp;" "&amp;F642&amp;" "&amp;G642&amp;" "&amp;H642&amp;" "&amp;'14 Labour &amp; Equipment'!R8,"("," "),")"," "),"/"," "),"-"," "),","," "),";"," "),":"," ")&amp;" ")</f>
        <v> LB 004 Manpower  cost per day  Aluminium fabricator 8 hr day   In house day aluminum alu </v>
      </c>
    </row>
    <row r="643" customFormat="false" ht="22.35" hidden="false" customHeight="false" outlineLevel="0" collapsed="false">
      <c r="A643" s="56" t="str">
        <f aca="false">IF('14 Labour &amp; Equipment'!$C$9="","","Labour, Equipment, Transport &amp; Misc. Costs")</f>
        <v>Labour, Equipment, Transport &amp; Misc. Costs</v>
      </c>
      <c r="B643" s="57" t="str">
        <f aca="false">IF('14 Labour &amp; Equipment'!$C$9="","",'14 Labour &amp; Equipment'!A9)</f>
        <v>LB-005</v>
      </c>
      <c r="C643" s="56" t="str">
        <f aca="false">IF('14 Labour &amp; Equipment'!$C$9="","",'14 Labour &amp; Equipment'!B9)</f>
        <v>Manpower (cost per day)</v>
      </c>
      <c r="D643" s="56" t="str">
        <f aca="false">IF('14 Labour &amp; Equipment'!$C$9="","",'14 Labour &amp; Equipment'!C9)</f>
        <v>Aluminium installer</v>
      </c>
      <c r="E643" s="56" t="str">
        <f aca="false">IF('14 Labour &amp; Equipment'!$C$9="","",'14 Labour &amp; Equipment'!D9)</f>
        <v>8 hr day</v>
      </c>
      <c r="F643" s="56" t="str">
        <f aca="false">IF('14 Labour &amp; Equipment'!$C$9="","",'14 Labour &amp; Equipment'!E9)</f>
        <v>-</v>
      </c>
      <c r="G643" s="56" t="str">
        <f aca="false">IF('14 Labour &amp; Equipment'!$C$9="","",'14 Labour &amp; Equipment'!F9)</f>
        <v>In-house</v>
      </c>
      <c r="H643" s="57" t="str">
        <f aca="false">IF('14 Labour &amp; Equipment'!$C$9="","",'14 Labour &amp; Equipment'!G9)</f>
        <v>day</v>
      </c>
      <c r="I643" s="58" t="n">
        <f aca="false">IF('14 Labour &amp; Equipment'!$C$9="","",'14 Labour &amp; Equipment'!J9)</f>
        <v>220</v>
      </c>
      <c r="J643" s="58" t="n">
        <f aca="false">IF('14 Labour &amp; Equipment'!$C$9="","",'14 Labour &amp; Equipment'!K9)</f>
        <v>264</v>
      </c>
      <c r="K643" s="58" t="n">
        <f aca="false">IF('14 Labour &amp; Equipment'!$C$9="","",'14 Labour &amp; Equipment'!L9)</f>
        <v>277.2</v>
      </c>
      <c r="L643" s="57" t="str">
        <f aca="false">IF('14 Labour &amp; Equipment'!$C$9="","",'14 Labour &amp; Equipment'!M9)</f>
        <v>Indicative</v>
      </c>
      <c r="M643" s="59" t="str">
        <f aca="false">IF(D643="","",IF(AND(OR(Search!$C$6="All Categories",A643=Search!$C$6),OR(Search!$P$5="",ISNUMBER(SEARCH(" "&amp;Search!$P$5,N643))),OR(Search!$P$6="",ISNUMBER(SEARCH(" "&amp;Search!$P$6,N643))),OR(Search!$P$7="",ISNUMBER(SEARCH(" "&amp;Search!$P$7,N643))),OR(Search!$P$8="",ISNUMBER(SEARCH(" "&amp;Search!$P$8,N643))),OR(Search!$P$9="",ISNUMBER(SEARCH(" "&amp;Search!$P$9,N643))),OR(Search!$P$10="",ISNUMBER(SEARCH(" "&amp;Search!$P$10,N643)))),ROW(),""))</f>
        <v/>
      </c>
      <c r="N643" s="0" t="str">
        <f aca="false">IF(D643="",""," "&amp;SUBSTITUTE(SUBSTITUTE(SUBSTITUTE(SUBSTITUTE(SUBSTITUTE(SUBSTITUTE(SUBSTITUTE(B643&amp;" "&amp;C643&amp;" "&amp;D643&amp;" "&amp;E643&amp;" "&amp;F643&amp;" "&amp;G643&amp;" "&amp;H643&amp;" "&amp;'14 Labour &amp; Equipment'!R9,"("," "),")"," "),"/"," "),"-"," "),","," "),";"," "),":"," ")&amp;" ")</f>
        <v> LB 005 Manpower  cost per day  Aluminium installer 8 hr day   In house day aluminum alu </v>
      </c>
    </row>
    <row r="644" customFormat="false" ht="22.35" hidden="false" customHeight="false" outlineLevel="0" collapsed="false">
      <c r="A644" s="56" t="str">
        <f aca="false">IF('14 Labour &amp; Equipment'!$C$10="","","Labour, Equipment, Transport &amp; Misc. Costs")</f>
        <v>Labour, Equipment, Transport &amp; Misc. Costs</v>
      </c>
      <c r="B644" s="57" t="str">
        <f aca="false">IF('14 Labour &amp; Equipment'!$C$10="","",'14 Labour &amp; Equipment'!A10)</f>
        <v>LB-006</v>
      </c>
      <c r="C644" s="56" t="str">
        <f aca="false">IF('14 Labour &amp; Equipment'!$C$10="","",'14 Labour &amp; Equipment'!B10)</f>
        <v>Manpower (cost per day)</v>
      </c>
      <c r="D644" s="56" t="str">
        <f aca="false">IF('14 Labour &amp; Equipment'!$C$10="","",'14 Labour &amp; Equipment'!C10)</f>
        <v>Glazier / glass fixer</v>
      </c>
      <c r="E644" s="56" t="str">
        <f aca="false">IF('14 Labour &amp; Equipment'!$C$10="","",'14 Labour &amp; Equipment'!D10)</f>
        <v>8 hr day</v>
      </c>
      <c r="F644" s="56" t="str">
        <f aca="false">IF('14 Labour &amp; Equipment'!$C$10="","",'14 Labour &amp; Equipment'!E10)</f>
        <v>-</v>
      </c>
      <c r="G644" s="56" t="str">
        <f aca="false">IF('14 Labour &amp; Equipment'!$C$10="","",'14 Labour &amp; Equipment'!F10)</f>
        <v>In-house</v>
      </c>
      <c r="H644" s="57" t="str">
        <f aca="false">IF('14 Labour &amp; Equipment'!$C$10="","",'14 Labour &amp; Equipment'!G10)</f>
        <v>day</v>
      </c>
      <c r="I644" s="58" t="n">
        <f aca="false">IF('14 Labour &amp; Equipment'!$C$10="","",'14 Labour &amp; Equipment'!J10)</f>
        <v>230</v>
      </c>
      <c r="J644" s="58" t="n">
        <f aca="false">IF('14 Labour &amp; Equipment'!$C$10="","",'14 Labour &amp; Equipment'!K10)</f>
        <v>276</v>
      </c>
      <c r="K644" s="58" t="n">
        <f aca="false">IF('14 Labour &amp; Equipment'!$C$10="","",'14 Labour &amp; Equipment'!L10)</f>
        <v>289.8</v>
      </c>
      <c r="L644" s="57" t="str">
        <f aca="false">IF('14 Labour &amp; Equipment'!$C$10="","",'14 Labour &amp; Equipment'!M10)</f>
        <v>Indicative</v>
      </c>
      <c r="M644" s="59" t="str">
        <f aca="false">IF(D644="","",IF(AND(OR(Search!$C$6="All Categories",A644=Search!$C$6),OR(Search!$P$5="",ISNUMBER(SEARCH(" "&amp;Search!$P$5,N644))),OR(Search!$P$6="",ISNUMBER(SEARCH(" "&amp;Search!$P$6,N644))),OR(Search!$P$7="",ISNUMBER(SEARCH(" "&amp;Search!$P$7,N644))),OR(Search!$P$8="",ISNUMBER(SEARCH(" "&amp;Search!$P$8,N644))),OR(Search!$P$9="",ISNUMBER(SEARCH(" "&amp;Search!$P$9,N644))),OR(Search!$P$10="",ISNUMBER(SEARCH(" "&amp;Search!$P$10,N644)))),ROW(),""))</f>
        <v/>
      </c>
      <c r="N644" s="0" t="str">
        <f aca="false">IF(D644="",""," "&amp;SUBSTITUTE(SUBSTITUTE(SUBSTITUTE(SUBSTITUTE(SUBSTITUTE(SUBSTITUTE(SUBSTITUTE(B644&amp;" "&amp;C644&amp;" "&amp;D644&amp;" "&amp;E644&amp;" "&amp;F644&amp;" "&amp;G644&amp;" "&amp;H644&amp;" "&amp;'14 Labour &amp; Equipment'!R10,"("," "),")"," "),"/"," "),"-"," "),","," "),";"," "),":"," ")&amp;" ")</f>
        <v> LB 006 Manpower  cost per day  Glazier   glass fixer 8 hr day   In house day stainless steel </v>
      </c>
    </row>
    <row r="645" customFormat="false" ht="22.35" hidden="false" customHeight="false" outlineLevel="0" collapsed="false">
      <c r="A645" s="56" t="str">
        <f aca="false">IF('14 Labour &amp; Equipment'!$C$11="","","Labour, Equipment, Transport &amp; Misc. Costs")</f>
        <v>Labour, Equipment, Transport &amp; Misc. Costs</v>
      </c>
      <c r="B645" s="57" t="str">
        <f aca="false">IF('14 Labour &amp; Equipment'!$C$11="","",'14 Labour &amp; Equipment'!A11)</f>
        <v>LB-007</v>
      </c>
      <c r="C645" s="56" t="str">
        <f aca="false">IF('14 Labour &amp; Equipment'!$C$11="","",'14 Labour &amp; Equipment'!B11)</f>
        <v>Manpower (cost per day)</v>
      </c>
      <c r="D645" s="56" t="str">
        <f aca="false">IF('14 Labour &amp; Equipment'!$C$11="","",'14 Labour &amp; Equipment'!C11)</f>
        <v>Steel fabricator / welder</v>
      </c>
      <c r="E645" s="56" t="str">
        <f aca="false">IF('14 Labour &amp; Equipment'!$C$11="","",'14 Labour &amp; Equipment'!D11)</f>
        <v>8 hr day</v>
      </c>
      <c r="F645" s="56" t="str">
        <f aca="false">IF('14 Labour &amp; Equipment'!$C$11="","",'14 Labour &amp; Equipment'!E11)</f>
        <v>-</v>
      </c>
      <c r="G645" s="56" t="str">
        <f aca="false">IF('14 Labour &amp; Equipment'!$C$11="","",'14 Labour &amp; Equipment'!F11)</f>
        <v>In-house</v>
      </c>
      <c r="H645" s="57" t="str">
        <f aca="false">IF('14 Labour &amp; Equipment'!$C$11="","",'14 Labour &amp; Equipment'!G11)</f>
        <v>day</v>
      </c>
      <c r="I645" s="58" t="n">
        <f aca="false">IF('14 Labour &amp; Equipment'!$C$11="","",'14 Labour &amp; Equipment'!J11)</f>
        <v>250</v>
      </c>
      <c r="J645" s="58" t="n">
        <f aca="false">IF('14 Labour &amp; Equipment'!$C$11="","",'14 Labour &amp; Equipment'!K11)</f>
        <v>300</v>
      </c>
      <c r="K645" s="58" t="n">
        <f aca="false">IF('14 Labour &amp; Equipment'!$C$11="","",'14 Labour &amp; Equipment'!L11)</f>
        <v>315</v>
      </c>
      <c r="L645" s="57" t="str">
        <f aca="false">IF('14 Labour &amp; Equipment'!$C$11="","",'14 Labour &amp; Equipment'!M11)</f>
        <v>Indicative</v>
      </c>
      <c r="M645" s="59" t="str">
        <f aca="false">IF(D645="","",IF(AND(OR(Search!$C$6="All Categories",A645=Search!$C$6),OR(Search!$P$5="",ISNUMBER(SEARCH(" "&amp;Search!$P$5,N645))),OR(Search!$P$6="",ISNUMBER(SEARCH(" "&amp;Search!$P$6,N645))),OR(Search!$P$7="",ISNUMBER(SEARCH(" "&amp;Search!$P$7,N645))),OR(Search!$P$8="",ISNUMBER(SEARCH(" "&amp;Search!$P$8,N645))),OR(Search!$P$9="",ISNUMBER(SEARCH(" "&amp;Search!$P$9,N645))),OR(Search!$P$10="",ISNUMBER(SEARCH(" "&amp;Search!$P$10,N645)))),ROW(),""))</f>
        <v/>
      </c>
      <c r="N645" s="0" t="str">
        <f aca="false">IF(D645="",""," "&amp;SUBSTITUTE(SUBSTITUTE(SUBSTITUTE(SUBSTITUTE(SUBSTITUTE(SUBSTITUTE(SUBSTITUTE(B645&amp;" "&amp;C645&amp;" "&amp;D645&amp;" "&amp;E645&amp;" "&amp;F645&amp;" "&amp;G645&amp;" "&amp;H645&amp;" "&amp;'14 Labour &amp; Equipment'!R11,"("," "),")"," "),"/"," "),"-"," "),","," "),";"," "),":"," ")&amp;" ")</f>
        <v> LB 007 Manpower  cost per day  Steel fabricator   welder 8 hr day   In house day  </v>
      </c>
    </row>
    <row r="646" customFormat="false" ht="22.35" hidden="false" customHeight="false" outlineLevel="0" collapsed="false">
      <c r="A646" s="56" t="str">
        <f aca="false">IF('14 Labour &amp; Equipment'!$C$12="","","Labour, Equipment, Transport &amp; Misc. Costs")</f>
        <v>Labour, Equipment, Transport &amp; Misc. Costs</v>
      </c>
      <c r="B646" s="57" t="str">
        <f aca="false">IF('14 Labour &amp; Equipment'!$C$12="","",'14 Labour &amp; Equipment'!A12)</f>
        <v>LB-008</v>
      </c>
      <c r="C646" s="56" t="str">
        <f aca="false">IF('14 Labour &amp; Equipment'!$C$12="","",'14 Labour &amp; Equipment'!B12)</f>
        <v>Manpower (cost per day)</v>
      </c>
      <c r="D646" s="56" t="str">
        <f aca="false">IF('14 Labour &amp; Equipment'!$C$12="","",'14 Labour &amp; Equipment'!C12)</f>
        <v>SS (TIG) welder / polisher</v>
      </c>
      <c r="E646" s="56" t="str">
        <f aca="false">IF('14 Labour &amp; Equipment'!$C$12="","",'14 Labour &amp; Equipment'!D12)</f>
        <v>8 hr day</v>
      </c>
      <c r="F646" s="56" t="str">
        <f aca="false">IF('14 Labour &amp; Equipment'!$C$12="","",'14 Labour &amp; Equipment'!E12)</f>
        <v>-</v>
      </c>
      <c r="G646" s="56" t="str">
        <f aca="false">IF('14 Labour &amp; Equipment'!$C$12="","",'14 Labour &amp; Equipment'!F12)</f>
        <v>In-house</v>
      </c>
      <c r="H646" s="57" t="str">
        <f aca="false">IF('14 Labour &amp; Equipment'!$C$12="","",'14 Labour &amp; Equipment'!G12)</f>
        <v>day</v>
      </c>
      <c r="I646" s="58" t="n">
        <f aca="false">IF('14 Labour &amp; Equipment'!$C$12="","",'14 Labour &amp; Equipment'!J12)</f>
        <v>280</v>
      </c>
      <c r="J646" s="58" t="n">
        <f aca="false">IF('14 Labour &amp; Equipment'!$C$12="","",'14 Labour &amp; Equipment'!K12)</f>
        <v>336</v>
      </c>
      <c r="K646" s="58" t="n">
        <f aca="false">IF('14 Labour &amp; Equipment'!$C$12="","",'14 Labour &amp; Equipment'!L12)</f>
        <v>352.8</v>
      </c>
      <c r="L646" s="57" t="str">
        <f aca="false">IF('14 Labour &amp; Equipment'!$C$12="","",'14 Labour &amp; Equipment'!M12)</f>
        <v>Indicative</v>
      </c>
      <c r="M646" s="59" t="str">
        <f aca="false">IF(D646="","",IF(AND(OR(Search!$C$6="All Categories",A646=Search!$C$6),OR(Search!$P$5="",ISNUMBER(SEARCH(" "&amp;Search!$P$5,N646))),OR(Search!$P$6="",ISNUMBER(SEARCH(" "&amp;Search!$P$6,N646))),OR(Search!$P$7="",ISNUMBER(SEARCH(" "&amp;Search!$P$7,N646))),OR(Search!$P$8="",ISNUMBER(SEARCH(" "&amp;Search!$P$8,N646))),OR(Search!$P$9="",ISNUMBER(SEARCH(" "&amp;Search!$P$9,N646))),OR(Search!$P$10="",ISNUMBER(SEARCH(" "&amp;Search!$P$10,N646)))),ROW(),""))</f>
        <v/>
      </c>
      <c r="N646" s="0" t="str">
        <f aca="false">IF(D646="",""," "&amp;SUBSTITUTE(SUBSTITUTE(SUBSTITUTE(SUBSTITUTE(SUBSTITUTE(SUBSTITUTE(SUBSTITUTE(B646&amp;" "&amp;C646&amp;" "&amp;D646&amp;" "&amp;E646&amp;" "&amp;F646&amp;" "&amp;G646&amp;" "&amp;H646&amp;" "&amp;'14 Labour &amp; Equipment'!R12,"("," "),")"," "),"/"," "),"-"," "),","," "),";"," "),":"," ")&amp;" ")</f>
        <v> LB 008 Manpower  cost per day  SS  TIG  welder   polisher 8 hr day   In house day stainless steel </v>
      </c>
    </row>
    <row r="647" customFormat="false" ht="22.35" hidden="false" customHeight="false" outlineLevel="0" collapsed="false">
      <c r="A647" s="56" t="str">
        <f aca="false">IF('14 Labour &amp; Equipment'!$C$13="","","Labour, Equipment, Transport &amp; Misc. Costs")</f>
        <v>Labour, Equipment, Transport &amp; Misc. Costs</v>
      </c>
      <c r="B647" s="57" t="str">
        <f aca="false">IF('14 Labour &amp; Equipment'!$C$13="","",'14 Labour &amp; Equipment'!A13)</f>
        <v>LB-009</v>
      </c>
      <c r="C647" s="56" t="str">
        <f aca="false">IF('14 Labour &amp; Equipment'!$C$13="","",'14 Labour &amp; Equipment'!B13)</f>
        <v>Manpower (cost per day)</v>
      </c>
      <c r="D647" s="56" t="str">
        <f aca="false">IF('14 Labour &amp; Equipment'!$C$13="","",'14 Labour &amp; Equipment'!C13)</f>
        <v>Painter</v>
      </c>
      <c r="E647" s="56" t="str">
        <f aca="false">IF('14 Labour &amp; Equipment'!$C$13="","",'14 Labour &amp; Equipment'!D13)</f>
        <v>8 hr day</v>
      </c>
      <c r="F647" s="56" t="str">
        <f aca="false">IF('14 Labour &amp; Equipment'!$C$13="","",'14 Labour &amp; Equipment'!E13)</f>
        <v>-</v>
      </c>
      <c r="G647" s="56" t="str">
        <f aca="false">IF('14 Labour &amp; Equipment'!$C$13="","",'14 Labour &amp; Equipment'!F13)</f>
        <v>In-house</v>
      </c>
      <c r="H647" s="57" t="str">
        <f aca="false">IF('14 Labour &amp; Equipment'!$C$13="","",'14 Labour &amp; Equipment'!G13)</f>
        <v>day</v>
      </c>
      <c r="I647" s="58" t="n">
        <f aca="false">IF('14 Labour &amp; Equipment'!$C$13="","",'14 Labour &amp; Equipment'!J13)</f>
        <v>180</v>
      </c>
      <c r="J647" s="58" t="n">
        <f aca="false">IF('14 Labour &amp; Equipment'!$C$13="","",'14 Labour &amp; Equipment'!K13)</f>
        <v>216</v>
      </c>
      <c r="K647" s="58" t="n">
        <f aca="false">IF('14 Labour &amp; Equipment'!$C$13="","",'14 Labour &amp; Equipment'!L13)</f>
        <v>226.8</v>
      </c>
      <c r="L647" s="57" t="str">
        <f aca="false">IF('14 Labour &amp; Equipment'!$C$13="","",'14 Labour &amp; Equipment'!M13)</f>
        <v>Indicative</v>
      </c>
      <c r="M647" s="59" t="str">
        <f aca="false">IF(D647="","",IF(AND(OR(Search!$C$6="All Categories",A647=Search!$C$6),OR(Search!$P$5="",ISNUMBER(SEARCH(" "&amp;Search!$P$5,N647))),OR(Search!$P$6="",ISNUMBER(SEARCH(" "&amp;Search!$P$6,N647))),OR(Search!$P$7="",ISNUMBER(SEARCH(" "&amp;Search!$P$7,N647))),OR(Search!$P$8="",ISNUMBER(SEARCH(" "&amp;Search!$P$8,N647))),OR(Search!$P$9="",ISNUMBER(SEARCH(" "&amp;Search!$P$9,N647))),OR(Search!$P$10="",ISNUMBER(SEARCH(" "&amp;Search!$P$10,N647)))),ROW(),""))</f>
        <v/>
      </c>
      <c r="N647" s="0" t="str">
        <f aca="false">IF(D647="",""," "&amp;SUBSTITUTE(SUBSTITUTE(SUBSTITUTE(SUBSTITUTE(SUBSTITUTE(SUBSTITUTE(SUBSTITUTE(B647&amp;" "&amp;C647&amp;" "&amp;D647&amp;" "&amp;E647&amp;" "&amp;F647&amp;" "&amp;G647&amp;" "&amp;H647&amp;" "&amp;'14 Labour &amp; Equipment'!R13,"("," "),")"," "),"/"," "),"-"," "),","," "),";"," "),":"," ")&amp;" ")</f>
        <v> LB 009 Manpower  cost per day  Painter 8 hr day   In house day  </v>
      </c>
    </row>
    <row r="648" customFormat="false" ht="22.35" hidden="false" customHeight="false" outlineLevel="0" collapsed="false">
      <c r="A648" s="56" t="str">
        <f aca="false">IF('14 Labour &amp; Equipment'!$C$14="","","Labour, Equipment, Transport &amp; Misc. Costs")</f>
        <v>Labour, Equipment, Transport &amp; Misc. Costs</v>
      </c>
      <c r="B648" s="57" t="str">
        <f aca="false">IF('14 Labour &amp; Equipment'!$C$14="","",'14 Labour &amp; Equipment'!A14)</f>
        <v>LB-010</v>
      </c>
      <c r="C648" s="56" t="str">
        <f aca="false">IF('14 Labour &amp; Equipment'!$C$14="","",'14 Labour &amp; Equipment'!B14)</f>
        <v>Manpower (cost per day)</v>
      </c>
      <c r="D648" s="56" t="str">
        <f aca="false">IF('14 Labour &amp; Equipment'!$C$14="","",'14 Labour &amp; Equipment'!C14)</f>
        <v>Helper</v>
      </c>
      <c r="E648" s="56" t="str">
        <f aca="false">IF('14 Labour &amp; Equipment'!$C$14="","",'14 Labour &amp; Equipment'!D14)</f>
        <v>8 hr day</v>
      </c>
      <c r="F648" s="56" t="str">
        <f aca="false">IF('14 Labour &amp; Equipment'!$C$14="","",'14 Labour &amp; Equipment'!E14)</f>
        <v>-</v>
      </c>
      <c r="G648" s="56" t="str">
        <f aca="false">IF('14 Labour &amp; Equipment'!$C$14="","",'14 Labour &amp; Equipment'!F14)</f>
        <v>In-house</v>
      </c>
      <c r="H648" s="57" t="str">
        <f aca="false">IF('14 Labour &amp; Equipment'!$C$14="","",'14 Labour &amp; Equipment'!G14)</f>
        <v>day</v>
      </c>
      <c r="I648" s="58" t="n">
        <f aca="false">IF('14 Labour &amp; Equipment'!$C$14="","",'14 Labour &amp; Equipment'!J14)</f>
        <v>140</v>
      </c>
      <c r="J648" s="58" t="n">
        <f aca="false">IF('14 Labour &amp; Equipment'!$C$14="","",'14 Labour &amp; Equipment'!K14)</f>
        <v>168</v>
      </c>
      <c r="K648" s="58" t="n">
        <f aca="false">IF('14 Labour &amp; Equipment'!$C$14="","",'14 Labour &amp; Equipment'!L14)</f>
        <v>176.4</v>
      </c>
      <c r="L648" s="57" t="str">
        <f aca="false">IF('14 Labour &amp; Equipment'!$C$14="","",'14 Labour &amp; Equipment'!M14)</f>
        <v>Indicative</v>
      </c>
      <c r="M648" s="59" t="str">
        <f aca="false">IF(D648="","",IF(AND(OR(Search!$C$6="All Categories",A648=Search!$C$6),OR(Search!$P$5="",ISNUMBER(SEARCH(" "&amp;Search!$P$5,N648))),OR(Search!$P$6="",ISNUMBER(SEARCH(" "&amp;Search!$P$6,N648))),OR(Search!$P$7="",ISNUMBER(SEARCH(" "&amp;Search!$P$7,N648))),OR(Search!$P$8="",ISNUMBER(SEARCH(" "&amp;Search!$P$8,N648))),OR(Search!$P$9="",ISNUMBER(SEARCH(" "&amp;Search!$P$9,N648))),OR(Search!$P$10="",ISNUMBER(SEARCH(" "&amp;Search!$P$10,N648)))),ROW(),""))</f>
        <v/>
      </c>
      <c r="N648" s="0" t="str">
        <f aca="false">IF(D648="",""," "&amp;SUBSTITUTE(SUBSTITUTE(SUBSTITUTE(SUBSTITUTE(SUBSTITUTE(SUBSTITUTE(SUBSTITUTE(B648&amp;" "&amp;C648&amp;" "&amp;D648&amp;" "&amp;E648&amp;" "&amp;F648&amp;" "&amp;G648&amp;" "&amp;H648&amp;" "&amp;'14 Labour &amp; Equipment'!R14,"("," "),")"," "),"/"," "),"-"," "),","," "),";"," "),":"," ")&amp;" ")</f>
        <v> LB 010 Manpower  cost per day  Helper 8 hr day   In house day  </v>
      </c>
    </row>
    <row r="649" customFormat="false" ht="22.35" hidden="false" customHeight="false" outlineLevel="0" collapsed="false">
      <c r="A649" s="56" t="str">
        <f aca="false">IF('14 Labour &amp; Equipment'!$C$15="","","Labour, Equipment, Transport &amp; Misc. Costs")</f>
        <v>Labour, Equipment, Transport &amp; Misc. Costs</v>
      </c>
      <c r="B649" s="57" t="str">
        <f aca="false">IF('14 Labour &amp; Equipment'!$C$15="","",'14 Labour &amp; Equipment'!A15)</f>
        <v>LB-011</v>
      </c>
      <c r="C649" s="56" t="str">
        <f aca="false">IF('14 Labour &amp; Equipment'!$C$15="","",'14 Labour &amp; Equipment'!B15)</f>
        <v>Manpower (cost per day)</v>
      </c>
      <c r="D649" s="56" t="str">
        <f aca="false">IF('14 Labour &amp; Equipment'!$C$15="","",'14 Labour &amp; Equipment'!C15)</f>
        <v>Driver</v>
      </c>
      <c r="E649" s="56" t="str">
        <f aca="false">IF('14 Labour &amp; Equipment'!$C$15="","",'14 Labour &amp; Equipment'!D15)</f>
        <v>8 hr day</v>
      </c>
      <c r="F649" s="56" t="str">
        <f aca="false">IF('14 Labour &amp; Equipment'!$C$15="","",'14 Labour &amp; Equipment'!E15)</f>
        <v>-</v>
      </c>
      <c r="G649" s="56" t="str">
        <f aca="false">IF('14 Labour &amp; Equipment'!$C$15="","",'14 Labour &amp; Equipment'!F15)</f>
        <v>In-house</v>
      </c>
      <c r="H649" s="57" t="str">
        <f aca="false">IF('14 Labour &amp; Equipment'!$C$15="","",'14 Labour &amp; Equipment'!G15)</f>
        <v>day</v>
      </c>
      <c r="I649" s="58" t="n">
        <f aca="false">IF('14 Labour &amp; Equipment'!$C$15="","",'14 Labour &amp; Equipment'!J15)</f>
        <v>180</v>
      </c>
      <c r="J649" s="58" t="n">
        <f aca="false">IF('14 Labour &amp; Equipment'!$C$15="","",'14 Labour &amp; Equipment'!K15)</f>
        <v>216</v>
      </c>
      <c r="K649" s="58" t="n">
        <f aca="false">IF('14 Labour &amp; Equipment'!$C$15="","",'14 Labour &amp; Equipment'!L15)</f>
        <v>226.8</v>
      </c>
      <c r="L649" s="57" t="str">
        <f aca="false">IF('14 Labour &amp; Equipment'!$C$15="","",'14 Labour &amp; Equipment'!M15)</f>
        <v>Indicative</v>
      </c>
      <c r="M649" s="59" t="str">
        <f aca="false">IF(D649="","",IF(AND(OR(Search!$C$6="All Categories",A649=Search!$C$6),OR(Search!$P$5="",ISNUMBER(SEARCH(" "&amp;Search!$P$5,N649))),OR(Search!$P$6="",ISNUMBER(SEARCH(" "&amp;Search!$P$6,N649))),OR(Search!$P$7="",ISNUMBER(SEARCH(" "&amp;Search!$P$7,N649))),OR(Search!$P$8="",ISNUMBER(SEARCH(" "&amp;Search!$P$8,N649))),OR(Search!$P$9="",ISNUMBER(SEARCH(" "&amp;Search!$P$9,N649))),OR(Search!$P$10="",ISNUMBER(SEARCH(" "&amp;Search!$P$10,N649)))),ROW(),""))</f>
        <v/>
      </c>
      <c r="N649" s="0" t="str">
        <f aca="false">IF(D649="",""," "&amp;SUBSTITUTE(SUBSTITUTE(SUBSTITUTE(SUBSTITUTE(SUBSTITUTE(SUBSTITUTE(SUBSTITUTE(B649&amp;" "&amp;C649&amp;" "&amp;D649&amp;" "&amp;E649&amp;" "&amp;F649&amp;" "&amp;G649&amp;" "&amp;H649&amp;" "&amp;'14 Labour &amp; Equipment'!R15,"("," "),")"," "),"/"," "),"-"," "),","," "),";"," "),":"," ")&amp;" ")</f>
        <v> LB 011 Manpower  cost per day  Driver 8 hr day   In house day  </v>
      </c>
    </row>
    <row r="650" customFormat="false" ht="22.35" hidden="false" customHeight="false" outlineLevel="0" collapsed="false">
      <c r="A650" s="56" t="str">
        <f aca="false">IF('14 Labour &amp; Equipment'!$C$16="","","Labour, Equipment, Transport &amp; Misc. Costs")</f>
        <v>Labour, Equipment, Transport &amp; Misc. Costs</v>
      </c>
      <c r="B650" s="57" t="str">
        <f aca="false">IF('14 Labour &amp; Equipment'!$C$16="","",'14 Labour &amp; Equipment'!A16)</f>
        <v>LB-012</v>
      </c>
      <c r="C650" s="56" t="str">
        <f aca="false">IF('14 Labour &amp; Equipment'!$C$16="","",'14 Labour &amp; Equipment'!B16)</f>
        <v>Manpower (cost per day)</v>
      </c>
      <c r="D650" s="56" t="str">
        <f aca="false">IF('14 Labour &amp; Equipment'!$C$16="","",'14 Labour &amp; Equipment'!C16)</f>
        <v>Overtime premium</v>
      </c>
      <c r="E650" s="56" t="str">
        <f aca="false">IF('14 Labour &amp; Equipment'!$C$16="","",'14 Labour &amp; Equipment'!D16)</f>
        <v>Per man-hour</v>
      </c>
      <c r="F650" s="56" t="str">
        <f aca="false">IF('14 Labour &amp; Equipment'!$C$16="","",'14 Labour &amp; Equipment'!E16)</f>
        <v>-</v>
      </c>
      <c r="G650" s="56" t="str">
        <f aca="false">IF('14 Labour &amp; Equipment'!$C$16="","",'14 Labour &amp; Equipment'!F16)</f>
        <v>In-house</v>
      </c>
      <c r="H650" s="57" t="str">
        <f aca="false">IF('14 Labour &amp; Equipment'!$C$16="","",'14 Labour &amp; Equipment'!G16)</f>
        <v>hr</v>
      </c>
      <c r="I650" s="58" t="n">
        <f aca="false">IF('14 Labour &amp; Equipment'!$C$16="","",'14 Labour &amp; Equipment'!J16)</f>
        <v>25</v>
      </c>
      <c r="J650" s="58" t="n">
        <f aca="false">IF('14 Labour &amp; Equipment'!$C$16="","",'14 Labour &amp; Equipment'!K16)</f>
        <v>30</v>
      </c>
      <c r="K650" s="58" t="n">
        <f aca="false">IF('14 Labour &amp; Equipment'!$C$16="","",'14 Labour &amp; Equipment'!L16)</f>
        <v>31.5</v>
      </c>
      <c r="L650" s="57" t="str">
        <f aca="false">IF('14 Labour &amp; Equipment'!$C$16="","",'14 Labour &amp; Equipment'!M16)</f>
        <v>Indicative</v>
      </c>
      <c r="M650" s="59" t="str">
        <f aca="false">IF(D650="","",IF(AND(OR(Search!$C$6="All Categories",A650=Search!$C$6),OR(Search!$P$5="",ISNUMBER(SEARCH(" "&amp;Search!$P$5,N650))),OR(Search!$P$6="",ISNUMBER(SEARCH(" "&amp;Search!$P$6,N650))),OR(Search!$P$7="",ISNUMBER(SEARCH(" "&amp;Search!$P$7,N650))),OR(Search!$P$8="",ISNUMBER(SEARCH(" "&amp;Search!$P$8,N650))),OR(Search!$P$9="",ISNUMBER(SEARCH(" "&amp;Search!$P$9,N650))),OR(Search!$P$10="",ISNUMBER(SEARCH(" "&amp;Search!$P$10,N650)))),ROW(),""))</f>
        <v/>
      </c>
      <c r="N650" s="0" t="str">
        <f aca="false">IF(D650="",""," "&amp;SUBSTITUTE(SUBSTITUTE(SUBSTITUTE(SUBSTITUTE(SUBSTITUTE(SUBSTITUTE(SUBSTITUTE(B650&amp;" "&amp;C650&amp;" "&amp;D650&amp;" "&amp;E650&amp;" "&amp;F650&amp;" "&amp;G650&amp;" "&amp;H650&amp;" "&amp;'14 Labour &amp; Equipment'!R16,"("," "),")"," "),"/"," "),"-"," "),","," "),";"," "),":"," ")&amp;" ")</f>
        <v> LB 012 Manpower  cost per day  Overtime premium Per man hour   In house hr  </v>
      </c>
    </row>
    <row r="651" customFormat="false" ht="22.35" hidden="false" customHeight="false" outlineLevel="0" collapsed="false">
      <c r="A651" s="56" t="str">
        <f aca="false">IF('14 Labour &amp; Equipment'!$C$17="","","Labour, Equipment, Transport &amp; Misc. Costs")</f>
        <v>Labour, Equipment, Transport &amp; Misc. Costs</v>
      </c>
      <c r="B651" s="57" t="str">
        <f aca="false">IF('14 Labour &amp; Equipment'!$C$17="","",'14 Labour &amp; Equipment'!A17)</f>
        <v>LB-013</v>
      </c>
      <c r="C651" s="56" t="str">
        <f aca="false">IF('14 Labour &amp; Equipment'!$C$17="","",'14 Labour &amp; Equipment'!B17)</f>
        <v>Manpower (cost per day)</v>
      </c>
      <c r="D651" s="56" t="str">
        <f aca="false">IF('14 Labour &amp; Equipment'!$C$17="","",'14 Labour &amp; Equipment'!C17)</f>
        <v>Hired labour (sub-contract)</v>
      </c>
      <c r="E651" s="56" t="str">
        <f aca="false">IF('14 Labour &amp; Equipment'!$C$17="","",'14 Labour &amp; Equipment'!D17)</f>
        <v>8 hr day</v>
      </c>
      <c r="F651" s="56" t="str">
        <f aca="false">IF('14 Labour &amp; Equipment'!$C$17="","",'14 Labour &amp; Equipment'!E17)</f>
        <v>-</v>
      </c>
      <c r="G651" s="56" t="str">
        <f aca="false">IF('14 Labour &amp; Equipment'!$C$17="","",'14 Labour &amp; Equipment'!F17)</f>
        <v>Labour supply co.</v>
      </c>
      <c r="H651" s="57" t="str">
        <f aca="false">IF('14 Labour &amp; Equipment'!$C$17="","",'14 Labour &amp; Equipment'!G17)</f>
        <v>day</v>
      </c>
      <c r="I651" s="58" t="n">
        <f aca="false">IF('14 Labour &amp; Equipment'!$C$17="","",'14 Labour &amp; Equipment'!J17)</f>
        <v>160</v>
      </c>
      <c r="J651" s="58" t="n">
        <f aca="false">IF('14 Labour &amp; Equipment'!$C$17="","",'14 Labour &amp; Equipment'!K17)</f>
        <v>192</v>
      </c>
      <c r="K651" s="58" t="n">
        <f aca="false">IF('14 Labour &amp; Equipment'!$C$17="","",'14 Labour &amp; Equipment'!L17)</f>
        <v>201.6</v>
      </c>
      <c r="L651" s="57" t="str">
        <f aca="false">IF('14 Labour &amp; Equipment'!$C$17="","",'14 Labour &amp; Equipment'!M17)</f>
        <v>Indicative</v>
      </c>
      <c r="M651" s="59" t="str">
        <f aca="false">IF(D651="","",IF(AND(OR(Search!$C$6="All Categories",A651=Search!$C$6),OR(Search!$P$5="",ISNUMBER(SEARCH(" "&amp;Search!$P$5,N651))),OR(Search!$P$6="",ISNUMBER(SEARCH(" "&amp;Search!$P$6,N651))),OR(Search!$P$7="",ISNUMBER(SEARCH(" "&amp;Search!$P$7,N651))),OR(Search!$P$8="",ISNUMBER(SEARCH(" "&amp;Search!$P$8,N651))),OR(Search!$P$9="",ISNUMBER(SEARCH(" "&amp;Search!$P$9,N651))),OR(Search!$P$10="",ISNUMBER(SEARCH(" "&amp;Search!$P$10,N651)))),ROW(),""))</f>
        <v/>
      </c>
      <c r="N651" s="0" t="str">
        <f aca="false">IF(D651="",""," "&amp;SUBSTITUTE(SUBSTITUTE(SUBSTITUTE(SUBSTITUTE(SUBSTITUTE(SUBSTITUTE(SUBSTITUTE(B651&amp;" "&amp;C651&amp;" "&amp;D651&amp;" "&amp;E651&amp;" "&amp;F651&amp;" "&amp;G651&amp;" "&amp;H651&amp;" "&amp;'14 Labour &amp; Equipment'!R17,"("," "),")"," "),"/"," "),"-"," "),","," "),";"," "),":"," ")&amp;" ")</f>
        <v> LB 013 Manpower  cost per day  Hired labour  sub contract  8 hr day   Labour supply co. day  </v>
      </c>
    </row>
    <row r="652" customFormat="false" ht="22.35" hidden="false" customHeight="false" outlineLevel="0" collapsed="false">
      <c r="A652" s="56" t="str">
        <f aca="false">IF('14 Labour &amp; Equipment'!$C$18="","","Labour, Equipment, Transport &amp; Misc. Costs")</f>
        <v>Labour, Equipment, Transport &amp; Misc. Costs</v>
      </c>
      <c r="B652" s="57" t="str">
        <f aca="false">IF('14 Labour &amp; Equipment'!$C$18="","",'14 Labour &amp; Equipment'!A18)</f>
        <v>LB-014</v>
      </c>
      <c r="C652" s="56" t="str">
        <f aca="false">IF('14 Labour &amp; Equipment'!$C$18="","",'14 Labour &amp; Equipment'!B18)</f>
        <v>Access Equipment</v>
      </c>
      <c r="D652" s="56" t="str">
        <f aca="false">IF('14 Labour &amp; Equipment'!$C$18="","",'14 Labour &amp; Equipment'!C18)</f>
        <v>Boom lift 45 ft</v>
      </c>
      <c r="E652" s="56" t="str">
        <f aca="false">IF('14 Labour &amp; Equipment'!$C$18="","",'14 Labour &amp; Equipment'!D18)</f>
        <v>Daily hire with operator</v>
      </c>
      <c r="F652" s="56" t="str">
        <f aca="false">IF('14 Labour &amp; Equipment'!$C$18="","",'14 Labour &amp; Equipment'!E18)</f>
        <v>-</v>
      </c>
      <c r="G652" s="56" t="str">
        <f aca="false">IF('14 Labour &amp; Equipment'!$C$18="","",'14 Labour &amp; Equipment'!F18)</f>
        <v>Rental co.</v>
      </c>
      <c r="H652" s="57" t="str">
        <f aca="false">IF('14 Labour &amp; Equipment'!$C$18="","",'14 Labour &amp; Equipment'!G18)</f>
        <v>day</v>
      </c>
      <c r="I652" s="58" t="n">
        <f aca="false">IF('14 Labour &amp; Equipment'!$C$18="","",'14 Labour &amp; Equipment'!J18)</f>
        <v>650</v>
      </c>
      <c r="J652" s="58" t="n">
        <f aca="false">IF('14 Labour &amp; Equipment'!$C$18="","",'14 Labour &amp; Equipment'!K18)</f>
        <v>780</v>
      </c>
      <c r="K652" s="58" t="n">
        <f aca="false">IF('14 Labour &amp; Equipment'!$C$18="","",'14 Labour &amp; Equipment'!L18)</f>
        <v>819</v>
      </c>
      <c r="L652" s="57" t="str">
        <f aca="false">IF('14 Labour &amp; Equipment'!$C$18="","",'14 Labour &amp; Equipment'!M18)</f>
        <v>Indicative</v>
      </c>
      <c r="M652" s="59" t="str">
        <f aca="false">IF(D652="","",IF(AND(OR(Search!$C$6="All Categories",A652=Search!$C$6),OR(Search!$P$5="",ISNUMBER(SEARCH(" "&amp;Search!$P$5,N652))),OR(Search!$P$6="",ISNUMBER(SEARCH(" "&amp;Search!$P$6,N652))),OR(Search!$P$7="",ISNUMBER(SEARCH(" "&amp;Search!$P$7,N652))),OR(Search!$P$8="",ISNUMBER(SEARCH(" "&amp;Search!$P$8,N652))),OR(Search!$P$9="",ISNUMBER(SEARCH(" "&amp;Search!$P$9,N652))),OR(Search!$P$10="",ISNUMBER(SEARCH(" "&amp;Search!$P$10,N652)))),ROW(),""))</f>
        <v/>
      </c>
      <c r="N652" s="0" t="str">
        <f aca="false">IF(D652="",""," "&amp;SUBSTITUTE(SUBSTITUTE(SUBSTITUTE(SUBSTITUTE(SUBSTITUTE(SUBSTITUTE(SUBSTITUTE(B652&amp;" "&amp;C652&amp;" "&amp;D652&amp;" "&amp;E652&amp;" "&amp;F652&amp;" "&amp;G652&amp;" "&amp;H652&amp;" "&amp;'14 Labour &amp; Equipment'!R18,"("," "),")"," "),"/"," "),"-"," "),","," "),";"," "),":"," ")&amp;" ")</f>
        <v> LB 014 Access Equipment Boom lift 45 ft Daily hire with operator   Rental co. day stainless steel </v>
      </c>
    </row>
    <row r="653" customFormat="false" ht="22.35" hidden="false" customHeight="false" outlineLevel="0" collapsed="false">
      <c r="A653" s="56" t="str">
        <f aca="false">IF('14 Labour &amp; Equipment'!$C$19="","","Labour, Equipment, Transport &amp; Misc. Costs")</f>
        <v>Labour, Equipment, Transport &amp; Misc. Costs</v>
      </c>
      <c r="B653" s="57" t="str">
        <f aca="false">IF('14 Labour &amp; Equipment'!$C$19="","",'14 Labour &amp; Equipment'!A19)</f>
        <v>LB-015</v>
      </c>
      <c r="C653" s="56" t="str">
        <f aca="false">IF('14 Labour &amp; Equipment'!$C$19="","",'14 Labour &amp; Equipment'!B19)</f>
        <v>Access Equipment</v>
      </c>
      <c r="D653" s="56" t="str">
        <f aca="false">IF('14 Labour &amp; Equipment'!$C$19="","",'14 Labour &amp; Equipment'!C19)</f>
        <v>Boom lift 60-80 ft</v>
      </c>
      <c r="E653" s="56" t="str">
        <f aca="false">IF('14 Labour &amp; Equipment'!$C$19="","",'14 Labour &amp; Equipment'!D19)</f>
        <v>Daily hire with operator</v>
      </c>
      <c r="F653" s="56" t="str">
        <f aca="false">IF('14 Labour &amp; Equipment'!$C$19="","",'14 Labour &amp; Equipment'!E19)</f>
        <v>-</v>
      </c>
      <c r="G653" s="56" t="str">
        <f aca="false">IF('14 Labour &amp; Equipment'!$C$19="","",'14 Labour &amp; Equipment'!F19)</f>
        <v>Rental co.</v>
      </c>
      <c r="H653" s="57" t="str">
        <f aca="false">IF('14 Labour &amp; Equipment'!$C$19="","",'14 Labour &amp; Equipment'!G19)</f>
        <v>day</v>
      </c>
      <c r="I653" s="58" t="n">
        <f aca="false">IF('14 Labour &amp; Equipment'!$C$19="","",'14 Labour &amp; Equipment'!J19)</f>
        <v>1100</v>
      </c>
      <c r="J653" s="58" t="n">
        <f aca="false">IF('14 Labour &amp; Equipment'!$C$19="","",'14 Labour &amp; Equipment'!K19)</f>
        <v>1320</v>
      </c>
      <c r="K653" s="58" t="n">
        <f aca="false">IF('14 Labour &amp; Equipment'!$C$19="","",'14 Labour &amp; Equipment'!L19)</f>
        <v>1386</v>
      </c>
      <c r="L653" s="57" t="str">
        <f aca="false">IF('14 Labour &amp; Equipment'!$C$19="","",'14 Labour &amp; Equipment'!M19)</f>
        <v>Indicative</v>
      </c>
      <c r="M653" s="59" t="str">
        <f aca="false">IF(D653="","",IF(AND(OR(Search!$C$6="All Categories",A653=Search!$C$6),OR(Search!$P$5="",ISNUMBER(SEARCH(" "&amp;Search!$P$5,N653))),OR(Search!$P$6="",ISNUMBER(SEARCH(" "&amp;Search!$P$6,N653))),OR(Search!$P$7="",ISNUMBER(SEARCH(" "&amp;Search!$P$7,N653))),OR(Search!$P$8="",ISNUMBER(SEARCH(" "&amp;Search!$P$8,N653))),OR(Search!$P$9="",ISNUMBER(SEARCH(" "&amp;Search!$P$9,N653))),OR(Search!$P$10="",ISNUMBER(SEARCH(" "&amp;Search!$P$10,N653)))),ROW(),""))</f>
        <v/>
      </c>
      <c r="N653" s="0" t="str">
        <f aca="false">IF(D653="",""," "&amp;SUBSTITUTE(SUBSTITUTE(SUBSTITUTE(SUBSTITUTE(SUBSTITUTE(SUBSTITUTE(SUBSTITUTE(B653&amp;" "&amp;C653&amp;" "&amp;D653&amp;" "&amp;E653&amp;" "&amp;F653&amp;" "&amp;G653&amp;" "&amp;H653&amp;" "&amp;'14 Labour &amp; Equipment'!R19,"("," "),")"," "),"/"," "),"-"," "),","," "),";"," "),":"," ")&amp;" ")</f>
        <v> LB 015 Access Equipment Boom lift 60 80 ft Daily hire with operator   Rental co. day stainless steel </v>
      </c>
    </row>
    <row r="654" customFormat="false" ht="22.35" hidden="false" customHeight="false" outlineLevel="0" collapsed="false">
      <c r="A654" s="56" t="str">
        <f aca="false">IF('14 Labour &amp; Equipment'!$C$20="","","Labour, Equipment, Transport &amp; Misc. Costs")</f>
        <v>Labour, Equipment, Transport &amp; Misc. Costs</v>
      </c>
      <c r="B654" s="57" t="str">
        <f aca="false">IF('14 Labour &amp; Equipment'!$C$20="","",'14 Labour &amp; Equipment'!A20)</f>
        <v>LB-016</v>
      </c>
      <c r="C654" s="56" t="str">
        <f aca="false">IF('14 Labour &amp; Equipment'!$C$20="","",'14 Labour &amp; Equipment'!B20)</f>
        <v>Access Equipment</v>
      </c>
      <c r="D654" s="56" t="str">
        <f aca="false">IF('14 Labour &amp; Equipment'!$C$20="","",'14 Labour &amp; Equipment'!C20)</f>
        <v>Scissor lift 19-26 ft</v>
      </c>
      <c r="E654" s="56" t="str">
        <f aca="false">IF('14 Labour &amp; Equipment'!$C$20="","",'14 Labour &amp; Equipment'!D20)</f>
        <v>Daily hire</v>
      </c>
      <c r="F654" s="56" t="str">
        <f aca="false">IF('14 Labour &amp; Equipment'!$C$20="","",'14 Labour &amp; Equipment'!E20)</f>
        <v>-</v>
      </c>
      <c r="G654" s="56" t="str">
        <f aca="false">IF('14 Labour &amp; Equipment'!$C$20="","",'14 Labour &amp; Equipment'!F20)</f>
        <v>Rental co.</v>
      </c>
      <c r="H654" s="57" t="str">
        <f aca="false">IF('14 Labour &amp; Equipment'!$C$20="","",'14 Labour &amp; Equipment'!G20)</f>
        <v>day</v>
      </c>
      <c r="I654" s="58" t="n">
        <f aca="false">IF('14 Labour &amp; Equipment'!$C$20="","",'14 Labour &amp; Equipment'!J20)</f>
        <v>350</v>
      </c>
      <c r="J654" s="58" t="n">
        <f aca="false">IF('14 Labour &amp; Equipment'!$C$20="","",'14 Labour &amp; Equipment'!K20)</f>
        <v>420</v>
      </c>
      <c r="K654" s="58" t="n">
        <f aca="false">IF('14 Labour &amp; Equipment'!$C$20="","",'14 Labour &amp; Equipment'!L20)</f>
        <v>441</v>
      </c>
      <c r="L654" s="57" t="str">
        <f aca="false">IF('14 Labour &amp; Equipment'!$C$20="","",'14 Labour &amp; Equipment'!M20)</f>
        <v>Indicative</v>
      </c>
      <c r="M654" s="59" t="str">
        <f aca="false">IF(D654="","",IF(AND(OR(Search!$C$6="All Categories",A654=Search!$C$6),OR(Search!$P$5="",ISNUMBER(SEARCH(" "&amp;Search!$P$5,N654))),OR(Search!$P$6="",ISNUMBER(SEARCH(" "&amp;Search!$P$6,N654))),OR(Search!$P$7="",ISNUMBER(SEARCH(" "&amp;Search!$P$7,N654))),OR(Search!$P$8="",ISNUMBER(SEARCH(" "&amp;Search!$P$8,N654))),OR(Search!$P$9="",ISNUMBER(SEARCH(" "&amp;Search!$P$9,N654))),OR(Search!$P$10="",ISNUMBER(SEARCH(" "&amp;Search!$P$10,N654)))),ROW(),""))</f>
        <v/>
      </c>
      <c r="N654" s="0" t="str">
        <f aca="false">IF(D654="",""," "&amp;SUBSTITUTE(SUBSTITUTE(SUBSTITUTE(SUBSTITUTE(SUBSTITUTE(SUBSTITUTE(SUBSTITUTE(B654&amp;" "&amp;C654&amp;" "&amp;D654&amp;" "&amp;E654&amp;" "&amp;F654&amp;" "&amp;G654&amp;" "&amp;H654&amp;" "&amp;'14 Labour &amp; Equipment'!R20,"("," "),")"," "),"/"," "),"-"," "),","," "),";"," "),":"," ")&amp;" ")</f>
        <v> LB 016 Access Equipment Scissor lift 19 26 ft Daily hire   Rental co. day stainless steel </v>
      </c>
    </row>
    <row r="655" customFormat="false" ht="22.35" hidden="false" customHeight="false" outlineLevel="0" collapsed="false">
      <c r="A655" s="56" t="str">
        <f aca="false">IF('14 Labour &amp; Equipment'!$C$21="","","Labour, Equipment, Transport &amp; Misc. Costs")</f>
        <v>Labour, Equipment, Transport &amp; Misc. Costs</v>
      </c>
      <c r="B655" s="57" t="str">
        <f aca="false">IF('14 Labour &amp; Equipment'!$C$21="","",'14 Labour &amp; Equipment'!A21)</f>
        <v>LB-017</v>
      </c>
      <c r="C655" s="56" t="str">
        <f aca="false">IF('14 Labour &amp; Equipment'!$C$21="","",'14 Labour &amp; Equipment'!B21)</f>
        <v>Access Equipment</v>
      </c>
      <c r="D655" s="56" t="str">
        <f aca="false">IF('14 Labour &amp; Equipment'!$C$21="","",'14 Labour &amp; Equipment'!C21)</f>
        <v>Mobile scaffolding tower</v>
      </c>
      <c r="E655" s="56" t="str">
        <f aca="false">IF('14 Labour &amp; Equipment'!$C$21="","",'14 Labour &amp; Equipment'!D21)</f>
        <v>Monthly hire</v>
      </c>
      <c r="F655" s="56" t="str">
        <f aca="false">IF('14 Labour &amp; Equipment'!$C$21="","",'14 Labour &amp; Equipment'!E21)</f>
        <v>-</v>
      </c>
      <c r="G655" s="56" t="str">
        <f aca="false">IF('14 Labour &amp; Equipment'!$C$21="","",'14 Labour &amp; Equipment'!F21)</f>
        <v>Rental co.</v>
      </c>
      <c r="H655" s="57" t="str">
        <f aca="false">IF('14 Labour &amp; Equipment'!$C$21="","",'14 Labour &amp; Equipment'!G21)</f>
        <v>month</v>
      </c>
      <c r="I655" s="58" t="n">
        <f aca="false">IF('14 Labour &amp; Equipment'!$C$21="","",'14 Labour &amp; Equipment'!J21)</f>
        <v>900</v>
      </c>
      <c r="J655" s="58" t="n">
        <f aca="false">IF('14 Labour &amp; Equipment'!$C$21="","",'14 Labour &amp; Equipment'!K21)</f>
        <v>1080</v>
      </c>
      <c r="K655" s="58" t="n">
        <f aca="false">IF('14 Labour &amp; Equipment'!$C$21="","",'14 Labour &amp; Equipment'!L21)</f>
        <v>1134</v>
      </c>
      <c r="L655" s="57" t="str">
        <f aca="false">IF('14 Labour &amp; Equipment'!$C$21="","",'14 Labour &amp; Equipment'!M21)</f>
        <v>Indicative</v>
      </c>
      <c r="M655" s="59" t="str">
        <f aca="false">IF(D655="","",IF(AND(OR(Search!$C$6="All Categories",A655=Search!$C$6),OR(Search!$P$5="",ISNUMBER(SEARCH(" "&amp;Search!$P$5,N655))),OR(Search!$P$6="",ISNUMBER(SEARCH(" "&amp;Search!$P$6,N655))),OR(Search!$P$7="",ISNUMBER(SEARCH(" "&amp;Search!$P$7,N655))),OR(Search!$P$8="",ISNUMBER(SEARCH(" "&amp;Search!$P$8,N655))),OR(Search!$P$9="",ISNUMBER(SEARCH(" "&amp;Search!$P$9,N655))),OR(Search!$P$10="",ISNUMBER(SEARCH(" "&amp;Search!$P$10,N655)))),ROW(),""))</f>
        <v/>
      </c>
      <c r="N655" s="0" t="str">
        <f aca="false">IF(D655="",""," "&amp;SUBSTITUTE(SUBSTITUTE(SUBSTITUTE(SUBSTITUTE(SUBSTITUTE(SUBSTITUTE(SUBSTITUTE(B655&amp;" "&amp;C655&amp;" "&amp;D655&amp;" "&amp;E655&amp;" "&amp;F655&amp;" "&amp;G655&amp;" "&amp;H655&amp;" "&amp;'14 Labour &amp; Equipment'!R21,"("," "),")"," "),"/"," "),"-"," "),","," "),";"," "),":"," ")&amp;" ")</f>
        <v> LB 017 Access Equipment Mobile scaffolding tower Monthly hire   Rental co. month stainless steel </v>
      </c>
    </row>
    <row r="656" customFormat="false" ht="22.35" hidden="false" customHeight="false" outlineLevel="0" collapsed="false">
      <c r="A656" s="56" t="str">
        <f aca="false">IF('14 Labour &amp; Equipment'!$C$22="","","Labour, Equipment, Transport &amp; Misc. Costs")</f>
        <v>Labour, Equipment, Transport &amp; Misc. Costs</v>
      </c>
      <c r="B656" s="57" t="str">
        <f aca="false">IF('14 Labour &amp; Equipment'!$C$22="","",'14 Labour &amp; Equipment'!A22)</f>
        <v>LB-018</v>
      </c>
      <c r="C656" s="56" t="str">
        <f aca="false">IF('14 Labour &amp; Equipment'!$C$22="","",'14 Labour &amp; Equipment'!B22)</f>
        <v>Access Equipment</v>
      </c>
      <c r="D656" s="56" t="str">
        <f aca="false">IF('14 Labour &amp; Equipment'!$C$22="","",'14 Labour &amp; Equipment'!C22)</f>
        <v>Scaffolding (erected)</v>
      </c>
      <c r="E656" s="56" t="str">
        <f aca="false">IF('14 Labour &amp; Equipment'!$C$22="","",'14 Labour &amp; Equipment'!D22)</f>
        <v>Per m2 per month</v>
      </c>
      <c r="F656" s="56" t="str">
        <f aca="false">IF('14 Labour &amp; Equipment'!$C$22="","",'14 Labour &amp; Equipment'!E22)</f>
        <v>-</v>
      </c>
      <c r="G656" s="56" t="str">
        <f aca="false">IF('14 Labour &amp; Equipment'!$C$22="","",'14 Labour &amp; Equipment'!F22)</f>
        <v>Scaffolding contractor</v>
      </c>
      <c r="H656" s="57" t="str">
        <f aca="false">IF('14 Labour &amp; Equipment'!$C$22="","",'14 Labour &amp; Equipment'!G22)</f>
        <v>m2</v>
      </c>
      <c r="I656" s="58" t="n">
        <f aca="false">IF('14 Labour &amp; Equipment'!$C$22="","",'14 Labour &amp; Equipment'!J22)</f>
        <v>12</v>
      </c>
      <c r="J656" s="58" t="n">
        <f aca="false">IF('14 Labour &amp; Equipment'!$C$22="","",'14 Labour &amp; Equipment'!K22)</f>
        <v>14.4</v>
      </c>
      <c r="K656" s="58" t="n">
        <f aca="false">IF('14 Labour &amp; Equipment'!$C$22="","",'14 Labour &amp; Equipment'!L22)</f>
        <v>15.12</v>
      </c>
      <c r="L656" s="57" t="str">
        <f aca="false">IF('14 Labour &amp; Equipment'!$C$22="","",'14 Labour &amp; Equipment'!M22)</f>
        <v>Indicative</v>
      </c>
      <c r="M656" s="59" t="str">
        <f aca="false">IF(D656="","",IF(AND(OR(Search!$C$6="All Categories",A656=Search!$C$6),OR(Search!$P$5="",ISNUMBER(SEARCH(" "&amp;Search!$P$5,N656))),OR(Search!$P$6="",ISNUMBER(SEARCH(" "&amp;Search!$P$6,N656))),OR(Search!$P$7="",ISNUMBER(SEARCH(" "&amp;Search!$P$7,N656))),OR(Search!$P$8="",ISNUMBER(SEARCH(" "&amp;Search!$P$8,N656))),OR(Search!$P$9="",ISNUMBER(SEARCH(" "&amp;Search!$P$9,N656))),OR(Search!$P$10="",ISNUMBER(SEARCH(" "&amp;Search!$P$10,N656)))),ROW(),""))</f>
        <v/>
      </c>
      <c r="N656" s="0" t="str">
        <f aca="false">IF(D656="",""," "&amp;SUBSTITUTE(SUBSTITUTE(SUBSTITUTE(SUBSTITUTE(SUBSTITUTE(SUBSTITUTE(SUBSTITUTE(B656&amp;" "&amp;C656&amp;" "&amp;D656&amp;" "&amp;E656&amp;" "&amp;F656&amp;" "&amp;G656&amp;" "&amp;H656&amp;" "&amp;'14 Labour &amp; Equipment'!R22,"("," "),")"," "),"/"," "),"-"," "),","," "),";"," "),":"," ")&amp;" ")</f>
        <v> LB 018 Access Equipment Scaffolding  erected  Per m2 per month   Scaffolding contractor m2 stainless steel </v>
      </c>
    </row>
    <row r="657" customFormat="false" ht="22.35" hidden="false" customHeight="false" outlineLevel="0" collapsed="false">
      <c r="A657" s="56" t="str">
        <f aca="false">IF('14 Labour &amp; Equipment'!$C$23="","","Labour, Equipment, Transport &amp; Misc. Costs")</f>
        <v>Labour, Equipment, Transport &amp; Misc. Costs</v>
      </c>
      <c r="B657" s="57" t="str">
        <f aca="false">IF('14 Labour &amp; Equipment'!$C$23="","",'14 Labour &amp; Equipment'!A23)</f>
        <v>LB-019</v>
      </c>
      <c r="C657" s="56" t="str">
        <f aca="false">IF('14 Labour &amp; Equipment'!$C$23="","",'14 Labour &amp; Equipment'!B23)</f>
        <v>Access Equipment</v>
      </c>
      <c r="D657" s="56" t="str">
        <f aca="false">IF('14 Labour &amp; Equipment'!$C$23="","",'14 Labour &amp; Equipment'!C23)</f>
        <v>Gondola / BMU hire</v>
      </c>
      <c r="E657" s="56" t="str">
        <f aca="false">IF('14 Labour &amp; Equipment'!$C$23="","",'14 Labour &amp; Equipment'!D23)</f>
        <v>Monthly</v>
      </c>
      <c r="F657" s="56" t="str">
        <f aca="false">IF('14 Labour &amp; Equipment'!$C$23="","",'14 Labour &amp; Equipment'!E23)</f>
        <v>-</v>
      </c>
      <c r="G657" s="56" t="str">
        <f aca="false">IF('14 Labour &amp; Equipment'!$C$23="","",'14 Labour &amp; Equipment'!F23)</f>
        <v>Rental co.</v>
      </c>
      <c r="H657" s="57" t="str">
        <f aca="false">IF('14 Labour &amp; Equipment'!$C$23="","",'14 Labour &amp; Equipment'!G23)</f>
        <v>month</v>
      </c>
      <c r="I657" s="58" t="n">
        <f aca="false">IF('14 Labour &amp; Equipment'!$C$23="","",'14 Labour &amp; Equipment'!J23)</f>
        <v>6500</v>
      </c>
      <c r="J657" s="58" t="n">
        <f aca="false">IF('14 Labour &amp; Equipment'!$C$23="","",'14 Labour &amp; Equipment'!K23)</f>
        <v>7800</v>
      </c>
      <c r="K657" s="58" t="n">
        <f aca="false">IF('14 Labour &amp; Equipment'!$C$23="","",'14 Labour &amp; Equipment'!L23)</f>
        <v>8190</v>
      </c>
      <c r="L657" s="57" t="str">
        <f aca="false">IF('14 Labour &amp; Equipment'!$C$23="","",'14 Labour &amp; Equipment'!M23)</f>
        <v>Indicative</v>
      </c>
      <c r="M657" s="59" t="str">
        <f aca="false">IF(D657="","",IF(AND(OR(Search!$C$6="All Categories",A657=Search!$C$6),OR(Search!$P$5="",ISNUMBER(SEARCH(" "&amp;Search!$P$5,N657))),OR(Search!$P$6="",ISNUMBER(SEARCH(" "&amp;Search!$P$6,N657))),OR(Search!$P$7="",ISNUMBER(SEARCH(" "&amp;Search!$P$7,N657))),OR(Search!$P$8="",ISNUMBER(SEARCH(" "&amp;Search!$P$8,N657))),OR(Search!$P$9="",ISNUMBER(SEARCH(" "&amp;Search!$P$9,N657))),OR(Search!$P$10="",ISNUMBER(SEARCH(" "&amp;Search!$P$10,N657)))),ROW(),""))</f>
        <v/>
      </c>
      <c r="N657" s="0" t="str">
        <f aca="false">IF(D657="",""," "&amp;SUBSTITUTE(SUBSTITUTE(SUBSTITUTE(SUBSTITUTE(SUBSTITUTE(SUBSTITUTE(SUBSTITUTE(B657&amp;" "&amp;C657&amp;" "&amp;D657&amp;" "&amp;E657&amp;" "&amp;F657&amp;" "&amp;G657&amp;" "&amp;H657&amp;" "&amp;'14 Labour &amp; Equipment'!R23,"("," "),")"," "),"/"," "),"-"," "),","," "),";"," "),":"," ")&amp;" ")</f>
        <v> LB 019 Access Equipment Gondola   BMU hire Monthly   Rental co. month stainless steel </v>
      </c>
    </row>
    <row r="658" customFormat="false" ht="22.35" hidden="false" customHeight="false" outlineLevel="0" collapsed="false">
      <c r="A658" s="56" t="str">
        <f aca="false">IF('14 Labour &amp; Equipment'!$C$24="","","Labour, Equipment, Transport &amp; Misc. Costs")</f>
        <v>Labour, Equipment, Transport &amp; Misc. Costs</v>
      </c>
      <c r="B658" s="57" t="str">
        <f aca="false">IF('14 Labour &amp; Equipment'!$C$24="","",'14 Labour &amp; Equipment'!A24)</f>
        <v>LB-020</v>
      </c>
      <c r="C658" s="56" t="str">
        <f aca="false">IF('14 Labour &amp; Equipment'!$C$24="","",'14 Labour &amp; Equipment'!B24)</f>
        <v>Access Equipment</v>
      </c>
      <c r="D658" s="56" t="str">
        <f aca="false">IF('14 Labour &amp; Equipment'!$C$24="","",'14 Labour &amp; Equipment'!C24)</f>
        <v>Rope access team (2 men)</v>
      </c>
      <c r="E658" s="56" t="str">
        <f aca="false">IF('14 Labour &amp; Equipment'!$C$24="","",'14 Labour &amp; Equipment'!D24)</f>
        <v>Per day</v>
      </c>
      <c r="F658" s="56" t="str">
        <f aca="false">IF('14 Labour &amp; Equipment'!$C$24="","",'14 Labour &amp; Equipment'!E24)</f>
        <v>-</v>
      </c>
      <c r="G658" s="56" t="str">
        <f aca="false">IF('14 Labour &amp; Equipment'!$C$24="","",'14 Labour &amp; Equipment'!F24)</f>
        <v>Rope access co.</v>
      </c>
      <c r="H658" s="57" t="str">
        <f aca="false">IF('14 Labour &amp; Equipment'!$C$24="","",'14 Labour &amp; Equipment'!G24)</f>
        <v>day</v>
      </c>
      <c r="I658" s="58" t="n">
        <f aca="false">IF('14 Labour &amp; Equipment'!$C$24="","",'14 Labour &amp; Equipment'!J24)</f>
        <v>1500</v>
      </c>
      <c r="J658" s="58" t="n">
        <f aca="false">IF('14 Labour &amp; Equipment'!$C$24="","",'14 Labour &amp; Equipment'!K24)</f>
        <v>1800</v>
      </c>
      <c r="K658" s="58" t="n">
        <f aca="false">IF('14 Labour &amp; Equipment'!$C$24="","",'14 Labour &amp; Equipment'!L24)</f>
        <v>1890</v>
      </c>
      <c r="L658" s="57" t="str">
        <f aca="false">IF('14 Labour &amp; Equipment'!$C$24="","",'14 Labour &amp; Equipment'!M24)</f>
        <v>Indicative</v>
      </c>
      <c r="M658" s="59" t="str">
        <f aca="false">IF(D658="","",IF(AND(OR(Search!$C$6="All Categories",A658=Search!$C$6),OR(Search!$P$5="",ISNUMBER(SEARCH(" "&amp;Search!$P$5,N658))),OR(Search!$P$6="",ISNUMBER(SEARCH(" "&amp;Search!$P$6,N658))),OR(Search!$P$7="",ISNUMBER(SEARCH(" "&amp;Search!$P$7,N658))),OR(Search!$P$8="",ISNUMBER(SEARCH(" "&amp;Search!$P$8,N658))),OR(Search!$P$9="",ISNUMBER(SEARCH(" "&amp;Search!$P$9,N658))),OR(Search!$P$10="",ISNUMBER(SEARCH(" "&amp;Search!$P$10,N658)))),ROW(),""))</f>
        <v/>
      </c>
      <c r="N658" s="0" t="str">
        <f aca="false">IF(D658="",""," "&amp;SUBSTITUTE(SUBSTITUTE(SUBSTITUTE(SUBSTITUTE(SUBSTITUTE(SUBSTITUTE(SUBSTITUTE(B658&amp;" "&amp;C658&amp;" "&amp;D658&amp;" "&amp;E658&amp;" "&amp;F658&amp;" "&amp;G658&amp;" "&amp;H658&amp;" "&amp;'14 Labour &amp; Equipment'!R24,"("," "),")"," "),"/"," "),"-"," "),","," "),";"," "),":"," ")&amp;" ")</f>
        <v> LB 020 Access Equipment Rope access team  2 men  Per day   Rope access co. day stainless steel </v>
      </c>
    </row>
    <row r="659" customFormat="false" ht="22.35" hidden="false" customHeight="false" outlineLevel="0" collapsed="false">
      <c r="A659" s="56" t="str">
        <f aca="false">IF('14 Labour &amp; Equipment'!$C$25="","","Labour, Equipment, Transport &amp; Misc. Costs")</f>
        <v>Labour, Equipment, Transport &amp; Misc. Costs</v>
      </c>
      <c r="B659" s="57" t="str">
        <f aca="false">IF('14 Labour &amp; Equipment'!$C$25="","",'14 Labour &amp; Equipment'!A25)</f>
        <v>LB-021</v>
      </c>
      <c r="C659" s="56" t="str">
        <f aca="false">IF('14 Labour &amp; Equipment'!$C$25="","",'14 Labour &amp; Equipment'!B25)</f>
        <v>Lifting &amp; Handling</v>
      </c>
      <c r="D659" s="56" t="str">
        <f aca="false">IF('14 Labour &amp; Equipment'!$C$25="","",'14 Labour &amp; Equipment'!C25)</f>
        <v>Mobile crane 25 ton</v>
      </c>
      <c r="E659" s="56" t="str">
        <f aca="false">IF('14 Labour &amp; Equipment'!$C$25="","",'14 Labour &amp; Equipment'!D25)</f>
        <v>8 hr with operator</v>
      </c>
      <c r="F659" s="56" t="str">
        <f aca="false">IF('14 Labour &amp; Equipment'!$C$25="","",'14 Labour &amp; Equipment'!E25)</f>
        <v>-</v>
      </c>
      <c r="G659" s="56" t="str">
        <f aca="false">IF('14 Labour &amp; Equipment'!$C$25="","",'14 Labour &amp; Equipment'!F25)</f>
        <v>Rental co.</v>
      </c>
      <c r="H659" s="57" t="str">
        <f aca="false">IF('14 Labour &amp; Equipment'!$C$25="","",'14 Labour &amp; Equipment'!G25)</f>
        <v>day</v>
      </c>
      <c r="I659" s="58" t="n">
        <f aca="false">IF('14 Labour &amp; Equipment'!$C$25="","",'14 Labour &amp; Equipment'!J25)</f>
        <v>1800</v>
      </c>
      <c r="J659" s="58" t="n">
        <f aca="false">IF('14 Labour &amp; Equipment'!$C$25="","",'14 Labour &amp; Equipment'!K25)</f>
        <v>2160</v>
      </c>
      <c r="K659" s="58" t="n">
        <f aca="false">IF('14 Labour &amp; Equipment'!$C$25="","",'14 Labour &amp; Equipment'!L25)</f>
        <v>2268</v>
      </c>
      <c r="L659" s="57" t="str">
        <f aca="false">IF('14 Labour &amp; Equipment'!$C$25="","",'14 Labour &amp; Equipment'!M25)</f>
        <v>Indicative</v>
      </c>
      <c r="M659" s="59" t="str">
        <f aca="false">IF(D659="","",IF(AND(OR(Search!$C$6="All Categories",A659=Search!$C$6),OR(Search!$P$5="",ISNUMBER(SEARCH(" "&amp;Search!$P$5,N659))),OR(Search!$P$6="",ISNUMBER(SEARCH(" "&amp;Search!$P$6,N659))),OR(Search!$P$7="",ISNUMBER(SEARCH(" "&amp;Search!$P$7,N659))),OR(Search!$P$8="",ISNUMBER(SEARCH(" "&amp;Search!$P$8,N659))),OR(Search!$P$9="",ISNUMBER(SEARCH(" "&amp;Search!$P$9,N659))),OR(Search!$P$10="",ISNUMBER(SEARCH(" "&amp;Search!$P$10,N659)))),ROW(),""))</f>
        <v/>
      </c>
      <c r="N659" s="0" t="str">
        <f aca="false">IF(D659="",""," "&amp;SUBSTITUTE(SUBSTITUTE(SUBSTITUTE(SUBSTITUTE(SUBSTITUTE(SUBSTITUTE(SUBSTITUTE(B659&amp;" "&amp;C659&amp;" "&amp;D659&amp;" "&amp;E659&amp;" "&amp;F659&amp;" "&amp;G659&amp;" "&amp;H659&amp;" "&amp;'14 Labour &amp; Equipment'!R25,"("," "),")"," "),"/"," "),"-"," "),","," "),";"," "),":"," ")&amp;" ")</f>
        <v> LB 021 Lifting &amp; Handling Mobile crane 25 ton 8 hr with operator   Rental co. day  </v>
      </c>
    </row>
    <row r="660" customFormat="false" ht="22.35" hidden="false" customHeight="false" outlineLevel="0" collapsed="false">
      <c r="A660" s="56" t="str">
        <f aca="false">IF('14 Labour &amp; Equipment'!$C$26="","","Labour, Equipment, Transport &amp; Misc. Costs")</f>
        <v>Labour, Equipment, Transport &amp; Misc. Costs</v>
      </c>
      <c r="B660" s="57" t="str">
        <f aca="false">IF('14 Labour &amp; Equipment'!$C$26="","",'14 Labour &amp; Equipment'!A26)</f>
        <v>LB-022</v>
      </c>
      <c r="C660" s="56" t="str">
        <f aca="false">IF('14 Labour &amp; Equipment'!$C$26="","",'14 Labour &amp; Equipment'!B26)</f>
        <v>Lifting &amp; Handling</v>
      </c>
      <c r="D660" s="56" t="str">
        <f aca="false">IF('14 Labour &amp; Equipment'!$C$26="","",'14 Labour &amp; Equipment'!C26)</f>
        <v>Mobile crane 50 ton</v>
      </c>
      <c r="E660" s="56" t="str">
        <f aca="false">IF('14 Labour &amp; Equipment'!$C$26="","",'14 Labour &amp; Equipment'!D26)</f>
        <v>8 hr with operator</v>
      </c>
      <c r="F660" s="56" t="str">
        <f aca="false">IF('14 Labour &amp; Equipment'!$C$26="","",'14 Labour &amp; Equipment'!E26)</f>
        <v>-</v>
      </c>
      <c r="G660" s="56" t="str">
        <f aca="false">IF('14 Labour &amp; Equipment'!$C$26="","",'14 Labour &amp; Equipment'!F26)</f>
        <v>Rental co.</v>
      </c>
      <c r="H660" s="57" t="str">
        <f aca="false">IF('14 Labour &amp; Equipment'!$C$26="","",'14 Labour &amp; Equipment'!G26)</f>
        <v>day</v>
      </c>
      <c r="I660" s="58" t="n">
        <f aca="false">IF('14 Labour &amp; Equipment'!$C$26="","",'14 Labour &amp; Equipment'!J26)</f>
        <v>3200</v>
      </c>
      <c r="J660" s="58" t="n">
        <f aca="false">IF('14 Labour &amp; Equipment'!$C$26="","",'14 Labour &amp; Equipment'!K26)</f>
        <v>3840</v>
      </c>
      <c r="K660" s="58" t="n">
        <f aca="false">IF('14 Labour &amp; Equipment'!$C$26="","",'14 Labour &amp; Equipment'!L26)</f>
        <v>4032</v>
      </c>
      <c r="L660" s="57" t="str">
        <f aca="false">IF('14 Labour &amp; Equipment'!$C$26="","",'14 Labour &amp; Equipment'!M26)</f>
        <v>Indicative</v>
      </c>
      <c r="M660" s="59" t="str">
        <f aca="false">IF(D660="","",IF(AND(OR(Search!$C$6="All Categories",A660=Search!$C$6),OR(Search!$P$5="",ISNUMBER(SEARCH(" "&amp;Search!$P$5,N660))),OR(Search!$P$6="",ISNUMBER(SEARCH(" "&amp;Search!$P$6,N660))),OR(Search!$P$7="",ISNUMBER(SEARCH(" "&amp;Search!$P$7,N660))),OR(Search!$P$8="",ISNUMBER(SEARCH(" "&amp;Search!$P$8,N660))),OR(Search!$P$9="",ISNUMBER(SEARCH(" "&amp;Search!$P$9,N660))),OR(Search!$P$10="",ISNUMBER(SEARCH(" "&amp;Search!$P$10,N660)))),ROW(),""))</f>
        <v/>
      </c>
      <c r="N660" s="0" t="str">
        <f aca="false">IF(D660="",""," "&amp;SUBSTITUTE(SUBSTITUTE(SUBSTITUTE(SUBSTITUTE(SUBSTITUTE(SUBSTITUTE(SUBSTITUTE(B660&amp;" "&amp;C660&amp;" "&amp;D660&amp;" "&amp;E660&amp;" "&amp;F660&amp;" "&amp;G660&amp;" "&amp;H660&amp;" "&amp;'14 Labour &amp; Equipment'!R26,"("," "),")"," "),"/"," "),"-"," "),","," "),";"," "),":"," ")&amp;" ")</f>
        <v> LB 022 Lifting &amp; Handling Mobile crane 50 ton 8 hr with operator   Rental co. day  </v>
      </c>
    </row>
    <row r="661" customFormat="false" ht="22.35" hidden="false" customHeight="false" outlineLevel="0" collapsed="false">
      <c r="A661" s="56" t="str">
        <f aca="false">IF('14 Labour &amp; Equipment'!$C$27="","","Labour, Equipment, Transport &amp; Misc. Costs")</f>
        <v>Labour, Equipment, Transport &amp; Misc. Costs</v>
      </c>
      <c r="B661" s="57" t="str">
        <f aca="false">IF('14 Labour &amp; Equipment'!$C$27="","",'14 Labour &amp; Equipment'!A27)</f>
        <v>LB-023</v>
      </c>
      <c r="C661" s="56" t="str">
        <f aca="false">IF('14 Labour &amp; Equipment'!$C$27="","",'14 Labour &amp; Equipment'!B27)</f>
        <v>Lifting &amp; Handling</v>
      </c>
      <c r="D661" s="56" t="str">
        <f aca="false">IF('14 Labour &amp; Equipment'!$C$27="","",'14 Labour &amp; Equipment'!C27)</f>
        <v>Glass vacuum lifter (manual)</v>
      </c>
      <c r="E661" s="56" t="str">
        <f aca="false">IF('14 Labour &amp; Equipment'!$C$27="","",'14 Labour &amp; Equipment'!D27)</f>
        <v>Daily hire</v>
      </c>
      <c r="F661" s="56" t="str">
        <f aca="false">IF('14 Labour &amp; Equipment'!$C$27="","",'14 Labour &amp; Equipment'!E27)</f>
        <v>-</v>
      </c>
      <c r="G661" s="56" t="str">
        <f aca="false">IF('14 Labour &amp; Equipment'!$C$27="","",'14 Labour &amp; Equipment'!F27)</f>
        <v>Rental co.</v>
      </c>
      <c r="H661" s="57" t="str">
        <f aca="false">IF('14 Labour &amp; Equipment'!$C$27="","",'14 Labour &amp; Equipment'!G27)</f>
        <v>day</v>
      </c>
      <c r="I661" s="58" t="n">
        <f aca="false">IF('14 Labour &amp; Equipment'!$C$27="","",'14 Labour &amp; Equipment'!J27)</f>
        <v>150</v>
      </c>
      <c r="J661" s="58" t="n">
        <f aca="false">IF('14 Labour &amp; Equipment'!$C$27="","",'14 Labour &amp; Equipment'!K27)</f>
        <v>180</v>
      </c>
      <c r="K661" s="58" t="n">
        <f aca="false">IF('14 Labour &amp; Equipment'!$C$27="","",'14 Labour &amp; Equipment'!L27)</f>
        <v>189</v>
      </c>
      <c r="L661" s="57" t="str">
        <f aca="false">IF('14 Labour &amp; Equipment'!$C$27="","",'14 Labour &amp; Equipment'!M27)</f>
        <v>Indicative</v>
      </c>
      <c r="M661" s="59" t="str">
        <f aca="false">IF(D661="","",IF(AND(OR(Search!$C$6="All Categories",A661=Search!$C$6),OR(Search!$P$5="",ISNUMBER(SEARCH(" "&amp;Search!$P$5,N661))),OR(Search!$P$6="",ISNUMBER(SEARCH(" "&amp;Search!$P$6,N661))),OR(Search!$P$7="",ISNUMBER(SEARCH(" "&amp;Search!$P$7,N661))),OR(Search!$P$8="",ISNUMBER(SEARCH(" "&amp;Search!$P$8,N661))),OR(Search!$P$9="",ISNUMBER(SEARCH(" "&amp;Search!$P$9,N661))),OR(Search!$P$10="",ISNUMBER(SEARCH(" "&amp;Search!$P$10,N661)))),ROW(),""))</f>
        <v/>
      </c>
      <c r="N661" s="0" t="str">
        <f aca="false">IF(D661="",""," "&amp;SUBSTITUTE(SUBSTITUTE(SUBSTITUTE(SUBSTITUTE(SUBSTITUTE(SUBSTITUTE(SUBSTITUTE(B661&amp;" "&amp;C661&amp;" "&amp;D661&amp;" "&amp;E661&amp;" "&amp;F661&amp;" "&amp;G661&amp;" "&amp;H661&amp;" "&amp;'14 Labour &amp; Equipment'!R27,"("," "),")"," "),"/"," "),"-"," "),","," "),";"," "),":"," ")&amp;" ")</f>
        <v> LB 023 Lifting &amp; Handling Glass vacuum lifter  manual  Daily hire   Rental co. day stainless steel </v>
      </c>
    </row>
    <row r="662" customFormat="false" ht="22.35" hidden="false" customHeight="false" outlineLevel="0" collapsed="false">
      <c r="A662" s="56" t="str">
        <f aca="false">IF('14 Labour &amp; Equipment'!$C$28="","","Labour, Equipment, Transport &amp; Misc. Costs")</f>
        <v>Labour, Equipment, Transport &amp; Misc. Costs</v>
      </c>
      <c r="B662" s="57" t="str">
        <f aca="false">IF('14 Labour &amp; Equipment'!$C$28="","",'14 Labour &amp; Equipment'!A28)</f>
        <v>LB-024</v>
      </c>
      <c r="C662" s="56" t="str">
        <f aca="false">IF('14 Labour &amp; Equipment'!$C$28="","",'14 Labour &amp; Equipment'!B28)</f>
        <v>Lifting &amp; Handling</v>
      </c>
      <c r="D662" s="56" t="str">
        <f aca="false">IF('14 Labour &amp; Equipment'!$C$28="","",'14 Labour &amp; Equipment'!C28)</f>
        <v>Glass vacuum lifter (mini crane / robot)</v>
      </c>
      <c r="E662" s="56" t="str">
        <f aca="false">IF('14 Labour &amp; Equipment'!$C$28="","",'14 Labour &amp; Equipment'!D28)</f>
        <v>Daily hire with operator</v>
      </c>
      <c r="F662" s="56" t="str">
        <f aca="false">IF('14 Labour &amp; Equipment'!$C$28="","",'14 Labour &amp; Equipment'!E28)</f>
        <v>-</v>
      </c>
      <c r="G662" s="56" t="str">
        <f aca="false">IF('14 Labour &amp; Equipment'!$C$28="","",'14 Labour &amp; Equipment'!F28)</f>
        <v>Rental co.</v>
      </c>
      <c r="H662" s="57" t="str">
        <f aca="false">IF('14 Labour &amp; Equipment'!$C$28="","",'14 Labour &amp; Equipment'!G28)</f>
        <v>day</v>
      </c>
      <c r="I662" s="58" t="n">
        <f aca="false">IF('14 Labour &amp; Equipment'!$C$28="","",'14 Labour &amp; Equipment'!J28)</f>
        <v>1600</v>
      </c>
      <c r="J662" s="58" t="n">
        <f aca="false">IF('14 Labour &amp; Equipment'!$C$28="","",'14 Labour &amp; Equipment'!K28)</f>
        <v>1920</v>
      </c>
      <c r="K662" s="58" t="n">
        <f aca="false">IF('14 Labour &amp; Equipment'!$C$28="","",'14 Labour &amp; Equipment'!L28)</f>
        <v>2016</v>
      </c>
      <c r="L662" s="57" t="str">
        <f aca="false">IF('14 Labour &amp; Equipment'!$C$28="","",'14 Labour &amp; Equipment'!M28)</f>
        <v>Indicative</v>
      </c>
      <c r="M662" s="59" t="str">
        <f aca="false">IF(D662="","",IF(AND(OR(Search!$C$6="All Categories",A662=Search!$C$6),OR(Search!$P$5="",ISNUMBER(SEARCH(" "&amp;Search!$P$5,N662))),OR(Search!$P$6="",ISNUMBER(SEARCH(" "&amp;Search!$P$6,N662))),OR(Search!$P$7="",ISNUMBER(SEARCH(" "&amp;Search!$P$7,N662))),OR(Search!$P$8="",ISNUMBER(SEARCH(" "&amp;Search!$P$8,N662))),OR(Search!$P$9="",ISNUMBER(SEARCH(" "&amp;Search!$P$9,N662))),OR(Search!$P$10="",ISNUMBER(SEARCH(" "&amp;Search!$P$10,N662)))),ROW(),""))</f>
        <v/>
      </c>
      <c r="N662" s="0" t="str">
        <f aca="false">IF(D662="",""," "&amp;SUBSTITUTE(SUBSTITUTE(SUBSTITUTE(SUBSTITUTE(SUBSTITUTE(SUBSTITUTE(SUBSTITUTE(B662&amp;" "&amp;C662&amp;" "&amp;D662&amp;" "&amp;E662&amp;" "&amp;F662&amp;" "&amp;G662&amp;" "&amp;H662&amp;" "&amp;'14 Labour &amp; Equipment'!R28,"("," "),")"," "),"/"," "),"-"," "),","," "),";"," "),":"," ")&amp;" ")</f>
        <v> LB 024 Lifting &amp; Handling Glass vacuum lifter  mini crane   robot  Daily hire with operator   Rental co. day stainless steel </v>
      </c>
    </row>
    <row r="663" customFormat="false" ht="22.35" hidden="false" customHeight="false" outlineLevel="0" collapsed="false">
      <c r="A663" s="56" t="str">
        <f aca="false">IF('14 Labour &amp; Equipment'!$C$29="","","Labour, Equipment, Transport &amp; Misc. Costs")</f>
        <v>Labour, Equipment, Transport &amp; Misc. Costs</v>
      </c>
      <c r="B663" s="57" t="str">
        <f aca="false">IF('14 Labour &amp; Equipment'!$C$29="","",'14 Labour &amp; Equipment'!A29)</f>
        <v>LB-025</v>
      </c>
      <c r="C663" s="56" t="str">
        <f aca="false">IF('14 Labour &amp; Equipment'!$C$29="","",'14 Labour &amp; Equipment'!B29)</f>
        <v>Lifting &amp; Handling</v>
      </c>
      <c r="D663" s="56" t="str">
        <f aca="false">IF('14 Labour &amp; Equipment'!$C$29="","",'14 Labour &amp; Equipment'!C29)</f>
        <v>Chain block / manual hoist</v>
      </c>
      <c r="E663" s="56" t="str">
        <f aca="false">IF('14 Labour &amp; Equipment'!$C$29="","",'14 Labour &amp; Equipment'!D29)</f>
        <v>Daily hire</v>
      </c>
      <c r="F663" s="56" t="str">
        <f aca="false">IF('14 Labour &amp; Equipment'!$C$29="","",'14 Labour &amp; Equipment'!E29)</f>
        <v>-</v>
      </c>
      <c r="G663" s="56" t="str">
        <f aca="false">IF('14 Labour &amp; Equipment'!$C$29="","",'14 Labour &amp; Equipment'!F29)</f>
        <v>Rental co.</v>
      </c>
      <c r="H663" s="57" t="str">
        <f aca="false">IF('14 Labour &amp; Equipment'!$C$29="","",'14 Labour &amp; Equipment'!G29)</f>
        <v>day</v>
      </c>
      <c r="I663" s="58" t="n">
        <f aca="false">IF('14 Labour &amp; Equipment'!$C$29="","",'14 Labour &amp; Equipment'!J29)</f>
        <v>60</v>
      </c>
      <c r="J663" s="58" t="n">
        <f aca="false">IF('14 Labour &amp; Equipment'!$C$29="","",'14 Labour &amp; Equipment'!K29)</f>
        <v>72</v>
      </c>
      <c r="K663" s="58" t="n">
        <f aca="false">IF('14 Labour &amp; Equipment'!$C$29="","",'14 Labour &amp; Equipment'!L29)</f>
        <v>75.6</v>
      </c>
      <c r="L663" s="57" t="str">
        <f aca="false">IF('14 Labour &amp; Equipment'!$C$29="","",'14 Labour &amp; Equipment'!M29)</f>
        <v>Indicative</v>
      </c>
      <c r="M663" s="59" t="str">
        <f aca="false">IF(D663="","",IF(AND(OR(Search!$C$6="All Categories",A663=Search!$C$6),OR(Search!$P$5="",ISNUMBER(SEARCH(" "&amp;Search!$P$5,N663))),OR(Search!$P$6="",ISNUMBER(SEARCH(" "&amp;Search!$P$6,N663))),OR(Search!$P$7="",ISNUMBER(SEARCH(" "&amp;Search!$P$7,N663))),OR(Search!$P$8="",ISNUMBER(SEARCH(" "&amp;Search!$P$8,N663))),OR(Search!$P$9="",ISNUMBER(SEARCH(" "&amp;Search!$P$9,N663))),OR(Search!$P$10="",ISNUMBER(SEARCH(" "&amp;Search!$P$10,N663)))),ROW(),""))</f>
        <v/>
      </c>
      <c r="N663" s="0" t="str">
        <f aca="false">IF(D663="",""," "&amp;SUBSTITUTE(SUBSTITUTE(SUBSTITUTE(SUBSTITUTE(SUBSTITUTE(SUBSTITUTE(SUBSTITUTE(B663&amp;" "&amp;C663&amp;" "&amp;D663&amp;" "&amp;E663&amp;" "&amp;F663&amp;" "&amp;G663&amp;" "&amp;H663&amp;" "&amp;'14 Labour &amp; Equipment'!R29,"("," "),")"," "),"/"," "),"-"," "),","," "),";"," "),":"," ")&amp;" ")</f>
        <v> LB 025 Lifting &amp; Handling Chain block   manual hoist Daily hire   Rental co. day  </v>
      </c>
    </row>
    <row r="664" customFormat="false" ht="22.35" hidden="false" customHeight="false" outlineLevel="0" collapsed="false">
      <c r="A664" s="56" t="str">
        <f aca="false">IF('14 Labour &amp; Equipment'!$C$30="","","Labour, Equipment, Transport &amp; Misc. Costs")</f>
        <v>Labour, Equipment, Transport &amp; Misc. Costs</v>
      </c>
      <c r="B664" s="57" t="str">
        <f aca="false">IF('14 Labour &amp; Equipment'!$C$30="","",'14 Labour &amp; Equipment'!A30)</f>
        <v>LB-026</v>
      </c>
      <c r="C664" s="56" t="str">
        <f aca="false">IF('14 Labour &amp; Equipment'!$C$30="","",'14 Labour &amp; Equipment'!B30)</f>
        <v>Transport</v>
      </c>
      <c r="D664" s="56" t="str">
        <f aca="false">IF('14 Labour &amp; Equipment'!$C$30="","",'14 Labour &amp; Equipment'!C30)</f>
        <v>Pickup trip (within city)</v>
      </c>
      <c r="E664" s="56" t="str">
        <f aca="false">IF('14 Labour &amp; Equipment'!$C$30="","",'14 Labour &amp; Equipment'!D30)</f>
        <v>Per trip</v>
      </c>
      <c r="F664" s="56" t="str">
        <f aca="false">IF('14 Labour &amp; Equipment'!$C$30="","",'14 Labour &amp; Equipment'!E30)</f>
        <v>-</v>
      </c>
      <c r="G664" s="56" t="str">
        <f aca="false">IF('14 Labour &amp; Equipment'!$C$30="","",'14 Labour &amp; Equipment'!F30)</f>
        <v>In-house</v>
      </c>
      <c r="H664" s="57" t="str">
        <f aca="false">IF('14 Labour &amp; Equipment'!$C$30="","",'14 Labour &amp; Equipment'!G30)</f>
        <v>trip</v>
      </c>
      <c r="I664" s="58" t="n">
        <f aca="false">IF('14 Labour &amp; Equipment'!$C$30="","",'14 Labour &amp; Equipment'!J30)</f>
        <v>200</v>
      </c>
      <c r="J664" s="58" t="n">
        <f aca="false">IF('14 Labour &amp; Equipment'!$C$30="","",'14 Labour &amp; Equipment'!K30)</f>
        <v>240</v>
      </c>
      <c r="K664" s="58" t="n">
        <f aca="false">IF('14 Labour &amp; Equipment'!$C$30="","",'14 Labour &amp; Equipment'!L30)</f>
        <v>252</v>
      </c>
      <c r="L664" s="57" t="str">
        <f aca="false">IF('14 Labour &amp; Equipment'!$C$30="","",'14 Labour &amp; Equipment'!M30)</f>
        <v>Indicative</v>
      </c>
      <c r="M664" s="59" t="str">
        <f aca="false">IF(D664="","",IF(AND(OR(Search!$C$6="All Categories",A664=Search!$C$6),OR(Search!$P$5="",ISNUMBER(SEARCH(" "&amp;Search!$P$5,N664))),OR(Search!$P$6="",ISNUMBER(SEARCH(" "&amp;Search!$P$6,N664))),OR(Search!$P$7="",ISNUMBER(SEARCH(" "&amp;Search!$P$7,N664))),OR(Search!$P$8="",ISNUMBER(SEARCH(" "&amp;Search!$P$8,N664))),OR(Search!$P$9="",ISNUMBER(SEARCH(" "&amp;Search!$P$9,N664))),OR(Search!$P$10="",ISNUMBER(SEARCH(" "&amp;Search!$P$10,N664)))),ROW(),""))</f>
        <v/>
      </c>
      <c r="N664" s="0" t="str">
        <f aca="false">IF(D664="",""," "&amp;SUBSTITUTE(SUBSTITUTE(SUBSTITUTE(SUBSTITUTE(SUBSTITUTE(SUBSTITUTE(SUBSTITUTE(B664&amp;" "&amp;C664&amp;" "&amp;D664&amp;" "&amp;E664&amp;" "&amp;F664&amp;" "&amp;G664&amp;" "&amp;H664&amp;" "&amp;'14 Labour &amp; Equipment'!R30,"("," "),")"," "),"/"," "),"-"," "),","," "),";"," "),":"," ")&amp;" ")</f>
        <v> LB 026 Transport Pickup trip  within city  Per trip   In house trip  </v>
      </c>
    </row>
    <row r="665" customFormat="false" ht="22.35" hidden="false" customHeight="false" outlineLevel="0" collapsed="false">
      <c r="A665" s="56" t="str">
        <f aca="false">IF('14 Labour &amp; Equipment'!$C$31="","","Labour, Equipment, Transport &amp; Misc. Costs")</f>
        <v>Labour, Equipment, Transport &amp; Misc. Costs</v>
      </c>
      <c r="B665" s="57" t="str">
        <f aca="false">IF('14 Labour &amp; Equipment'!$C$31="","",'14 Labour &amp; Equipment'!A31)</f>
        <v>LB-027</v>
      </c>
      <c r="C665" s="56" t="str">
        <f aca="false">IF('14 Labour &amp; Equipment'!$C$31="","",'14 Labour &amp; Equipment'!B31)</f>
        <v>Transport</v>
      </c>
      <c r="D665" s="56" t="str">
        <f aca="false">IF('14 Labour &amp; Equipment'!$C$31="","",'14 Labour &amp; Equipment'!C31)</f>
        <v>3-ton truck trip (within city)</v>
      </c>
      <c r="E665" s="56" t="str">
        <f aca="false">IF('14 Labour &amp; Equipment'!$C$31="","",'14 Labour &amp; Equipment'!D31)</f>
        <v>Per trip</v>
      </c>
      <c r="F665" s="56" t="str">
        <f aca="false">IF('14 Labour &amp; Equipment'!$C$31="","",'14 Labour &amp; Equipment'!E31)</f>
        <v>-</v>
      </c>
      <c r="G665" s="56" t="str">
        <f aca="false">IF('14 Labour &amp; Equipment'!$C$31="","",'14 Labour &amp; Equipment'!F31)</f>
        <v>In-house / Hired</v>
      </c>
      <c r="H665" s="57" t="str">
        <f aca="false">IF('14 Labour &amp; Equipment'!$C$31="","",'14 Labour &amp; Equipment'!G31)</f>
        <v>trip</v>
      </c>
      <c r="I665" s="58" t="n">
        <f aca="false">IF('14 Labour &amp; Equipment'!$C$31="","",'14 Labour &amp; Equipment'!J31)</f>
        <v>400</v>
      </c>
      <c r="J665" s="58" t="n">
        <f aca="false">IF('14 Labour &amp; Equipment'!$C$31="","",'14 Labour &amp; Equipment'!K31)</f>
        <v>480</v>
      </c>
      <c r="K665" s="58" t="n">
        <f aca="false">IF('14 Labour &amp; Equipment'!$C$31="","",'14 Labour &amp; Equipment'!L31)</f>
        <v>504</v>
      </c>
      <c r="L665" s="57" t="str">
        <f aca="false">IF('14 Labour &amp; Equipment'!$C$31="","",'14 Labour &amp; Equipment'!M31)</f>
        <v>Indicative</v>
      </c>
      <c r="M665" s="59" t="str">
        <f aca="false">IF(D665="","",IF(AND(OR(Search!$C$6="All Categories",A665=Search!$C$6),OR(Search!$P$5="",ISNUMBER(SEARCH(" "&amp;Search!$P$5,N665))),OR(Search!$P$6="",ISNUMBER(SEARCH(" "&amp;Search!$P$6,N665))),OR(Search!$P$7="",ISNUMBER(SEARCH(" "&amp;Search!$P$7,N665))),OR(Search!$P$8="",ISNUMBER(SEARCH(" "&amp;Search!$P$8,N665))),OR(Search!$P$9="",ISNUMBER(SEARCH(" "&amp;Search!$P$9,N665))),OR(Search!$P$10="",ISNUMBER(SEARCH(" "&amp;Search!$P$10,N665)))),ROW(),""))</f>
        <v/>
      </c>
      <c r="N665" s="0" t="str">
        <f aca="false">IF(D665="",""," "&amp;SUBSTITUTE(SUBSTITUTE(SUBSTITUTE(SUBSTITUTE(SUBSTITUTE(SUBSTITUTE(SUBSTITUTE(B665&amp;" "&amp;C665&amp;" "&amp;D665&amp;" "&amp;E665&amp;" "&amp;F665&amp;" "&amp;G665&amp;" "&amp;H665&amp;" "&amp;'14 Labour &amp; Equipment'!R31,"("," "),")"," "),"/"," "),"-"," "),","," "),";"," "),":"," ")&amp;" ")</f>
        <v> LB 027 Transport 3 ton truck trip  within city  Per trip   In house   Hired trip  </v>
      </c>
    </row>
    <row r="666" customFormat="false" ht="22.35" hidden="false" customHeight="false" outlineLevel="0" collapsed="false">
      <c r="A666" s="56" t="str">
        <f aca="false">IF('14 Labour &amp; Equipment'!$C$32="","","Labour, Equipment, Transport &amp; Misc. Costs")</f>
        <v>Labour, Equipment, Transport &amp; Misc. Costs</v>
      </c>
      <c r="B666" s="57" t="str">
        <f aca="false">IF('14 Labour &amp; Equipment'!$C$32="","",'14 Labour &amp; Equipment'!A32)</f>
        <v>LB-028</v>
      </c>
      <c r="C666" s="56" t="str">
        <f aca="false">IF('14 Labour &amp; Equipment'!$C$32="","",'14 Labour &amp; Equipment'!B32)</f>
        <v>Transport</v>
      </c>
      <c r="D666" s="56" t="str">
        <f aca="false">IF('14 Labour &amp; Equipment'!$C$32="","",'14 Labour &amp; Equipment'!C32)</f>
        <v>Flatbed trailer trip (inter-emirate)</v>
      </c>
      <c r="E666" s="56" t="str">
        <f aca="false">IF('14 Labour &amp; Equipment'!$C$32="","",'14 Labour &amp; Equipment'!D32)</f>
        <v>Per trip</v>
      </c>
      <c r="F666" s="56" t="str">
        <f aca="false">IF('14 Labour &amp; Equipment'!$C$32="","",'14 Labour &amp; Equipment'!E32)</f>
        <v>-</v>
      </c>
      <c r="G666" s="56" t="str">
        <f aca="false">IF('14 Labour &amp; Equipment'!$C$32="","",'14 Labour &amp; Equipment'!F32)</f>
        <v>Hired</v>
      </c>
      <c r="H666" s="57" t="str">
        <f aca="false">IF('14 Labour &amp; Equipment'!$C$32="","",'14 Labour &amp; Equipment'!G32)</f>
        <v>trip</v>
      </c>
      <c r="I666" s="58" t="n">
        <f aca="false">IF('14 Labour &amp; Equipment'!$C$32="","",'14 Labour &amp; Equipment'!J32)</f>
        <v>1500</v>
      </c>
      <c r="J666" s="58" t="n">
        <f aca="false">IF('14 Labour &amp; Equipment'!$C$32="","",'14 Labour &amp; Equipment'!K32)</f>
        <v>1800</v>
      </c>
      <c r="K666" s="58" t="n">
        <f aca="false">IF('14 Labour &amp; Equipment'!$C$32="","",'14 Labour &amp; Equipment'!L32)</f>
        <v>1890</v>
      </c>
      <c r="L666" s="57" t="str">
        <f aca="false">IF('14 Labour &amp; Equipment'!$C$32="","",'14 Labour &amp; Equipment'!M32)</f>
        <v>Indicative</v>
      </c>
      <c r="M666" s="59" t="str">
        <f aca="false">IF(D666="","",IF(AND(OR(Search!$C$6="All Categories",A666=Search!$C$6),OR(Search!$P$5="",ISNUMBER(SEARCH(" "&amp;Search!$P$5,N666))),OR(Search!$P$6="",ISNUMBER(SEARCH(" "&amp;Search!$P$6,N666))),OR(Search!$P$7="",ISNUMBER(SEARCH(" "&amp;Search!$P$7,N666))),OR(Search!$P$8="",ISNUMBER(SEARCH(" "&amp;Search!$P$8,N666))),OR(Search!$P$9="",ISNUMBER(SEARCH(" "&amp;Search!$P$9,N666))),OR(Search!$P$10="",ISNUMBER(SEARCH(" "&amp;Search!$P$10,N666)))),ROW(),""))</f>
        <v/>
      </c>
      <c r="N666" s="0" t="str">
        <f aca="false">IF(D666="",""," "&amp;SUBSTITUTE(SUBSTITUTE(SUBSTITUTE(SUBSTITUTE(SUBSTITUTE(SUBSTITUTE(SUBSTITUTE(B666&amp;" "&amp;C666&amp;" "&amp;D666&amp;" "&amp;E666&amp;" "&amp;F666&amp;" "&amp;G666&amp;" "&amp;H666&amp;" "&amp;'14 Labour &amp; Equipment'!R32,"("," "),")"," "),"/"," "),"-"," "),","," "),";"," "),":"," ")&amp;" ")</f>
        <v> LB 028 Transport Flatbed trailer trip  inter emirate  Per trip   Hired trip  </v>
      </c>
    </row>
    <row r="667" customFormat="false" ht="22.35" hidden="false" customHeight="false" outlineLevel="0" collapsed="false">
      <c r="A667" s="56" t="str">
        <f aca="false">IF('14 Labour &amp; Equipment'!$C$33="","","Labour, Equipment, Transport &amp; Misc. Costs")</f>
        <v>Labour, Equipment, Transport &amp; Misc. Costs</v>
      </c>
      <c r="B667" s="57" t="str">
        <f aca="false">IF('14 Labour &amp; Equipment'!$C$33="","",'14 Labour &amp; Equipment'!A33)</f>
        <v>LB-029</v>
      </c>
      <c r="C667" s="56" t="str">
        <f aca="false">IF('14 Labour &amp; Equipment'!$C$33="","",'14 Labour &amp; Equipment'!B33)</f>
        <v>Transport</v>
      </c>
      <c r="D667" s="56" t="str">
        <f aca="false">IF('14 Labour &amp; Equipment'!$C$33="","",'14 Labour &amp; Equipment'!C33)</f>
        <v>Glass A-frame truck trip</v>
      </c>
      <c r="E667" s="56" t="str">
        <f aca="false">IF('14 Labour &amp; Equipment'!$C$33="","",'14 Labour &amp; Equipment'!D33)</f>
        <v>Per trip</v>
      </c>
      <c r="F667" s="56" t="str">
        <f aca="false">IF('14 Labour &amp; Equipment'!$C$33="","",'14 Labour &amp; Equipment'!E33)</f>
        <v>-</v>
      </c>
      <c r="G667" s="56" t="str">
        <f aca="false">IF('14 Labour &amp; Equipment'!$C$33="","",'14 Labour &amp; Equipment'!F33)</f>
        <v>Hired</v>
      </c>
      <c r="H667" s="57" t="str">
        <f aca="false">IF('14 Labour &amp; Equipment'!$C$33="","",'14 Labour &amp; Equipment'!G33)</f>
        <v>trip</v>
      </c>
      <c r="I667" s="58" t="n">
        <f aca="false">IF('14 Labour &amp; Equipment'!$C$33="","",'14 Labour &amp; Equipment'!J33)</f>
        <v>800</v>
      </c>
      <c r="J667" s="58" t="n">
        <f aca="false">IF('14 Labour &amp; Equipment'!$C$33="","",'14 Labour &amp; Equipment'!K33)</f>
        <v>960</v>
      </c>
      <c r="K667" s="58" t="n">
        <f aca="false">IF('14 Labour &amp; Equipment'!$C$33="","",'14 Labour &amp; Equipment'!L33)</f>
        <v>1008</v>
      </c>
      <c r="L667" s="57" t="str">
        <f aca="false">IF('14 Labour &amp; Equipment'!$C$33="","",'14 Labour &amp; Equipment'!M33)</f>
        <v>Indicative</v>
      </c>
      <c r="M667" s="59" t="str">
        <f aca="false">IF(D667="","",IF(AND(OR(Search!$C$6="All Categories",A667=Search!$C$6),OR(Search!$P$5="",ISNUMBER(SEARCH(" "&amp;Search!$P$5,N667))),OR(Search!$P$6="",ISNUMBER(SEARCH(" "&amp;Search!$P$6,N667))),OR(Search!$P$7="",ISNUMBER(SEARCH(" "&amp;Search!$P$7,N667))),OR(Search!$P$8="",ISNUMBER(SEARCH(" "&amp;Search!$P$8,N667))),OR(Search!$P$9="",ISNUMBER(SEARCH(" "&amp;Search!$P$9,N667))),OR(Search!$P$10="",ISNUMBER(SEARCH(" "&amp;Search!$P$10,N667)))),ROW(),""))</f>
        <v/>
      </c>
      <c r="N667" s="0" t="str">
        <f aca="false">IF(D667="",""," "&amp;SUBSTITUTE(SUBSTITUTE(SUBSTITUTE(SUBSTITUTE(SUBSTITUTE(SUBSTITUTE(SUBSTITUTE(B667&amp;" "&amp;C667&amp;" "&amp;D667&amp;" "&amp;E667&amp;" "&amp;F667&amp;" "&amp;G667&amp;" "&amp;H667&amp;" "&amp;'14 Labour &amp; Equipment'!R33,"("," "),")"," "),"/"," "),"-"," "),","," "),";"," "),":"," ")&amp;" ")</f>
        <v> LB 029 Transport Glass A frame truck trip Per trip   Hired trip stainless steel </v>
      </c>
    </row>
    <row r="668" customFormat="false" ht="22.35" hidden="false" customHeight="false" outlineLevel="0" collapsed="false">
      <c r="A668" s="56" t="str">
        <f aca="false">IF('14 Labour &amp; Equipment'!$C$34="","","Labour, Equipment, Transport &amp; Misc. Costs")</f>
        <v>Labour, Equipment, Transport &amp; Misc. Costs</v>
      </c>
      <c r="B668" s="57" t="str">
        <f aca="false">IF('14 Labour &amp; Equipment'!$C$34="","",'14 Labour &amp; Equipment'!A34)</f>
        <v>LB-030</v>
      </c>
      <c r="C668" s="56" t="str">
        <f aca="false">IF('14 Labour &amp; Equipment'!$C$34="","",'14 Labour &amp; Equipment'!B34)</f>
        <v>Testing &amp; Approvals</v>
      </c>
      <c r="D668" s="56" t="str">
        <f aca="false">IF('14 Labour &amp; Equipment'!$C$34="","",'14 Labour &amp; Equipment'!C34)</f>
        <v>Site water test (AAMA 501.2)</v>
      </c>
      <c r="E668" s="56" t="str">
        <f aca="false">IF('14 Labour &amp; Equipment'!$C$34="","",'14 Labour &amp; Equipment'!D34)</f>
        <v>Per test</v>
      </c>
      <c r="F668" s="56" t="str">
        <f aca="false">IF('14 Labour &amp; Equipment'!$C$34="","",'14 Labour &amp; Equipment'!E34)</f>
        <v>-</v>
      </c>
      <c r="G668" s="56" t="str">
        <f aca="false">IF('14 Labour &amp; Equipment'!$C$34="","",'14 Labour &amp; Equipment'!F34)</f>
        <v>Third-party lab</v>
      </c>
      <c r="H668" s="57" t="str">
        <f aca="false">IF('14 Labour &amp; Equipment'!$C$34="","",'14 Labour &amp; Equipment'!G34)</f>
        <v>nos</v>
      </c>
      <c r="I668" s="58" t="n">
        <f aca="false">IF('14 Labour &amp; Equipment'!$C$34="","",'14 Labour &amp; Equipment'!J34)</f>
        <v>1500</v>
      </c>
      <c r="J668" s="58" t="n">
        <f aca="false">IF('14 Labour &amp; Equipment'!$C$34="","",'14 Labour &amp; Equipment'!K34)</f>
        <v>1800</v>
      </c>
      <c r="K668" s="58" t="n">
        <f aca="false">IF('14 Labour &amp; Equipment'!$C$34="","",'14 Labour &amp; Equipment'!L34)</f>
        <v>1890</v>
      </c>
      <c r="L668" s="57" t="str">
        <f aca="false">IF('14 Labour &amp; Equipment'!$C$34="","",'14 Labour &amp; Equipment'!M34)</f>
        <v>Indicative</v>
      </c>
      <c r="M668" s="59" t="str">
        <f aca="false">IF(D668="","",IF(AND(OR(Search!$C$6="All Categories",A668=Search!$C$6),OR(Search!$P$5="",ISNUMBER(SEARCH(" "&amp;Search!$P$5,N668))),OR(Search!$P$6="",ISNUMBER(SEARCH(" "&amp;Search!$P$6,N668))),OR(Search!$P$7="",ISNUMBER(SEARCH(" "&amp;Search!$P$7,N668))),OR(Search!$P$8="",ISNUMBER(SEARCH(" "&amp;Search!$P$8,N668))),OR(Search!$P$9="",ISNUMBER(SEARCH(" "&amp;Search!$P$9,N668))),OR(Search!$P$10="",ISNUMBER(SEARCH(" "&amp;Search!$P$10,N668)))),ROW(),""))</f>
        <v/>
      </c>
      <c r="N668" s="0" t="str">
        <f aca="false">IF(D668="",""," "&amp;SUBSTITUTE(SUBSTITUTE(SUBSTITUTE(SUBSTITUTE(SUBSTITUTE(SUBSTITUTE(SUBSTITUTE(B668&amp;" "&amp;C668&amp;" "&amp;D668&amp;" "&amp;E668&amp;" "&amp;F668&amp;" "&amp;G668&amp;" "&amp;H668&amp;" "&amp;'14 Labour &amp; Equipment'!R34,"("," "),")"," "),"/"," "),"-"," "),","," "),";"," "),":"," ")&amp;" ")</f>
        <v> LB 030 Testing &amp; Approvals Site water test  AAMA 501.2  Per test   Third party lab nos  </v>
      </c>
    </row>
    <row r="669" customFormat="false" ht="22.35" hidden="false" customHeight="false" outlineLevel="0" collapsed="false">
      <c r="A669" s="56" t="str">
        <f aca="false">IF('14 Labour &amp; Equipment'!$C$35="","","Labour, Equipment, Transport &amp; Misc. Costs")</f>
        <v>Labour, Equipment, Transport &amp; Misc. Costs</v>
      </c>
      <c r="B669" s="57" t="str">
        <f aca="false">IF('14 Labour &amp; Equipment'!$C$35="","",'14 Labour &amp; Equipment'!A35)</f>
        <v>LB-031</v>
      </c>
      <c r="C669" s="56" t="str">
        <f aca="false">IF('14 Labour &amp; Equipment'!$C$35="","",'14 Labour &amp; Equipment'!B35)</f>
        <v>Testing &amp; Approvals</v>
      </c>
      <c r="D669" s="56" t="str">
        <f aca="false">IF('14 Labour &amp; Equipment'!$C$35="","",'14 Labour &amp; Equipment'!C35)</f>
        <v>Anchor pull-out test</v>
      </c>
      <c r="E669" s="56" t="str">
        <f aca="false">IF('14 Labour &amp; Equipment'!$C$35="","",'14 Labour &amp; Equipment'!D35)</f>
        <v>Per anchor</v>
      </c>
      <c r="F669" s="56" t="str">
        <f aca="false">IF('14 Labour &amp; Equipment'!$C$35="","",'14 Labour &amp; Equipment'!E35)</f>
        <v>-</v>
      </c>
      <c r="G669" s="56" t="str">
        <f aca="false">IF('14 Labour &amp; Equipment'!$C$35="","",'14 Labour &amp; Equipment'!F35)</f>
        <v>Third-party lab</v>
      </c>
      <c r="H669" s="57" t="str">
        <f aca="false">IF('14 Labour &amp; Equipment'!$C$35="","",'14 Labour &amp; Equipment'!G35)</f>
        <v>nos</v>
      </c>
      <c r="I669" s="58" t="n">
        <f aca="false">IF('14 Labour &amp; Equipment'!$C$35="","",'14 Labour &amp; Equipment'!J35)</f>
        <v>250</v>
      </c>
      <c r="J669" s="58" t="n">
        <f aca="false">IF('14 Labour &amp; Equipment'!$C$35="","",'14 Labour &amp; Equipment'!K35)</f>
        <v>300</v>
      </c>
      <c r="K669" s="58" t="n">
        <f aca="false">IF('14 Labour &amp; Equipment'!$C$35="","",'14 Labour &amp; Equipment'!L35)</f>
        <v>315</v>
      </c>
      <c r="L669" s="57" t="str">
        <f aca="false">IF('14 Labour &amp; Equipment'!$C$35="","",'14 Labour &amp; Equipment'!M35)</f>
        <v>Indicative</v>
      </c>
      <c r="M669" s="59" t="str">
        <f aca="false">IF(D669="","",IF(AND(OR(Search!$C$6="All Categories",A669=Search!$C$6),OR(Search!$P$5="",ISNUMBER(SEARCH(" "&amp;Search!$P$5,N669))),OR(Search!$P$6="",ISNUMBER(SEARCH(" "&amp;Search!$P$6,N669))),OR(Search!$P$7="",ISNUMBER(SEARCH(" "&amp;Search!$P$7,N669))),OR(Search!$P$8="",ISNUMBER(SEARCH(" "&amp;Search!$P$8,N669))),OR(Search!$P$9="",ISNUMBER(SEARCH(" "&amp;Search!$P$9,N669))),OR(Search!$P$10="",ISNUMBER(SEARCH(" "&amp;Search!$P$10,N669)))),ROW(),""))</f>
        <v/>
      </c>
      <c r="N669" s="0" t="str">
        <f aca="false">IF(D669="",""," "&amp;SUBSTITUTE(SUBSTITUTE(SUBSTITUTE(SUBSTITUTE(SUBSTITUTE(SUBSTITUTE(SUBSTITUTE(B669&amp;" "&amp;C669&amp;" "&amp;D669&amp;" "&amp;E669&amp;" "&amp;F669&amp;" "&amp;G669&amp;" "&amp;H669&amp;" "&amp;'14 Labour &amp; Equipment'!R35,"("," "),")"," "),"/"," "),"-"," "),","," "),";"," "),":"," ")&amp;" ")</f>
        <v> LB 031 Testing &amp; Approvals Anchor pull out test Per anchor   Third party lab nos fixing fastener bolt </v>
      </c>
    </row>
    <row r="670" customFormat="false" ht="22.35" hidden="false" customHeight="false" outlineLevel="0" collapsed="false">
      <c r="A670" s="56" t="str">
        <f aca="false">IF('14 Labour &amp; Equipment'!$C$36="","","Labour, Equipment, Transport &amp; Misc. Costs")</f>
        <v>Labour, Equipment, Transport &amp; Misc. Costs</v>
      </c>
      <c r="B670" s="57" t="str">
        <f aca="false">IF('14 Labour &amp; Equipment'!$C$36="","",'14 Labour &amp; Equipment'!A36)</f>
        <v>LB-032</v>
      </c>
      <c r="C670" s="56" t="str">
        <f aca="false">IF('14 Labour &amp; Equipment'!$C$36="","",'14 Labour &amp; Equipment'!B36)</f>
        <v>Testing &amp; Approvals</v>
      </c>
      <c r="D670" s="56" t="str">
        <f aca="false">IF('14 Labour &amp; Equipment'!$C$36="","",'14 Labour &amp; Equipment'!C36)</f>
        <v>Structural calculations &amp; approval</v>
      </c>
      <c r="E670" s="56" t="str">
        <f aca="false">IF('14 Labour &amp; Equipment'!$C$36="","",'14 Labour &amp; Equipment'!D36)</f>
        <v>Per project</v>
      </c>
      <c r="F670" s="56" t="str">
        <f aca="false">IF('14 Labour &amp; Equipment'!$C$36="","",'14 Labour &amp; Equipment'!E36)</f>
        <v>-</v>
      </c>
      <c r="G670" s="56" t="str">
        <f aca="false">IF('14 Labour &amp; Equipment'!$C$36="","",'14 Labour &amp; Equipment'!F36)</f>
        <v>Consultant</v>
      </c>
      <c r="H670" s="57" t="str">
        <f aca="false">IF('14 Labour &amp; Equipment'!$C$36="","",'14 Labour &amp; Equipment'!G36)</f>
        <v>ls</v>
      </c>
      <c r="I670" s="58" t="n">
        <f aca="false">IF('14 Labour &amp; Equipment'!$C$36="","",'14 Labour &amp; Equipment'!J36)</f>
        <v>6000</v>
      </c>
      <c r="J670" s="58" t="n">
        <f aca="false">IF('14 Labour &amp; Equipment'!$C$36="","",'14 Labour &amp; Equipment'!K36)</f>
        <v>7200</v>
      </c>
      <c r="K670" s="58" t="n">
        <f aca="false">IF('14 Labour &amp; Equipment'!$C$36="","",'14 Labour &amp; Equipment'!L36)</f>
        <v>7560</v>
      </c>
      <c r="L670" s="57" t="str">
        <f aca="false">IF('14 Labour &amp; Equipment'!$C$36="","",'14 Labour &amp; Equipment'!M36)</f>
        <v>Indicative</v>
      </c>
      <c r="M670" s="59" t="str">
        <f aca="false">IF(D670="","",IF(AND(OR(Search!$C$6="All Categories",A670=Search!$C$6),OR(Search!$P$5="",ISNUMBER(SEARCH(" "&amp;Search!$P$5,N670))),OR(Search!$P$6="",ISNUMBER(SEARCH(" "&amp;Search!$P$6,N670))),OR(Search!$P$7="",ISNUMBER(SEARCH(" "&amp;Search!$P$7,N670))),OR(Search!$P$8="",ISNUMBER(SEARCH(" "&amp;Search!$P$8,N670))),OR(Search!$P$9="",ISNUMBER(SEARCH(" "&amp;Search!$P$9,N670))),OR(Search!$P$10="",ISNUMBER(SEARCH(" "&amp;Search!$P$10,N670)))),ROW(),""))</f>
        <v/>
      </c>
      <c r="N670" s="0" t="str">
        <f aca="false">IF(D670="",""," "&amp;SUBSTITUTE(SUBSTITUTE(SUBSTITUTE(SUBSTITUTE(SUBSTITUTE(SUBSTITUTE(SUBSTITUTE(B670&amp;" "&amp;C670&amp;" "&amp;D670&amp;" "&amp;E670&amp;" "&amp;F670&amp;" "&amp;G670&amp;" "&amp;H670&amp;" "&amp;'14 Labour &amp; Equipment'!R36,"("," "),")"," "),"/"," "),"-"," "),","," "),";"," "),":"," ")&amp;" ")</f>
        <v> LB 032 Testing &amp; Approvals Structural calculations &amp; approval Per project   Consultant ls  </v>
      </c>
    </row>
    <row r="671" customFormat="false" ht="22.35" hidden="false" customHeight="false" outlineLevel="0" collapsed="false">
      <c r="A671" s="56" t="str">
        <f aca="false">IF('14 Labour &amp; Equipment'!$C$37="","","Labour, Equipment, Transport &amp; Misc. Costs")</f>
        <v>Labour, Equipment, Transport &amp; Misc. Costs</v>
      </c>
      <c r="B671" s="57" t="str">
        <f aca="false">IF('14 Labour &amp; Equipment'!$C$37="","",'14 Labour &amp; Equipment'!A37)</f>
        <v>LB-033</v>
      </c>
      <c r="C671" s="56" t="str">
        <f aca="false">IF('14 Labour &amp; Equipment'!$C$37="","",'14 Labour &amp; Equipment'!B37)</f>
        <v>Testing &amp; Approvals</v>
      </c>
      <c r="D671" s="56" t="str">
        <f aca="false">IF('14 Labour &amp; Equipment'!$C$37="","",'14 Labour &amp; Equipment'!C37)</f>
        <v>Civil defence approval / certification</v>
      </c>
      <c r="E671" s="56" t="str">
        <f aca="false">IF('14 Labour &amp; Equipment'!$C$37="","",'14 Labour &amp; Equipment'!D37)</f>
        <v>Per project</v>
      </c>
      <c r="F671" s="56" t="str">
        <f aca="false">IF('14 Labour &amp; Equipment'!$C$37="","",'14 Labour &amp; Equipment'!E37)</f>
        <v>-</v>
      </c>
      <c r="G671" s="56" t="str">
        <f aca="false">IF('14 Labour &amp; Equipment'!$C$37="","",'14 Labour &amp; Equipment'!F37)</f>
        <v>Authority / Consultant</v>
      </c>
      <c r="H671" s="57" t="str">
        <f aca="false">IF('14 Labour &amp; Equipment'!$C$37="","",'14 Labour &amp; Equipment'!G37)</f>
        <v>ls</v>
      </c>
      <c r="I671" s="58" t="n">
        <f aca="false">IF('14 Labour &amp; Equipment'!$C$37="","",'14 Labour &amp; Equipment'!J37)</f>
        <v>3500</v>
      </c>
      <c r="J671" s="58" t="n">
        <f aca="false">IF('14 Labour &amp; Equipment'!$C$37="","",'14 Labour &amp; Equipment'!K37)</f>
        <v>4200</v>
      </c>
      <c r="K671" s="58" t="n">
        <f aca="false">IF('14 Labour &amp; Equipment'!$C$37="","",'14 Labour &amp; Equipment'!L37)</f>
        <v>4410</v>
      </c>
      <c r="L671" s="57" t="str">
        <f aca="false">IF('14 Labour &amp; Equipment'!$C$37="","",'14 Labour &amp; Equipment'!M37)</f>
        <v>Indicative</v>
      </c>
      <c r="M671" s="59" t="str">
        <f aca="false">IF(D671="","",IF(AND(OR(Search!$C$6="All Categories",A671=Search!$C$6),OR(Search!$P$5="",ISNUMBER(SEARCH(" "&amp;Search!$P$5,N671))),OR(Search!$P$6="",ISNUMBER(SEARCH(" "&amp;Search!$P$6,N671))),OR(Search!$P$7="",ISNUMBER(SEARCH(" "&amp;Search!$P$7,N671))),OR(Search!$P$8="",ISNUMBER(SEARCH(" "&amp;Search!$P$8,N671))),OR(Search!$P$9="",ISNUMBER(SEARCH(" "&amp;Search!$P$9,N671))),OR(Search!$P$10="",ISNUMBER(SEARCH(" "&amp;Search!$P$10,N671)))),ROW(),""))</f>
        <v/>
      </c>
      <c r="N671" s="0" t="str">
        <f aca="false">IF(D671="",""," "&amp;SUBSTITUTE(SUBSTITUTE(SUBSTITUTE(SUBSTITUTE(SUBSTITUTE(SUBSTITUTE(SUBSTITUTE(B671&amp;" "&amp;C671&amp;" "&amp;D671&amp;" "&amp;E671&amp;" "&amp;F671&amp;" "&amp;G671&amp;" "&amp;H671&amp;" "&amp;'14 Labour &amp; Equipment'!R37,"("," "),")"," "),"/"," "),"-"," "),","," "),";"," "),":"," ")&amp;" ")</f>
        <v> LB 033 Testing &amp; Approvals Civil defence approval   certification Per project   Authority   Consultant ls  </v>
      </c>
    </row>
    <row r="672" customFormat="false" ht="22.35" hidden="false" customHeight="false" outlineLevel="0" collapsed="false">
      <c r="A672" s="56" t="str">
        <f aca="false">IF('14 Labour &amp; Equipment'!$C$38="","","Labour, Equipment, Transport &amp; Misc. Costs")</f>
        <v>Labour, Equipment, Transport &amp; Misc. Costs</v>
      </c>
      <c r="B672" s="57" t="str">
        <f aca="false">IF('14 Labour &amp; Equipment'!$C$38="","",'14 Labour &amp; Equipment'!A38)</f>
        <v>LB-034</v>
      </c>
      <c r="C672" s="56" t="str">
        <f aca="false">IF('14 Labour &amp; Equipment'!$C$38="","",'14 Labour &amp; Equipment'!B38)</f>
        <v>Testing &amp; Approvals</v>
      </c>
      <c r="D672" s="56" t="str">
        <f aca="false">IF('14 Labour &amp; Equipment'!$C$38="","",'14 Labour &amp; Equipment'!C38)</f>
        <v>Shop drawings preparation</v>
      </c>
      <c r="E672" s="56" t="str">
        <f aca="false">IF('14 Labour &amp; Equipment'!$C$38="","",'14 Labour &amp; Equipment'!D38)</f>
        <v>Per sheet</v>
      </c>
      <c r="F672" s="56" t="str">
        <f aca="false">IF('14 Labour &amp; Equipment'!$C$38="","",'14 Labour &amp; Equipment'!E38)</f>
        <v>-</v>
      </c>
      <c r="G672" s="56" t="str">
        <f aca="false">IF('14 Labour &amp; Equipment'!$C$38="","",'14 Labour &amp; Equipment'!F38)</f>
        <v>In-house / Outsourced</v>
      </c>
      <c r="H672" s="57" t="str">
        <f aca="false">IF('14 Labour &amp; Equipment'!$C$38="","",'14 Labour &amp; Equipment'!G38)</f>
        <v>sheet</v>
      </c>
      <c r="I672" s="58" t="n">
        <f aca="false">IF('14 Labour &amp; Equipment'!$C$38="","",'14 Labour &amp; Equipment'!J38)</f>
        <v>150</v>
      </c>
      <c r="J672" s="58" t="n">
        <f aca="false">IF('14 Labour &amp; Equipment'!$C$38="","",'14 Labour &amp; Equipment'!K38)</f>
        <v>180</v>
      </c>
      <c r="K672" s="58" t="n">
        <f aca="false">IF('14 Labour &amp; Equipment'!$C$38="","",'14 Labour &amp; Equipment'!L38)</f>
        <v>189</v>
      </c>
      <c r="L672" s="57" t="str">
        <f aca="false">IF('14 Labour &amp; Equipment'!$C$38="","",'14 Labour &amp; Equipment'!M38)</f>
        <v>Indicative</v>
      </c>
      <c r="M672" s="59" t="str">
        <f aca="false">IF(D672="","",IF(AND(OR(Search!$C$6="All Categories",A672=Search!$C$6),OR(Search!$P$5="",ISNUMBER(SEARCH(" "&amp;Search!$P$5,N672))),OR(Search!$P$6="",ISNUMBER(SEARCH(" "&amp;Search!$P$6,N672))),OR(Search!$P$7="",ISNUMBER(SEARCH(" "&amp;Search!$P$7,N672))),OR(Search!$P$8="",ISNUMBER(SEARCH(" "&amp;Search!$P$8,N672))),OR(Search!$P$9="",ISNUMBER(SEARCH(" "&amp;Search!$P$9,N672))),OR(Search!$P$10="",ISNUMBER(SEARCH(" "&amp;Search!$P$10,N672)))),ROW(),""))</f>
        <v/>
      </c>
      <c r="N672" s="0" t="str">
        <f aca="false">IF(D672="",""," "&amp;SUBSTITUTE(SUBSTITUTE(SUBSTITUTE(SUBSTITUTE(SUBSTITUTE(SUBSTITUTE(SUBSTITUTE(B672&amp;" "&amp;C672&amp;" "&amp;D672&amp;" "&amp;E672&amp;" "&amp;F672&amp;" "&amp;G672&amp;" "&amp;H672&amp;" "&amp;'14 Labour &amp; Equipment'!R38,"("," "),")"," "),"/"," "),"-"," "),","," "),";"," "),":"," ")&amp;" ")</f>
        <v> LB 034 Testing &amp; Approvals Shop drawings preparation Per sheet   In house   Outsourced sheet  </v>
      </c>
    </row>
    <row r="673" customFormat="false" ht="22.35" hidden="false" customHeight="false" outlineLevel="0" collapsed="false">
      <c r="A673" s="56" t="str">
        <f aca="false">IF('14 Labour &amp; Equipment'!$C$39="","","Labour, Equipment, Transport &amp; Misc. Costs")</f>
        <v>Labour, Equipment, Transport &amp; Misc. Costs</v>
      </c>
      <c r="B673" s="57" t="str">
        <f aca="false">IF('14 Labour &amp; Equipment'!$C$39="","",'14 Labour &amp; Equipment'!A39)</f>
        <v>LB-035</v>
      </c>
      <c r="C673" s="56" t="str">
        <f aca="false">IF('14 Labour &amp; Equipment'!$C$39="","",'14 Labour &amp; Equipment'!B39)</f>
        <v>Testing &amp; Approvals</v>
      </c>
      <c r="D673" s="56" t="str">
        <f aca="false">IF('14 Labour &amp; Equipment'!$C$39="","",'14 Labour &amp; Equipment'!C39)</f>
        <v>Material samples &amp; mock-up</v>
      </c>
      <c r="E673" s="56" t="str">
        <f aca="false">IF('14 Labour &amp; Equipment'!$C$39="","",'14 Labour &amp; Equipment'!D39)</f>
        <v>Per project</v>
      </c>
      <c r="F673" s="56" t="str">
        <f aca="false">IF('14 Labour &amp; Equipment'!$C$39="","",'14 Labour &amp; Equipment'!E39)</f>
        <v>-</v>
      </c>
      <c r="G673" s="56" t="str">
        <f aca="false">IF('14 Labour &amp; Equipment'!$C$39="","",'14 Labour &amp; Equipment'!F39)</f>
        <v>In-house</v>
      </c>
      <c r="H673" s="57" t="str">
        <f aca="false">IF('14 Labour &amp; Equipment'!$C$39="","",'14 Labour &amp; Equipment'!G39)</f>
        <v>ls</v>
      </c>
      <c r="I673" s="58" t="n">
        <f aca="false">IF('14 Labour &amp; Equipment'!$C$39="","",'14 Labour &amp; Equipment'!J39)</f>
        <v>2500</v>
      </c>
      <c r="J673" s="58" t="n">
        <f aca="false">IF('14 Labour &amp; Equipment'!$C$39="","",'14 Labour &amp; Equipment'!K39)</f>
        <v>3000</v>
      </c>
      <c r="K673" s="58" t="n">
        <f aca="false">IF('14 Labour &amp; Equipment'!$C$39="","",'14 Labour &amp; Equipment'!L39)</f>
        <v>3150</v>
      </c>
      <c r="L673" s="57" t="str">
        <f aca="false">IF('14 Labour &amp; Equipment'!$C$39="","",'14 Labour &amp; Equipment'!M39)</f>
        <v>Indicative</v>
      </c>
      <c r="M673" s="59" t="str">
        <f aca="false">IF(D673="","",IF(AND(OR(Search!$C$6="All Categories",A673=Search!$C$6),OR(Search!$P$5="",ISNUMBER(SEARCH(" "&amp;Search!$P$5,N673))),OR(Search!$P$6="",ISNUMBER(SEARCH(" "&amp;Search!$P$6,N673))),OR(Search!$P$7="",ISNUMBER(SEARCH(" "&amp;Search!$P$7,N673))),OR(Search!$P$8="",ISNUMBER(SEARCH(" "&amp;Search!$P$8,N673))),OR(Search!$P$9="",ISNUMBER(SEARCH(" "&amp;Search!$P$9,N673))),OR(Search!$P$10="",ISNUMBER(SEARCH(" "&amp;Search!$P$10,N673)))),ROW(),""))</f>
        <v/>
      </c>
      <c r="N673" s="0" t="str">
        <f aca="false">IF(D673="",""," "&amp;SUBSTITUTE(SUBSTITUTE(SUBSTITUTE(SUBSTITUTE(SUBSTITUTE(SUBSTITUTE(SUBSTITUTE(B673&amp;" "&amp;C673&amp;" "&amp;D673&amp;" "&amp;E673&amp;" "&amp;F673&amp;" "&amp;G673&amp;" "&amp;H673&amp;" "&amp;'14 Labour &amp; Equipment'!R39,"("," "),")"," "),"/"," "),"-"," "),","," "),";"," "),":"," ")&amp;" ")</f>
        <v> LB 035 Testing &amp; Approvals Material samples &amp; mock up Per project   In house ls  </v>
      </c>
    </row>
    <row r="674" customFormat="false" ht="22.35" hidden="false" customHeight="false" outlineLevel="0" collapsed="false">
      <c r="A674" s="56" t="str">
        <f aca="false">IF('14 Labour &amp; Equipment'!$C$40="","","Labour, Equipment, Transport &amp; Misc. Costs")</f>
        <v>Labour, Equipment, Transport &amp; Misc. Costs</v>
      </c>
      <c r="B674" s="57" t="str">
        <f aca="false">IF('14 Labour &amp; Equipment'!$C$40="","",'14 Labour &amp; Equipment'!A40)</f>
        <v>LB-036</v>
      </c>
      <c r="C674" s="56" t="str">
        <f aca="false">IF('14 Labour &amp; Equipment'!$C$40="","",'14 Labour &amp; Equipment'!B40)</f>
        <v>Site Overheads</v>
      </c>
      <c r="D674" s="56" t="str">
        <f aca="false">IF('14 Labour &amp; Equipment'!$C$40="","",'14 Labour &amp; Equipment'!C40)</f>
        <v>Site storage / container</v>
      </c>
      <c r="E674" s="56" t="str">
        <f aca="false">IF('14 Labour &amp; Equipment'!$C$40="","",'14 Labour &amp; Equipment'!D40)</f>
        <v>Monthly</v>
      </c>
      <c r="F674" s="56" t="str">
        <f aca="false">IF('14 Labour &amp; Equipment'!$C$40="","",'14 Labour &amp; Equipment'!E40)</f>
        <v>-</v>
      </c>
      <c r="G674" s="56" t="str">
        <f aca="false">IF('14 Labour &amp; Equipment'!$C$40="","",'14 Labour &amp; Equipment'!F40)</f>
        <v>Rental co.</v>
      </c>
      <c r="H674" s="57" t="str">
        <f aca="false">IF('14 Labour &amp; Equipment'!$C$40="","",'14 Labour &amp; Equipment'!G40)</f>
        <v>month</v>
      </c>
      <c r="I674" s="58" t="n">
        <f aca="false">IF('14 Labour &amp; Equipment'!$C$40="","",'14 Labour &amp; Equipment'!J40)</f>
        <v>800</v>
      </c>
      <c r="J674" s="58" t="n">
        <f aca="false">IF('14 Labour &amp; Equipment'!$C$40="","",'14 Labour &amp; Equipment'!K40)</f>
        <v>960</v>
      </c>
      <c r="K674" s="58" t="n">
        <f aca="false">IF('14 Labour &amp; Equipment'!$C$40="","",'14 Labour &amp; Equipment'!L40)</f>
        <v>1008</v>
      </c>
      <c r="L674" s="57" t="str">
        <f aca="false">IF('14 Labour &amp; Equipment'!$C$40="","",'14 Labour &amp; Equipment'!M40)</f>
        <v>Indicative</v>
      </c>
      <c r="M674" s="59" t="str">
        <f aca="false">IF(D674="","",IF(AND(OR(Search!$C$6="All Categories",A674=Search!$C$6),OR(Search!$P$5="",ISNUMBER(SEARCH(" "&amp;Search!$P$5,N674))),OR(Search!$P$6="",ISNUMBER(SEARCH(" "&amp;Search!$P$6,N674))),OR(Search!$P$7="",ISNUMBER(SEARCH(" "&amp;Search!$P$7,N674))),OR(Search!$P$8="",ISNUMBER(SEARCH(" "&amp;Search!$P$8,N674))),OR(Search!$P$9="",ISNUMBER(SEARCH(" "&amp;Search!$P$9,N674))),OR(Search!$P$10="",ISNUMBER(SEARCH(" "&amp;Search!$P$10,N674)))),ROW(),""))</f>
        <v/>
      </c>
      <c r="N674" s="0" t="str">
        <f aca="false">IF(D674="",""," "&amp;SUBSTITUTE(SUBSTITUTE(SUBSTITUTE(SUBSTITUTE(SUBSTITUTE(SUBSTITUTE(SUBSTITUTE(B674&amp;" "&amp;C674&amp;" "&amp;D674&amp;" "&amp;E674&amp;" "&amp;F674&amp;" "&amp;G674&amp;" "&amp;H674&amp;" "&amp;'14 Labour &amp; Equipment'!R40,"("," "),")"," "),"/"," "),"-"," "),","," "),";"," "),":"," ")&amp;" ")</f>
        <v> LB 036 Site Overheads Site storage   container Monthly   Rental co. month  </v>
      </c>
    </row>
    <row r="675" customFormat="false" ht="22.35" hidden="false" customHeight="false" outlineLevel="0" collapsed="false">
      <c r="A675" s="56" t="str">
        <f aca="false">IF('14 Labour &amp; Equipment'!$C$41="","","Labour, Equipment, Transport &amp; Misc. Costs")</f>
        <v>Labour, Equipment, Transport &amp; Misc. Costs</v>
      </c>
      <c r="B675" s="57" t="str">
        <f aca="false">IF('14 Labour &amp; Equipment'!$C$41="","",'14 Labour &amp; Equipment'!A41)</f>
        <v>LB-037</v>
      </c>
      <c r="C675" s="56" t="str">
        <f aca="false">IF('14 Labour &amp; Equipment'!$C$41="","",'14 Labour &amp; Equipment'!B41)</f>
        <v>Site Overheads</v>
      </c>
      <c r="D675" s="56" t="str">
        <f aca="false">IF('14 Labour &amp; Equipment'!$C$41="","",'14 Labour &amp; Equipment'!C41)</f>
        <v>Protection &amp; cleaning on completion</v>
      </c>
      <c r="E675" s="56" t="str">
        <f aca="false">IF('14 Labour &amp; Equipment'!$C$41="","",'14 Labour &amp; Equipment'!D41)</f>
        <v>Per m2</v>
      </c>
      <c r="F675" s="56" t="str">
        <f aca="false">IF('14 Labour &amp; Equipment'!$C$41="","",'14 Labour &amp; Equipment'!E41)</f>
        <v>-</v>
      </c>
      <c r="G675" s="56" t="str">
        <f aca="false">IF('14 Labour &amp; Equipment'!$C$41="","",'14 Labour &amp; Equipment'!F41)</f>
        <v>In-house</v>
      </c>
      <c r="H675" s="57" t="str">
        <f aca="false">IF('14 Labour &amp; Equipment'!$C$41="","",'14 Labour &amp; Equipment'!G41)</f>
        <v>m2</v>
      </c>
      <c r="I675" s="58" t="n">
        <f aca="false">IF('14 Labour &amp; Equipment'!$C$41="","",'14 Labour &amp; Equipment'!J41)</f>
        <v>5</v>
      </c>
      <c r="J675" s="58" t="n">
        <f aca="false">IF('14 Labour &amp; Equipment'!$C$41="","",'14 Labour &amp; Equipment'!K41)</f>
        <v>6</v>
      </c>
      <c r="K675" s="58" t="n">
        <f aca="false">IF('14 Labour &amp; Equipment'!$C$41="","",'14 Labour &amp; Equipment'!L41)</f>
        <v>6.3</v>
      </c>
      <c r="L675" s="57" t="str">
        <f aca="false">IF('14 Labour &amp; Equipment'!$C$41="","",'14 Labour &amp; Equipment'!M41)</f>
        <v>Indicative</v>
      </c>
      <c r="M675" s="59" t="str">
        <f aca="false">IF(D675="","",IF(AND(OR(Search!$C$6="All Categories",A675=Search!$C$6),OR(Search!$P$5="",ISNUMBER(SEARCH(" "&amp;Search!$P$5,N675))),OR(Search!$P$6="",ISNUMBER(SEARCH(" "&amp;Search!$P$6,N675))),OR(Search!$P$7="",ISNUMBER(SEARCH(" "&amp;Search!$P$7,N675))),OR(Search!$P$8="",ISNUMBER(SEARCH(" "&amp;Search!$P$8,N675))),OR(Search!$P$9="",ISNUMBER(SEARCH(" "&amp;Search!$P$9,N675))),OR(Search!$P$10="",ISNUMBER(SEARCH(" "&amp;Search!$P$10,N675)))),ROW(),""))</f>
        <v/>
      </c>
      <c r="N675" s="0" t="str">
        <f aca="false">IF(D675="",""," "&amp;SUBSTITUTE(SUBSTITUTE(SUBSTITUTE(SUBSTITUTE(SUBSTITUTE(SUBSTITUTE(SUBSTITUTE(B675&amp;" "&amp;C675&amp;" "&amp;D675&amp;" "&amp;E675&amp;" "&amp;F675&amp;" "&amp;G675&amp;" "&amp;H675&amp;" "&amp;'14 Labour &amp; Equipment'!R41,"("," "),")"," "),"/"," "),"-"," "),","," "),";"," "),":"," ")&amp;" ")</f>
        <v> LB 037 Site Overheads Protection &amp; cleaning on completion Per m2   In house m2  </v>
      </c>
    </row>
    <row r="676" customFormat="false" ht="22.35" hidden="false" customHeight="false" outlineLevel="0" collapsed="false">
      <c r="A676" s="56" t="str">
        <f aca="false">IF('14 Labour &amp; Equipment'!$C$42="","","Labour, Equipment, Transport &amp; Misc. Costs")</f>
        <v>Labour, Equipment, Transport &amp; Misc. Costs</v>
      </c>
      <c r="B676" s="57" t="str">
        <f aca="false">IF('14 Labour &amp; Equipment'!$C$42="","",'14 Labour &amp; Equipment'!A42)</f>
        <v>LB-038</v>
      </c>
      <c r="C676" s="56" t="str">
        <f aca="false">IF('14 Labour &amp; Equipment'!$C$42="","",'14 Labour &amp; Equipment'!B42)</f>
        <v>Site Overheads</v>
      </c>
      <c r="D676" s="56" t="str">
        <f aca="false">IF('14 Labour &amp; Equipment'!$C$42="","",'14 Labour &amp; Equipment'!C42)</f>
        <v>Safety (PPE, signage, barricades)</v>
      </c>
      <c r="E676" s="56" t="str">
        <f aca="false">IF('14 Labour &amp; Equipment'!$C$42="","",'14 Labour &amp; Equipment'!D42)</f>
        <v>Per project</v>
      </c>
      <c r="F676" s="56" t="str">
        <f aca="false">IF('14 Labour &amp; Equipment'!$C$42="","",'14 Labour &amp; Equipment'!E42)</f>
        <v>-</v>
      </c>
      <c r="G676" s="56" t="str">
        <f aca="false">IF('14 Labour &amp; Equipment'!$C$42="","",'14 Labour &amp; Equipment'!F42)</f>
        <v>In-house</v>
      </c>
      <c r="H676" s="57" t="str">
        <f aca="false">IF('14 Labour &amp; Equipment'!$C$42="","",'14 Labour &amp; Equipment'!G42)</f>
        <v>ls</v>
      </c>
      <c r="I676" s="58" t="n">
        <f aca="false">IF('14 Labour &amp; Equipment'!$C$42="","",'14 Labour &amp; Equipment'!J42)</f>
        <v>1500</v>
      </c>
      <c r="J676" s="58" t="n">
        <f aca="false">IF('14 Labour &amp; Equipment'!$C$42="","",'14 Labour &amp; Equipment'!K42)</f>
        <v>1800</v>
      </c>
      <c r="K676" s="58" t="n">
        <f aca="false">IF('14 Labour &amp; Equipment'!$C$42="","",'14 Labour &amp; Equipment'!L42)</f>
        <v>1890</v>
      </c>
      <c r="L676" s="57" t="str">
        <f aca="false">IF('14 Labour &amp; Equipment'!$C$42="","",'14 Labour &amp; Equipment'!M42)</f>
        <v>Indicative</v>
      </c>
      <c r="M676" s="59" t="str">
        <f aca="false">IF(D676="","",IF(AND(OR(Search!$C$6="All Categories",A676=Search!$C$6),OR(Search!$P$5="",ISNUMBER(SEARCH(" "&amp;Search!$P$5,N676))),OR(Search!$P$6="",ISNUMBER(SEARCH(" "&amp;Search!$P$6,N676))),OR(Search!$P$7="",ISNUMBER(SEARCH(" "&amp;Search!$P$7,N676))),OR(Search!$P$8="",ISNUMBER(SEARCH(" "&amp;Search!$P$8,N676))),OR(Search!$P$9="",ISNUMBER(SEARCH(" "&amp;Search!$P$9,N676))),OR(Search!$P$10="",ISNUMBER(SEARCH(" "&amp;Search!$P$10,N676)))),ROW(),""))</f>
        <v/>
      </c>
      <c r="N676" s="0" t="str">
        <f aca="false">IF(D676="",""," "&amp;SUBSTITUTE(SUBSTITUTE(SUBSTITUTE(SUBSTITUTE(SUBSTITUTE(SUBSTITUTE(SUBSTITUTE(B676&amp;" "&amp;C676&amp;" "&amp;D676&amp;" "&amp;E676&amp;" "&amp;F676&amp;" "&amp;G676&amp;" "&amp;H676&amp;" "&amp;'14 Labour &amp; Equipment'!R42,"("," "),")"," "),"/"," "),"-"," "),","," "),";"," "),":"," ")&amp;" ")</f>
        <v> LB 038 Site Overheads Safety  PPE  signage  barricades  Per project   In house ls  </v>
      </c>
    </row>
    <row r="677" customFormat="false" ht="22.35" hidden="false" customHeight="false" outlineLevel="0" collapsed="false">
      <c r="A677" s="56" t="str">
        <f aca="false">IF('14 Labour &amp; Equipment'!$C$43="","","Labour, Equipment, Transport &amp; Misc. Costs")</f>
        <v>Labour, Equipment, Transport &amp; Misc. Costs</v>
      </c>
      <c r="B677" s="57" t="str">
        <f aca="false">IF('14 Labour &amp; Equipment'!$C$43="","",'14 Labour &amp; Equipment'!A43)</f>
        <v>LB-039</v>
      </c>
      <c r="C677" s="56" t="str">
        <f aca="false">IF('14 Labour &amp; Equipment'!$C$43="","",'14 Labour &amp; Equipment'!B43)</f>
        <v>Site Overheads</v>
      </c>
      <c r="D677" s="56" t="str">
        <f aca="false">IF('14 Labour &amp; Equipment'!$C$43="","",'14 Labour &amp; Equipment'!C43)</f>
        <v>Insurance (CAR / third party)</v>
      </c>
      <c r="E677" s="56" t="str">
        <f aca="false">IF('14 Labour &amp; Equipment'!$C$43="","",'14 Labour &amp; Equipment'!D43)</f>
        <v>% of contract value</v>
      </c>
      <c r="F677" s="56" t="str">
        <f aca="false">IF('14 Labour &amp; Equipment'!$C$43="","",'14 Labour &amp; Equipment'!E43)</f>
        <v>-</v>
      </c>
      <c r="G677" s="56" t="str">
        <f aca="false">IF('14 Labour &amp; Equipment'!$C$43="","",'14 Labour &amp; Equipment'!F43)</f>
        <v>Insurer</v>
      </c>
      <c r="H677" s="57" t="str">
        <f aca="false">IF('14 Labour &amp; Equipment'!$C$43="","",'14 Labour &amp; Equipment'!G43)</f>
        <v>%</v>
      </c>
      <c r="I677" s="58" t="n">
        <f aca="false">IF('14 Labour &amp; Equipment'!$C$43="","",'14 Labour &amp; Equipment'!J43)</f>
        <v>0.5</v>
      </c>
      <c r="J677" s="58" t="n">
        <f aca="false">IF('14 Labour &amp; Equipment'!$C$43="","",'14 Labour &amp; Equipment'!K43)</f>
        <v>0.6</v>
      </c>
      <c r="K677" s="58" t="n">
        <f aca="false">IF('14 Labour &amp; Equipment'!$C$43="","",'14 Labour &amp; Equipment'!L43)</f>
        <v>0.63</v>
      </c>
      <c r="L677" s="57" t="str">
        <f aca="false">IF('14 Labour &amp; Equipment'!$C$43="","",'14 Labour &amp; Equipment'!M43)</f>
        <v>Indicative</v>
      </c>
      <c r="M677" s="59" t="str">
        <f aca="false">IF(D677="","",IF(AND(OR(Search!$C$6="All Categories",A677=Search!$C$6),OR(Search!$P$5="",ISNUMBER(SEARCH(" "&amp;Search!$P$5,N677))),OR(Search!$P$6="",ISNUMBER(SEARCH(" "&amp;Search!$P$6,N677))),OR(Search!$P$7="",ISNUMBER(SEARCH(" "&amp;Search!$P$7,N677))),OR(Search!$P$8="",ISNUMBER(SEARCH(" "&amp;Search!$P$8,N677))),OR(Search!$P$9="",ISNUMBER(SEARCH(" "&amp;Search!$P$9,N677))),OR(Search!$P$10="",ISNUMBER(SEARCH(" "&amp;Search!$P$10,N677)))),ROW(),""))</f>
        <v/>
      </c>
      <c r="N677" s="0" t="str">
        <f aca="false">IF(D677="",""," "&amp;SUBSTITUTE(SUBSTITUTE(SUBSTITUTE(SUBSTITUTE(SUBSTITUTE(SUBSTITUTE(SUBSTITUTE(B677&amp;" "&amp;C677&amp;" "&amp;D677&amp;" "&amp;E677&amp;" "&amp;F677&amp;" "&amp;G677&amp;" "&amp;H677&amp;" "&amp;'14 Labour &amp; Equipment'!R43,"("," "),")"," "),"/"," "),"-"," "),","," "),";"," "),":"," ")&amp;" ")</f>
        <v> LB 039 Site Overheads Insurance  CAR   third party  % of contract value   Insurer %  </v>
      </c>
    </row>
    <row r="678" customFormat="false" ht="22.35" hidden="false" customHeight="false" outlineLevel="0" collapsed="false">
      <c r="A678" s="56" t="str">
        <f aca="false">IF('14 Labour &amp; Equipment'!$C$44="","","Labour, Equipment, Transport &amp; Misc. Costs")</f>
        <v>Labour, Equipment, Transport &amp; Misc. Costs</v>
      </c>
      <c r="B678" s="57" t="str">
        <f aca="false">IF('14 Labour &amp; Equipment'!$C$44="","",'14 Labour &amp; Equipment'!A44)</f>
        <v>LB-040</v>
      </c>
      <c r="C678" s="56" t="str">
        <f aca="false">IF('14 Labour &amp; Equipment'!$C$44="","",'14 Labour &amp; Equipment'!B44)</f>
        <v>Site Overheads</v>
      </c>
      <c r="D678" s="56" t="str">
        <f aca="false">IF('14 Labour &amp; Equipment'!$C$44="","",'14 Labour &amp; Equipment'!C44)</f>
        <v>Performance / advance bank guarantee charges</v>
      </c>
      <c r="E678" s="56" t="str">
        <f aca="false">IF('14 Labour &amp; Equipment'!$C$44="","",'14 Labour &amp; Equipment'!D44)</f>
        <v>% p.a. of guarantee</v>
      </c>
      <c r="F678" s="56" t="str">
        <f aca="false">IF('14 Labour &amp; Equipment'!$C$44="","",'14 Labour &amp; Equipment'!E44)</f>
        <v>-</v>
      </c>
      <c r="G678" s="56" t="str">
        <f aca="false">IF('14 Labour &amp; Equipment'!$C$44="","",'14 Labour &amp; Equipment'!F44)</f>
        <v>Bank</v>
      </c>
      <c r="H678" s="57" t="str">
        <f aca="false">IF('14 Labour &amp; Equipment'!$C$44="","",'14 Labour &amp; Equipment'!G44)</f>
        <v>%</v>
      </c>
      <c r="I678" s="58" t="n">
        <f aca="false">IF('14 Labour &amp; Equipment'!$C$44="","",'14 Labour &amp; Equipment'!J44)</f>
        <v>1.5</v>
      </c>
      <c r="J678" s="58" t="n">
        <f aca="false">IF('14 Labour &amp; Equipment'!$C$44="","",'14 Labour &amp; Equipment'!K44)</f>
        <v>1.8</v>
      </c>
      <c r="K678" s="58" t="n">
        <f aca="false">IF('14 Labour &amp; Equipment'!$C$44="","",'14 Labour &amp; Equipment'!L44)</f>
        <v>1.89</v>
      </c>
      <c r="L678" s="57" t="str">
        <f aca="false">IF('14 Labour &amp; Equipment'!$C$44="","",'14 Labour &amp; Equipment'!M44)</f>
        <v>Indicative</v>
      </c>
      <c r="M678" s="59" t="str">
        <f aca="false">IF(D678="","",IF(AND(OR(Search!$C$6="All Categories",A678=Search!$C$6),OR(Search!$P$5="",ISNUMBER(SEARCH(" "&amp;Search!$P$5,N678))),OR(Search!$P$6="",ISNUMBER(SEARCH(" "&amp;Search!$P$6,N678))),OR(Search!$P$7="",ISNUMBER(SEARCH(" "&amp;Search!$P$7,N678))),OR(Search!$P$8="",ISNUMBER(SEARCH(" "&amp;Search!$P$8,N678))),OR(Search!$P$9="",ISNUMBER(SEARCH(" "&amp;Search!$P$9,N678))),OR(Search!$P$10="",ISNUMBER(SEARCH(" "&amp;Search!$P$10,N678)))),ROW(),""))</f>
        <v/>
      </c>
      <c r="N678" s="0" t="str">
        <f aca="false">IF(D678="",""," "&amp;SUBSTITUTE(SUBSTITUTE(SUBSTITUTE(SUBSTITUTE(SUBSTITUTE(SUBSTITUTE(SUBSTITUTE(B678&amp;" "&amp;C678&amp;" "&amp;D678&amp;" "&amp;E678&amp;" "&amp;F678&amp;" "&amp;G678&amp;" "&amp;H678&amp;" "&amp;'14 Labour &amp; Equipment'!R44,"("," "),")"," "),"/"," "),"-"," "),","," "),";"," "),":"," ")&amp;" ")</f>
        <v> LB 040 Site Overheads Performance   advance bank guarantee charges % p.a. of guarantee   Bank %  </v>
      </c>
    </row>
    <row r="679" customFormat="false" ht="15" hidden="false" customHeight="false" outlineLevel="0" collapsed="false">
      <c r="A679" s="56" t="str">
        <f aca="false">IF('14 Labour &amp; Equipment'!$C$45="","","Labour, Equipment, Transport &amp; Misc. Costs")</f>
        <v/>
      </c>
      <c r="B679" s="57" t="str">
        <f aca="false">IF('14 Labour &amp; Equipment'!$C$45="","",'14 Labour &amp; Equipment'!A45)</f>
        <v/>
      </c>
      <c r="C679" s="56" t="str">
        <f aca="false">IF('14 Labour &amp; Equipment'!$C$45="","",'14 Labour &amp; Equipment'!B45)</f>
        <v/>
      </c>
      <c r="D679" s="56" t="str">
        <f aca="false">IF('14 Labour &amp; Equipment'!$C$45="","",'14 Labour &amp; Equipment'!C45)</f>
        <v/>
      </c>
      <c r="E679" s="56" t="str">
        <f aca="false">IF('14 Labour &amp; Equipment'!$C$45="","",'14 Labour &amp; Equipment'!D45)</f>
        <v/>
      </c>
      <c r="F679" s="56" t="str">
        <f aca="false">IF('14 Labour &amp; Equipment'!$C$45="","",'14 Labour &amp; Equipment'!E45)</f>
        <v/>
      </c>
      <c r="G679" s="56" t="str">
        <f aca="false">IF('14 Labour &amp; Equipment'!$C$45="","",'14 Labour &amp; Equipment'!F45)</f>
        <v/>
      </c>
      <c r="H679" s="57" t="str">
        <f aca="false">IF('14 Labour &amp; Equipment'!$C$45="","",'14 Labour &amp; Equipment'!G45)</f>
        <v/>
      </c>
      <c r="I679" s="58" t="str">
        <f aca="false">IF('14 Labour &amp; Equipment'!$C$45="","",'14 Labour &amp; Equipment'!J45)</f>
        <v/>
      </c>
      <c r="J679" s="58" t="str">
        <f aca="false">IF('14 Labour &amp; Equipment'!$C$45="","",'14 Labour &amp; Equipment'!K45)</f>
        <v/>
      </c>
      <c r="K679" s="58" t="str">
        <f aca="false">IF('14 Labour &amp; Equipment'!$C$45="","",'14 Labour &amp; Equipment'!L45)</f>
        <v/>
      </c>
      <c r="L679" s="57" t="str">
        <f aca="false">IF('14 Labour &amp; Equipment'!$C$45="","",'14 Labour &amp; Equipment'!M45)</f>
        <v/>
      </c>
      <c r="M679" s="59" t="str">
        <f aca="false">IF(D679="","",IF(AND(OR(Search!$C$6="All Categories",A679=Search!$C$6),OR(Search!$P$5="",ISNUMBER(SEARCH(" "&amp;Search!$P$5,N679))),OR(Search!$P$6="",ISNUMBER(SEARCH(" "&amp;Search!$P$6,N679))),OR(Search!$P$7="",ISNUMBER(SEARCH(" "&amp;Search!$P$7,N679))),OR(Search!$P$8="",ISNUMBER(SEARCH(" "&amp;Search!$P$8,N679))),OR(Search!$P$9="",ISNUMBER(SEARCH(" "&amp;Search!$P$9,N679))),OR(Search!$P$10="",ISNUMBER(SEARCH(" "&amp;Search!$P$10,N679)))),ROW(),""))</f>
        <v/>
      </c>
      <c r="N679" s="0" t="str">
        <f aca="false">IF(D679="",""," "&amp;SUBSTITUTE(SUBSTITUTE(SUBSTITUTE(SUBSTITUTE(SUBSTITUTE(SUBSTITUTE(SUBSTITUTE(B679&amp;" "&amp;C679&amp;" "&amp;D679&amp;" "&amp;E679&amp;" "&amp;F679&amp;" "&amp;G679&amp;" "&amp;H679&amp;" "&amp;'14 Labour &amp; Equipment'!R45,"("," "),")"," "),"/"," "),"-"," "),","," "),";"," "),":"," ")&amp;" ")</f>
        <v/>
      </c>
    </row>
    <row r="680" customFormat="false" ht="15" hidden="false" customHeight="false" outlineLevel="0" collapsed="false">
      <c r="A680" s="56" t="str">
        <f aca="false">IF('14 Labour &amp; Equipment'!$C$46="","","Labour, Equipment, Transport &amp; Misc. Costs")</f>
        <v/>
      </c>
      <c r="B680" s="57" t="str">
        <f aca="false">IF('14 Labour &amp; Equipment'!$C$46="","",'14 Labour &amp; Equipment'!A46)</f>
        <v/>
      </c>
      <c r="C680" s="56" t="str">
        <f aca="false">IF('14 Labour &amp; Equipment'!$C$46="","",'14 Labour &amp; Equipment'!B46)</f>
        <v/>
      </c>
      <c r="D680" s="56" t="str">
        <f aca="false">IF('14 Labour &amp; Equipment'!$C$46="","",'14 Labour &amp; Equipment'!C46)</f>
        <v/>
      </c>
      <c r="E680" s="56" t="str">
        <f aca="false">IF('14 Labour &amp; Equipment'!$C$46="","",'14 Labour &amp; Equipment'!D46)</f>
        <v/>
      </c>
      <c r="F680" s="56" t="str">
        <f aca="false">IF('14 Labour &amp; Equipment'!$C$46="","",'14 Labour &amp; Equipment'!E46)</f>
        <v/>
      </c>
      <c r="G680" s="56" t="str">
        <f aca="false">IF('14 Labour &amp; Equipment'!$C$46="","",'14 Labour &amp; Equipment'!F46)</f>
        <v/>
      </c>
      <c r="H680" s="57" t="str">
        <f aca="false">IF('14 Labour &amp; Equipment'!$C$46="","",'14 Labour &amp; Equipment'!G46)</f>
        <v/>
      </c>
      <c r="I680" s="58" t="str">
        <f aca="false">IF('14 Labour &amp; Equipment'!$C$46="","",'14 Labour &amp; Equipment'!J46)</f>
        <v/>
      </c>
      <c r="J680" s="58" t="str">
        <f aca="false">IF('14 Labour &amp; Equipment'!$C$46="","",'14 Labour &amp; Equipment'!K46)</f>
        <v/>
      </c>
      <c r="K680" s="58" t="str">
        <f aca="false">IF('14 Labour &amp; Equipment'!$C$46="","",'14 Labour &amp; Equipment'!L46)</f>
        <v/>
      </c>
      <c r="L680" s="57" t="str">
        <f aca="false">IF('14 Labour &amp; Equipment'!$C$46="","",'14 Labour &amp; Equipment'!M46)</f>
        <v/>
      </c>
      <c r="M680" s="59" t="str">
        <f aca="false">IF(D680="","",IF(AND(OR(Search!$C$6="All Categories",A680=Search!$C$6),OR(Search!$P$5="",ISNUMBER(SEARCH(" "&amp;Search!$P$5,N680))),OR(Search!$P$6="",ISNUMBER(SEARCH(" "&amp;Search!$P$6,N680))),OR(Search!$P$7="",ISNUMBER(SEARCH(" "&amp;Search!$P$7,N680))),OR(Search!$P$8="",ISNUMBER(SEARCH(" "&amp;Search!$P$8,N680))),OR(Search!$P$9="",ISNUMBER(SEARCH(" "&amp;Search!$P$9,N680))),OR(Search!$P$10="",ISNUMBER(SEARCH(" "&amp;Search!$P$10,N680)))),ROW(),""))</f>
        <v/>
      </c>
      <c r="N680" s="0" t="str">
        <f aca="false">IF(D680="",""," "&amp;SUBSTITUTE(SUBSTITUTE(SUBSTITUTE(SUBSTITUTE(SUBSTITUTE(SUBSTITUTE(SUBSTITUTE(B680&amp;" "&amp;C680&amp;" "&amp;D680&amp;" "&amp;E680&amp;" "&amp;F680&amp;" "&amp;G680&amp;" "&amp;H680&amp;" "&amp;'14 Labour &amp; Equipment'!R46,"("," "),")"," "),"/"," "),"-"," "),","," "),";"," "),":"," ")&amp;" ")</f>
        <v/>
      </c>
    </row>
    <row r="681" customFormat="false" ht="15" hidden="false" customHeight="false" outlineLevel="0" collapsed="false">
      <c r="A681" s="56" t="str">
        <f aca="false">IF('14 Labour &amp; Equipment'!$C$47="","","Labour, Equipment, Transport &amp; Misc. Costs")</f>
        <v/>
      </c>
      <c r="B681" s="57" t="str">
        <f aca="false">IF('14 Labour &amp; Equipment'!$C$47="","",'14 Labour &amp; Equipment'!A47)</f>
        <v/>
      </c>
      <c r="C681" s="56" t="str">
        <f aca="false">IF('14 Labour &amp; Equipment'!$C$47="","",'14 Labour &amp; Equipment'!B47)</f>
        <v/>
      </c>
      <c r="D681" s="56" t="str">
        <f aca="false">IF('14 Labour &amp; Equipment'!$C$47="","",'14 Labour &amp; Equipment'!C47)</f>
        <v/>
      </c>
      <c r="E681" s="56" t="str">
        <f aca="false">IF('14 Labour &amp; Equipment'!$C$47="","",'14 Labour &amp; Equipment'!D47)</f>
        <v/>
      </c>
      <c r="F681" s="56" t="str">
        <f aca="false">IF('14 Labour &amp; Equipment'!$C$47="","",'14 Labour &amp; Equipment'!E47)</f>
        <v/>
      </c>
      <c r="G681" s="56" t="str">
        <f aca="false">IF('14 Labour &amp; Equipment'!$C$47="","",'14 Labour &amp; Equipment'!F47)</f>
        <v/>
      </c>
      <c r="H681" s="57" t="str">
        <f aca="false">IF('14 Labour &amp; Equipment'!$C$47="","",'14 Labour &amp; Equipment'!G47)</f>
        <v/>
      </c>
      <c r="I681" s="58" t="str">
        <f aca="false">IF('14 Labour &amp; Equipment'!$C$47="","",'14 Labour &amp; Equipment'!J47)</f>
        <v/>
      </c>
      <c r="J681" s="58" t="str">
        <f aca="false">IF('14 Labour &amp; Equipment'!$C$47="","",'14 Labour &amp; Equipment'!K47)</f>
        <v/>
      </c>
      <c r="K681" s="58" t="str">
        <f aca="false">IF('14 Labour &amp; Equipment'!$C$47="","",'14 Labour &amp; Equipment'!L47)</f>
        <v/>
      </c>
      <c r="L681" s="57" t="str">
        <f aca="false">IF('14 Labour &amp; Equipment'!$C$47="","",'14 Labour &amp; Equipment'!M47)</f>
        <v/>
      </c>
      <c r="M681" s="59" t="str">
        <f aca="false">IF(D681="","",IF(AND(OR(Search!$C$6="All Categories",A681=Search!$C$6),OR(Search!$P$5="",ISNUMBER(SEARCH(" "&amp;Search!$P$5,N681))),OR(Search!$P$6="",ISNUMBER(SEARCH(" "&amp;Search!$P$6,N681))),OR(Search!$P$7="",ISNUMBER(SEARCH(" "&amp;Search!$P$7,N681))),OR(Search!$P$8="",ISNUMBER(SEARCH(" "&amp;Search!$P$8,N681))),OR(Search!$P$9="",ISNUMBER(SEARCH(" "&amp;Search!$P$9,N681))),OR(Search!$P$10="",ISNUMBER(SEARCH(" "&amp;Search!$P$10,N681)))),ROW(),""))</f>
        <v/>
      </c>
      <c r="N681" s="0" t="str">
        <f aca="false">IF(D681="",""," "&amp;SUBSTITUTE(SUBSTITUTE(SUBSTITUTE(SUBSTITUTE(SUBSTITUTE(SUBSTITUTE(SUBSTITUTE(B681&amp;" "&amp;C681&amp;" "&amp;D681&amp;" "&amp;E681&amp;" "&amp;F681&amp;" "&amp;G681&amp;" "&amp;H681&amp;" "&amp;'14 Labour &amp; Equipment'!R47,"("," "),")"," "),"/"," "),"-"," "),","," "),";"," "),":"," ")&amp;" ")</f>
        <v/>
      </c>
    </row>
    <row r="682" customFormat="false" ht="15" hidden="false" customHeight="false" outlineLevel="0" collapsed="false">
      <c r="A682" s="56" t="str">
        <f aca="false">IF('14 Labour &amp; Equipment'!$C$48="","","Labour, Equipment, Transport &amp; Misc. Costs")</f>
        <v/>
      </c>
      <c r="B682" s="57" t="str">
        <f aca="false">IF('14 Labour &amp; Equipment'!$C$48="","",'14 Labour &amp; Equipment'!A48)</f>
        <v/>
      </c>
      <c r="C682" s="56" t="str">
        <f aca="false">IF('14 Labour &amp; Equipment'!$C$48="","",'14 Labour &amp; Equipment'!B48)</f>
        <v/>
      </c>
      <c r="D682" s="56" t="str">
        <f aca="false">IF('14 Labour &amp; Equipment'!$C$48="","",'14 Labour &amp; Equipment'!C48)</f>
        <v/>
      </c>
      <c r="E682" s="56" t="str">
        <f aca="false">IF('14 Labour &amp; Equipment'!$C$48="","",'14 Labour &amp; Equipment'!D48)</f>
        <v/>
      </c>
      <c r="F682" s="56" t="str">
        <f aca="false">IF('14 Labour &amp; Equipment'!$C$48="","",'14 Labour &amp; Equipment'!E48)</f>
        <v/>
      </c>
      <c r="G682" s="56" t="str">
        <f aca="false">IF('14 Labour &amp; Equipment'!$C$48="","",'14 Labour &amp; Equipment'!F48)</f>
        <v/>
      </c>
      <c r="H682" s="57" t="str">
        <f aca="false">IF('14 Labour &amp; Equipment'!$C$48="","",'14 Labour &amp; Equipment'!G48)</f>
        <v/>
      </c>
      <c r="I682" s="58" t="str">
        <f aca="false">IF('14 Labour &amp; Equipment'!$C$48="","",'14 Labour &amp; Equipment'!J48)</f>
        <v/>
      </c>
      <c r="J682" s="58" t="str">
        <f aca="false">IF('14 Labour &amp; Equipment'!$C$48="","",'14 Labour &amp; Equipment'!K48)</f>
        <v/>
      </c>
      <c r="K682" s="58" t="str">
        <f aca="false">IF('14 Labour &amp; Equipment'!$C$48="","",'14 Labour &amp; Equipment'!L48)</f>
        <v/>
      </c>
      <c r="L682" s="57" t="str">
        <f aca="false">IF('14 Labour &amp; Equipment'!$C$48="","",'14 Labour &amp; Equipment'!M48)</f>
        <v/>
      </c>
      <c r="M682" s="59" t="str">
        <f aca="false">IF(D682="","",IF(AND(OR(Search!$C$6="All Categories",A682=Search!$C$6),OR(Search!$P$5="",ISNUMBER(SEARCH(" "&amp;Search!$P$5,N682))),OR(Search!$P$6="",ISNUMBER(SEARCH(" "&amp;Search!$P$6,N682))),OR(Search!$P$7="",ISNUMBER(SEARCH(" "&amp;Search!$P$7,N682))),OR(Search!$P$8="",ISNUMBER(SEARCH(" "&amp;Search!$P$8,N682))),OR(Search!$P$9="",ISNUMBER(SEARCH(" "&amp;Search!$P$9,N682))),OR(Search!$P$10="",ISNUMBER(SEARCH(" "&amp;Search!$P$10,N682)))),ROW(),""))</f>
        <v/>
      </c>
      <c r="N682" s="0" t="str">
        <f aca="false">IF(D682="",""," "&amp;SUBSTITUTE(SUBSTITUTE(SUBSTITUTE(SUBSTITUTE(SUBSTITUTE(SUBSTITUTE(SUBSTITUTE(B682&amp;" "&amp;C682&amp;" "&amp;D682&amp;" "&amp;E682&amp;" "&amp;F682&amp;" "&amp;G682&amp;" "&amp;H682&amp;" "&amp;'14 Labour &amp; Equipment'!R48,"("," "),")"," "),"/"," "),"-"," "),","," "),";"," "),":"," ")&amp;" ")</f>
        <v/>
      </c>
    </row>
    <row r="683" customFormat="false" ht="15" hidden="false" customHeight="false" outlineLevel="0" collapsed="false">
      <c r="A683" s="56" t="str">
        <f aca="false">IF('14 Labour &amp; Equipment'!$C$49="","","Labour, Equipment, Transport &amp; Misc. Costs")</f>
        <v/>
      </c>
      <c r="B683" s="57" t="str">
        <f aca="false">IF('14 Labour &amp; Equipment'!$C$49="","",'14 Labour &amp; Equipment'!A49)</f>
        <v/>
      </c>
      <c r="C683" s="56" t="str">
        <f aca="false">IF('14 Labour &amp; Equipment'!$C$49="","",'14 Labour &amp; Equipment'!B49)</f>
        <v/>
      </c>
      <c r="D683" s="56" t="str">
        <f aca="false">IF('14 Labour &amp; Equipment'!$C$49="","",'14 Labour &amp; Equipment'!C49)</f>
        <v/>
      </c>
      <c r="E683" s="56" t="str">
        <f aca="false">IF('14 Labour &amp; Equipment'!$C$49="","",'14 Labour &amp; Equipment'!D49)</f>
        <v/>
      </c>
      <c r="F683" s="56" t="str">
        <f aca="false">IF('14 Labour &amp; Equipment'!$C$49="","",'14 Labour &amp; Equipment'!E49)</f>
        <v/>
      </c>
      <c r="G683" s="56" t="str">
        <f aca="false">IF('14 Labour &amp; Equipment'!$C$49="","",'14 Labour &amp; Equipment'!F49)</f>
        <v/>
      </c>
      <c r="H683" s="57" t="str">
        <f aca="false">IF('14 Labour &amp; Equipment'!$C$49="","",'14 Labour &amp; Equipment'!G49)</f>
        <v/>
      </c>
      <c r="I683" s="58" t="str">
        <f aca="false">IF('14 Labour &amp; Equipment'!$C$49="","",'14 Labour &amp; Equipment'!J49)</f>
        <v/>
      </c>
      <c r="J683" s="58" t="str">
        <f aca="false">IF('14 Labour &amp; Equipment'!$C$49="","",'14 Labour &amp; Equipment'!K49)</f>
        <v/>
      </c>
      <c r="K683" s="58" t="str">
        <f aca="false">IF('14 Labour &amp; Equipment'!$C$49="","",'14 Labour &amp; Equipment'!L49)</f>
        <v/>
      </c>
      <c r="L683" s="57" t="str">
        <f aca="false">IF('14 Labour &amp; Equipment'!$C$49="","",'14 Labour &amp; Equipment'!M49)</f>
        <v/>
      </c>
      <c r="M683" s="59" t="str">
        <f aca="false">IF(D683="","",IF(AND(OR(Search!$C$6="All Categories",A683=Search!$C$6),OR(Search!$P$5="",ISNUMBER(SEARCH(" "&amp;Search!$P$5,N683))),OR(Search!$P$6="",ISNUMBER(SEARCH(" "&amp;Search!$P$6,N683))),OR(Search!$P$7="",ISNUMBER(SEARCH(" "&amp;Search!$P$7,N683))),OR(Search!$P$8="",ISNUMBER(SEARCH(" "&amp;Search!$P$8,N683))),OR(Search!$P$9="",ISNUMBER(SEARCH(" "&amp;Search!$P$9,N683))),OR(Search!$P$10="",ISNUMBER(SEARCH(" "&amp;Search!$P$10,N683)))),ROW(),""))</f>
        <v/>
      </c>
      <c r="N683" s="0" t="str">
        <f aca="false">IF(D683="",""," "&amp;SUBSTITUTE(SUBSTITUTE(SUBSTITUTE(SUBSTITUTE(SUBSTITUTE(SUBSTITUTE(SUBSTITUTE(B683&amp;" "&amp;C683&amp;" "&amp;D683&amp;" "&amp;E683&amp;" "&amp;F683&amp;" "&amp;G683&amp;" "&amp;H683&amp;" "&amp;'14 Labour &amp; Equipment'!R49,"("," "),")"," "),"/"," "),"-"," "),","," "),";"," "),":"," ")&amp;" ")</f>
        <v/>
      </c>
    </row>
    <row r="684" customFormat="false" ht="15" hidden="false" customHeight="false" outlineLevel="0" collapsed="false">
      <c r="A684" s="56" t="str">
        <f aca="false">IF('14 Labour &amp; Equipment'!$C$50="","","Labour, Equipment, Transport &amp; Misc. Costs")</f>
        <v/>
      </c>
      <c r="B684" s="57" t="str">
        <f aca="false">IF('14 Labour &amp; Equipment'!$C$50="","",'14 Labour &amp; Equipment'!A50)</f>
        <v/>
      </c>
      <c r="C684" s="56" t="str">
        <f aca="false">IF('14 Labour &amp; Equipment'!$C$50="","",'14 Labour &amp; Equipment'!B50)</f>
        <v/>
      </c>
      <c r="D684" s="56" t="str">
        <f aca="false">IF('14 Labour &amp; Equipment'!$C$50="","",'14 Labour &amp; Equipment'!C50)</f>
        <v/>
      </c>
      <c r="E684" s="56" t="str">
        <f aca="false">IF('14 Labour &amp; Equipment'!$C$50="","",'14 Labour &amp; Equipment'!D50)</f>
        <v/>
      </c>
      <c r="F684" s="56" t="str">
        <f aca="false">IF('14 Labour &amp; Equipment'!$C$50="","",'14 Labour &amp; Equipment'!E50)</f>
        <v/>
      </c>
      <c r="G684" s="56" t="str">
        <f aca="false">IF('14 Labour &amp; Equipment'!$C$50="","",'14 Labour &amp; Equipment'!F50)</f>
        <v/>
      </c>
      <c r="H684" s="57" t="str">
        <f aca="false">IF('14 Labour &amp; Equipment'!$C$50="","",'14 Labour &amp; Equipment'!G50)</f>
        <v/>
      </c>
      <c r="I684" s="58" t="str">
        <f aca="false">IF('14 Labour &amp; Equipment'!$C$50="","",'14 Labour &amp; Equipment'!J50)</f>
        <v/>
      </c>
      <c r="J684" s="58" t="str">
        <f aca="false">IF('14 Labour &amp; Equipment'!$C$50="","",'14 Labour &amp; Equipment'!K50)</f>
        <v/>
      </c>
      <c r="K684" s="58" t="str">
        <f aca="false">IF('14 Labour &amp; Equipment'!$C$50="","",'14 Labour &amp; Equipment'!L50)</f>
        <v/>
      </c>
      <c r="L684" s="57" t="str">
        <f aca="false">IF('14 Labour &amp; Equipment'!$C$50="","",'14 Labour &amp; Equipment'!M50)</f>
        <v/>
      </c>
      <c r="M684" s="59" t="str">
        <f aca="false">IF(D684="","",IF(AND(OR(Search!$C$6="All Categories",A684=Search!$C$6),OR(Search!$P$5="",ISNUMBER(SEARCH(" "&amp;Search!$P$5,N684))),OR(Search!$P$6="",ISNUMBER(SEARCH(" "&amp;Search!$P$6,N684))),OR(Search!$P$7="",ISNUMBER(SEARCH(" "&amp;Search!$P$7,N684))),OR(Search!$P$8="",ISNUMBER(SEARCH(" "&amp;Search!$P$8,N684))),OR(Search!$P$9="",ISNUMBER(SEARCH(" "&amp;Search!$P$9,N684))),OR(Search!$P$10="",ISNUMBER(SEARCH(" "&amp;Search!$P$10,N684)))),ROW(),""))</f>
        <v/>
      </c>
      <c r="N684" s="0" t="str">
        <f aca="false">IF(D684="",""," "&amp;SUBSTITUTE(SUBSTITUTE(SUBSTITUTE(SUBSTITUTE(SUBSTITUTE(SUBSTITUTE(SUBSTITUTE(B684&amp;" "&amp;C684&amp;" "&amp;D684&amp;" "&amp;E684&amp;" "&amp;F684&amp;" "&amp;G684&amp;" "&amp;H684&amp;" "&amp;'14 Labour &amp; Equipment'!R50,"("," "),")"," "),"/"," "),"-"," "),","," "),";"," "),":"," ")&amp;" ")</f>
        <v/>
      </c>
    </row>
    <row r="685" customFormat="false" ht="15" hidden="false" customHeight="false" outlineLevel="0" collapsed="false">
      <c r="A685" s="56" t="str">
        <f aca="false">IF('14 Labour &amp; Equipment'!$C$51="","","Labour, Equipment, Transport &amp; Misc. Costs")</f>
        <v/>
      </c>
      <c r="B685" s="57" t="str">
        <f aca="false">IF('14 Labour &amp; Equipment'!$C$51="","",'14 Labour &amp; Equipment'!A51)</f>
        <v/>
      </c>
      <c r="C685" s="56" t="str">
        <f aca="false">IF('14 Labour &amp; Equipment'!$C$51="","",'14 Labour &amp; Equipment'!B51)</f>
        <v/>
      </c>
      <c r="D685" s="56" t="str">
        <f aca="false">IF('14 Labour &amp; Equipment'!$C$51="","",'14 Labour &amp; Equipment'!C51)</f>
        <v/>
      </c>
      <c r="E685" s="56" t="str">
        <f aca="false">IF('14 Labour &amp; Equipment'!$C$51="","",'14 Labour &amp; Equipment'!D51)</f>
        <v/>
      </c>
      <c r="F685" s="56" t="str">
        <f aca="false">IF('14 Labour &amp; Equipment'!$C$51="","",'14 Labour &amp; Equipment'!E51)</f>
        <v/>
      </c>
      <c r="G685" s="56" t="str">
        <f aca="false">IF('14 Labour &amp; Equipment'!$C$51="","",'14 Labour &amp; Equipment'!F51)</f>
        <v/>
      </c>
      <c r="H685" s="57" t="str">
        <f aca="false">IF('14 Labour &amp; Equipment'!$C$51="","",'14 Labour &amp; Equipment'!G51)</f>
        <v/>
      </c>
      <c r="I685" s="58" t="str">
        <f aca="false">IF('14 Labour &amp; Equipment'!$C$51="","",'14 Labour &amp; Equipment'!J51)</f>
        <v/>
      </c>
      <c r="J685" s="58" t="str">
        <f aca="false">IF('14 Labour &amp; Equipment'!$C$51="","",'14 Labour &amp; Equipment'!K51)</f>
        <v/>
      </c>
      <c r="K685" s="58" t="str">
        <f aca="false">IF('14 Labour &amp; Equipment'!$C$51="","",'14 Labour &amp; Equipment'!L51)</f>
        <v/>
      </c>
      <c r="L685" s="57" t="str">
        <f aca="false">IF('14 Labour &amp; Equipment'!$C$51="","",'14 Labour &amp; Equipment'!M51)</f>
        <v/>
      </c>
      <c r="M685" s="59" t="str">
        <f aca="false">IF(D685="","",IF(AND(OR(Search!$C$6="All Categories",A685=Search!$C$6),OR(Search!$P$5="",ISNUMBER(SEARCH(" "&amp;Search!$P$5,N685))),OR(Search!$P$6="",ISNUMBER(SEARCH(" "&amp;Search!$P$6,N685))),OR(Search!$P$7="",ISNUMBER(SEARCH(" "&amp;Search!$P$7,N685))),OR(Search!$P$8="",ISNUMBER(SEARCH(" "&amp;Search!$P$8,N685))),OR(Search!$P$9="",ISNUMBER(SEARCH(" "&amp;Search!$P$9,N685))),OR(Search!$P$10="",ISNUMBER(SEARCH(" "&amp;Search!$P$10,N685)))),ROW(),""))</f>
        <v/>
      </c>
      <c r="N685" s="0" t="str">
        <f aca="false">IF(D685="",""," "&amp;SUBSTITUTE(SUBSTITUTE(SUBSTITUTE(SUBSTITUTE(SUBSTITUTE(SUBSTITUTE(SUBSTITUTE(B685&amp;" "&amp;C685&amp;" "&amp;D685&amp;" "&amp;E685&amp;" "&amp;F685&amp;" "&amp;G685&amp;" "&amp;H685&amp;" "&amp;'14 Labour &amp; Equipment'!R51,"("," "),")"," "),"/"," "),"-"," "),","," "),";"," "),":"," ")&amp;" ")</f>
        <v/>
      </c>
    </row>
    <row r="686" customFormat="false" ht="15" hidden="false" customHeight="false" outlineLevel="0" collapsed="false">
      <c r="A686" s="56" t="str">
        <f aca="false">IF('14 Labour &amp; Equipment'!$C$52="","","Labour, Equipment, Transport &amp; Misc. Costs")</f>
        <v/>
      </c>
      <c r="B686" s="57" t="str">
        <f aca="false">IF('14 Labour &amp; Equipment'!$C$52="","",'14 Labour &amp; Equipment'!A52)</f>
        <v/>
      </c>
      <c r="C686" s="56" t="str">
        <f aca="false">IF('14 Labour &amp; Equipment'!$C$52="","",'14 Labour &amp; Equipment'!B52)</f>
        <v/>
      </c>
      <c r="D686" s="56" t="str">
        <f aca="false">IF('14 Labour &amp; Equipment'!$C$52="","",'14 Labour &amp; Equipment'!C52)</f>
        <v/>
      </c>
      <c r="E686" s="56" t="str">
        <f aca="false">IF('14 Labour &amp; Equipment'!$C$52="","",'14 Labour &amp; Equipment'!D52)</f>
        <v/>
      </c>
      <c r="F686" s="56" t="str">
        <f aca="false">IF('14 Labour &amp; Equipment'!$C$52="","",'14 Labour &amp; Equipment'!E52)</f>
        <v/>
      </c>
      <c r="G686" s="56" t="str">
        <f aca="false">IF('14 Labour &amp; Equipment'!$C$52="","",'14 Labour &amp; Equipment'!F52)</f>
        <v/>
      </c>
      <c r="H686" s="57" t="str">
        <f aca="false">IF('14 Labour &amp; Equipment'!$C$52="","",'14 Labour &amp; Equipment'!G52)</f>
        <v/>
      </c>
      <c r="I686" s="58" t="str">
        <f aca="false">IF('14 Labour &amp; Equipment'!$C$52="","",'14 Labour &amp; Equipment'!J52)</f>
        <v/>
      </c>
      <c r="J686" s="58" t="str">
        <f aca="false">IF('14 Labour &amp; Equipment'!$C$52="","",'14 Labour &amp; Equipment'!K52)</f>
        <v/>
      </c>
      <c r="K686" s="58" t="str">
        <f aca="false">IF('14 Labour &amp; Equipment'!$C$52="","",'14 Labour &amp; Equipment'!L52)</f>
        <v/>
      </c>
      <c r="L686" s="57" t="str">
        <f aca="false">IF('14 Labour &amp; Equipment'!$C$52="","",'14 Labour &amp; Equipment'!M52)</f>
        <v/>
      </c>
      <c r="M686" s="59" t="str">
        <f aca="false">IF(D686="","",IF(AND(OR(Search!$C$6="All Categories",A686=Search!$C$6),OR(Search!$P$5="",ISNUMBER(SEARCH(" "&amp;Search!$P$5,N686))),OR(Search!$P$6="",ISNUMBER(SEARCH(" "&amp;Search!$P$6,N686))),OR(Search!$P$7="",ISNUMBER(SEARCH(" "&amp;Search!$P$7,N686))),OR(Search!$P$8="",ISNUMBER(SEARCH(" "&amp;Search!$P$8,N686))),OR(Search!$P$9="",ISNUMBER(SEARCH(" "&amp;Search!$P$9,N686))),OR(Search!$P$10="",ISNUMBER(SEARCH(" "&amp;Search!$P$10,N686)))),ROW(),""))</f>
        <v/>
      </c>
      <c r="N686" s="0" t="str">
        <f aca="false">IF(D686="",""," "&amp;SUBSTITUTE(SUBSTITUTE(SUBSTITUTE(SUBSTITUTE(SUBSTITUTE(SUBSTITUTE(SUBSTITUTE(B686&amp;" "&amp;C686&amp;" "&amp;D686&amp;" "&amp;E686&amp;" "&amp;F686&amp;" "&amp;G686&amp;" "&amp;H686&amp;" "&amp;'14 Labour &amp; Equipment'!R52,"("," "),")"," "),"/"," "),"-"," "),","," "),";"," "),":"," ")&amp;" ")</f>
        <v/>
      </c>
    </row>
    <row r="687" customFormat="false" ht="15" hidden="false" customHeight="false" outlineLevel="0" collapsed="false">
      <c r="A687" s="56" t="str">
        <f aca="false">IF('14 Labour &amp; Equipment'!$C$53="","","Labour, Equipment, Transport &amp; Misc. Costs")</f>
        <v/>
      </c>
      <c r="B687" s="57" t="str">
        <f aca="false">IF('14 Labour &amp; Equipment'!$C$53="","",'14 Labour &amp; Equipment'!A53)</f>
        <v/>
      </c>
      <c r="C687" s="56" t="str">
        <f aca="false">IF('14 Labour &amp; Equipment'!$C$53="","",'14 Labour &amp; Equipment'!B53)</f>
        <v/>
      </c>
      <c r="D687" s="56" t="str">
        <f aca="false">IF('14 Labour &amp; Equipment'!$C$53="","",'14 Labour &amp; Equipment'!C53)</f>
        <v/>
      </c>
      <c r="E687" s="56" t="str">
        <f aca="false">IF('14 Labour &amp; Equipment'!$C$53="","",'14 Labour &amp; Equipment'!D53)</f>
        <v/>
      </c>
      <c r="F687" s="56" t="str">
        <f aca="false">IF('14 Labour &amp; Equipment'!$C$53="","",'14 Labour &amp; Equipment'!E53)</f>
        <v/>
      </c>
      <c r="G687" s="56" t="str">
        <f aca="false">IF('14 Labour &amp; Equipment'!$C$53="","",'14 Labour &amp; Equipment'!F53)</f>
        <v/>
      </c>
      <c r="H687" s="57" t="str">
        <f aca="false">IF('14 Labour &amp; Equipment'!$C$53="","",'14 Labour &amp; Equipment'!G53)</f>
        <v/>
      </c>
      <c r="I687" s="58" t="str">
        <f aca="false">IF('14 Labour &amp; Equipment'!$C$53="","",'14 Labour &amp; Equipment'!J53)</f>
        <v/>
      </c>
      <c r="J687" s="58" t="str">
        <f aca="false">IF('14 Labour &amp; Equipment'!$C$53="","",'14 Labour &amp; Equipment'!K53)</f>
        <v/>
      </c>
      <c r="K687" s="58" t="str">
        <f aca="false">IF('14 Labour &amp; Equipment'!$C$53="","",'14 Labour &amp; Equipment'!L53)</f>
        <v/>
      </c>
      <c r="L687" s="57" t="str">
        <f aca="false">IF('14 Labour &amp; Equipment'!$C$53="","",'14 Labour &amp; Equipment'!M53)</f>
        <v/>
      </c>
      <c r="M687" s="59" t="str">
        <f aca="false">IF(D687="","",IF(AND(OR(Search!$C$6="All Categories",A687=Search!$C$6),OR(Search!$P$5="",ISNUMBER(SEARCH(" "&amp;Search!$P$5,N687))),OR(Search!$P$6="",ISNUMBER(SEARCH(" "&amp;Search!$P$6,N687))),OR(Search!$P$7="",ISNUMBER(SEARCH(" "&amp;Search!$P$7,N687))),OR(Search!$P$8="",ISNUMBER(SEARCH(" "&amp;Search!$P$8,N687))),OR(Search!$P$9="",ISNUMBER(SEARCH(" "&amp;Search!$P$9,N687))),OR(Search!$P$10="",ISNUMBER(SEARCH(" "&amp;Search!$P$10,N687)))),ROW(),""))</f>
        <v/>
      </c>
      <c r="N687" s="0" t="str">
        <f aca="false">IF(D687="",""," "&amp;SUBSTITUTE(SUBSTITUTE(SUBSTITUTE(SUBSTITUTE(SUBSTITUTE(SUBSTITUTE(SUBSTITUTE(B687&amp;" "&amp;C687&amp;" "&amp;D687&amp;" "&amp;E687&amp;" "&amp;F687&amp;" "&amp;G687&amp;" "&amp;H687&amp;" "&amp;'14 Labour &amp; Equipment'!R53,"("," "),")"," "),"/"," "),"-"," "),","," "),";"," "),":"," ")&amp;" ")</f>
        <v/>
      </c>
    </row>
    <row r="688" customFormat="false" ht="15" hidden="false" customHeight="false" outlineLevel="0" collapsed="false">
      <c r="A688" s="56" t="str">
        <f aca="false">IF('14 Labour &amp; Equipment'!$C$54="","","Labour, Equipment, Transport &amp; Misc. Costs")</f>
        <v/>
      </c>
      <c r="B688" s="57" t="str">
        <f aca="false">IF('14 Labour &amp; Equipment'!$C$54="","",'14 Labour &amp; Equipment'!A54)</f>
        <v/>
      </c>
      <c r="C688" s="56" t="str">
        <f aca="false">IF('14 Labour &amp; Equipment'!$C$54="","",'14 Labour &amp; Equipment'!B54)</f>
        <v/>
      </c>
      <c r="D688" s="56" t="str">
        <f aca="false">IF('14 Labour &amp; Equipment'!$C$54="","",'14 Labour &amp; Equipment'!C54)</f>
        <v/>
      </c>
      <c r="E688" s="56" t="str">
        <f aca="false">IF('14 Labour &amp; Equipment'!$C$54="","",'14 Labour &amp; Equipment'!D54)</f>
        <v/>
      </c>
      <c r="F688" s="56" t="str">
        <f aca="false">IF('14 Labour &amp; Equipment'!$C$54="","",'14 Labour &amp; Equipment'!E54)</f>
        <v/>
      </c>
      <c r="G688" s="56" t="str">
        <f aca="false">IF('14 Labour &amp; Equipment'!$C$54="","",'14 Labour &amp; Equipment'!F54)</f>
        <v/>
      </c>
      <c r="H688" s="57" t="str">
        <f aca="false">IF('14 Labour &amp; Equipment'!$C$54="","",'14 Labour &amp; Equipment'!G54)</f>
        <v/>
      </c>
      <c r="I688" s="58" t="str">
        <f aca="false">IF('14 Labour &amp; Equipment'!$C$54="","",'14 Labour &amp; Equipment'!J54)</f>
        <v/>
      </c>
      <c r="J688" s="58" t="str">
        <f aca="false">IF('14 Labour &amp; Equipment'!$C$54="","",'14 Labour &amp; Equipment'!K54)</f>
        <v/>
      </c>
      <c r="K688" s="58" t="str">
        <f aca="false">IF('14 Labour &amp; Equipment'!$C$54="","",'14 Labour &amp; Equipment'!L54)</f>
        <v/>
      </c>
      <c r="L688" s="57" t="str">
        <f aca="false">IF('14 Labour &amp; Equipment'!$C$54="","",'14 Labour &amp; Equipment'!M54)</f>
        <v/>
      </c>
      <c r="M688" s="59" t="str">
        <f aca="false">IF(D688="","",IF(AND(OR(Search!$C$6="All Categories",A688=Search!$C$6),OR(Search!$P$5="",ISNUMBER(SEARCH(" "&amp;Search!$P$5,N688))),OR(Search!$P$6="",ISNUMBER(SEARCH(" "&amp;Search!$P$6,N688))),OR(Search!$P$7="",ISNUMBER(SEARCH(" "&amp;Search!$P$7,N688))),OR(Search!$P$8="",ISNUMBER(SEARCH(" "&amp;Search!$P$8,N688))),OR(Search!$P$9="",ISNUMBER(SEARCH(" "&amp;Search!$P$9,N688))),OR(Search!$P$10="",ISNUMBER(SEARCH(" "&amp;Search!$P$10,N688)))),ROW(),""))</f>
        <v/>
      </c>
      <c r="N688" s="0" t="str">
        <f aca="false">IF(D688="",""," "&amp;SUBSTITUTE(SUBSTITUTE(SUBSTITUTE(SUBSTITUTE(SUBSTITUTE(SUBSTITUTE(SUBSTITUTE(B688&amp;" "&amp;C688&amp;" "&amp;D688&amp;" "&amp;E688&amp;" "&amp;F688&amp;" "&amp;G688&amp;" "&amp;H688&amp;" "&amp;'14 Labour &amp; Equipment'!R54,"("," "),")"," "),"/"," "),"-"," "),","," "),";"," "),":"," ")&amp;" ")</f>
        <v/>
      </c>
    </row>
    <row r="689" customFormat="false" ht="15" hidden="false" customHeight="false" outlineLevel="0" collapsed="false">
      <c r="A689" s="56" t="str">
        <f aca="false">IF('14 Labour &amp; Equipment'!$C$55="","","Labour, Equipment, Transport &amp; Misc. Costs")</f>
        <v/>
      </c>
      <c r="B689" s="57" t="str">
        <f aca="false">IF('14 Labour &amp; Equipment'!$C$55="","",'14 Labour &amp; Equipment'!A55)</f>
        <v/>
      </c>
      <c r="C689" s="56" t="str">
        <f aca="false">IF('14 Labour &amp; Equipment'!$C$55="","",'14 Labour &amp; Equipment'!B55)</f>
        <v/>
      </c>
      <c r="D689" s="56" t="str">
        <f aca="false">IF('14 Labour &amp; Equipment'!$C$55="","",'14 Labour &amp; Equipment'!C55)</f>
        <v/>
      </c>
      <c r="E689" s="56" t="str">
        <f aca="false">IF('14 Labour &amp; Equipment'!$C$55="","",'14 Labour &amp; Equipment'!D55)</f>
        <v/>
      </c>
      <c r="F689" s="56" t="str">
        <f aca="false">IF('14 Labour &amp; Equipment'!$C$55="","",'14 Labour &amp; Equipment'!E55)</f>
        <v/>
      </c>
      <c r="G689" s="56" t="str">
        <f aca="false">IF('14 Labour &amp; Equipment'!$C$55="","",'14 Labour &amp; Equipment'!F55)</f>
        <v/>
      </c>
      <c r="H689" s="57" t="str">
        <f aca="false">IF('14 Labour &amp; Equipment'!$C$55="","",'14 Labour &amp; Equipment'!G55)</f>
        <v/>
      </c>
      <c r="I689" s="58" t="str">
        <f aca="false">IF('14 Labour &amp; Equipment'!$C$55="","",'14 Labour &amp; Equipment'!J55)</f>
        <v/>
      </c>
      <c r="J689" s="58" t="str">
        <f aca="false">IF('14 Labour &amp; Equipment'!$C$55="","",'14 Labour &amp; Equipment'!K55)</f>
        <v/>
      </c>
      <c r="K689" s="58" t="str">
        <f aca="false">IF('14 Labour &amp; Equipment'!$C$55="","",'14 Labour &amp; Equipment'!L55)</f>
        <v/>
      </c>
      <c r="L689" s="57" t="str">
        <f aca="false">IF('14 Labour &amp; Equipment'!$C$55="","",'14 Labour &amp; Equipment'!M55)</f>
        <v/>
      </c>
      <c r="M689" s="59" t="str">
        <f aca="false">IF(D689="","",IF(AND(OR(Search!$C$6="All Categories",A689=Search!$C$6),OR(Search!$P$5="",ISNUMBER(SEARCH(" "&amp;Search!$P$5,N689))),OR(Search!$P$6="",ISNUMBER(SEARCH(" "&amp;Search!$P$6,N689))),OR(Search!$P$7="",ISNUMBER(SEARCH(" "&amp;Search!$P$7,N689))),OR(Search!$P$8="",ISNUMBER(SEARCH(" "&amp;Search!$P$8,N689))),OR(Search!$P$9="",ISNUMBER(SEARCH(" "&amp;Search!$P$9,N689))),OR(Search!$P$10="",ISNUMBER(SEARCH(" "&amp;Search!$P$10,N689)))),ROW(),""))</f>
        <v/>
      </c>
      <c r="N689" s="0" t="str">
        <f aca="false">IF(D689="",""," "&amp;SUBSTITUTE(SUBSTITUTE(SUBSTITUTE(SUBSTITUTE(SUBSTITUTE(SUBSTITUTE(SUBSTITUTE(B689&amp;" "&amp;C689&amp;" "&amp;D689&amp;" "&amp;E689&amp;" "&amp;F689&amp;" "&amp;G689&amp;" "&amp;H689&amp;" "&amp;'14 Labour &amp; Equipment'!R55,"("," "),")"," "),"/"," "),"-"," "),","," "),";"," "),":"," ")&amp;" ")</f>
        <v/>
      </c>
    </row>
    <row r="690" customFormat="false" ht="15" hidden="false" customHeight="false" outlineLevel="0" collapsed="false">
      <c r="A690" s="56" t="str">
        <f aca="false">IF('14 Labour &amp; Equipment'!$C$56="","","Labour, Equipment, Transport &amp; Misc. Costs")</f>
        <v/>
      </c>
      <c r="B690" s="57" t="str">
        <f aca="false">IF('14 Labour &amp; Equipment'!$C$56="","",'14 Labour &amp; Equipment'!A56)</f>
        <v/>
      </c>
      <c r="C690" s="56" t="str">
        <f aca="false">IF('14 Labour &amp; Equipment'!$C$56="","",'14 Labour &amp; Equipment'!B56)</f>
        <v/>
      </c>
      <c r="D690" s="56" t="str">
        <f aca="false">IF('14 Labour &amp; Equipment'!$C$56="","",'14 Labour &amp; Equipment'!C56)</f>
        <v/>
      </c>
      <c r="E690" s="56" t="str">
        <f aca="false">IF('14 Labour &amp; Equipment'!$C$56="","",'14 Labour &amp; Equipment'!D56)</f>
        <v/>
      </c>
      <c r="F690" s="56" t="str">
        <f aca="false">IF('14 Labour &amp; Equipment'!$C$56="","",'14 Labour &amp; Equipment'!E56)</f>
        <v/>
      </c>
      <c r="G690" s="56" t="str">
        <f aca="false">IF('14 Labour &amp; Equipment'!$C$56="","",'14 Labour &amp; Equipment'!F56)</f>
        <v/>
      </c>
      <c r="H690" s="57" t="str">
        <f aca="false">IF('14 Labour &amp; Equipment'!$C$56="","",'14 Labour &amp; Equipment'!G56)</f>
        <v/>
      </c>
      <c r="I690" s="58" t="str">
        <f aca="false">IF('14 Labour &amp; Equipment'!$C$56="","",'14 Labour &amp; Equipment'!J56)</f>
        <v/>
      </c>
      <c r="J690" s="58" t="str">
        <f aca="false">IF('14 Labour &amp; Equipment'!$C$56="","",'14 Labour &amp; Equipment'!K56)</f>
        <v/>
      </c>
      <c r="K690" s="58" t="str">
        <f aca="false">IF('14 Labour &amp; Equipment'!$C$56="","",'14 Labour &amp; Equipment'!L56)</f>
        <v/>
      </c>
      <c r="L690" s="57" t="str">
        <f aca="false">IF('14 Labour &amp; Equipment'!$C$56="","",'14 Labour &amp; Equipment'!M56)</f>
        <v/>
      </c>
      <c r="M690" s="59" t="str">
        <f aca="false">IF(D690="","",IF(AND(OR(Search!$C$6="All Categories",A690=Search!$C$6),OR(Search!$P$5="",ISNUMBER(SEARCH(" "&amp;Search!$P$5,N690))),OR(Search!$P$6="",ISNUMBER(SEARCH(" "&amp;Search!$P$6,N690))),OR(Search!$P$7="",ISNUMBER(SEARCH(" "&amp;Search!$P$7,N690))),OR(Search!$P$8="",ISNUMBER(SEARCH(" "&amp;Search!$P$8,N690))),OR(Search!$P$9="",ISNUMBER(SEARCH(" "&amp;Search!$P$9,N690))),OR(Search!$P$10="",ISNUMBER(SEARCH(" "&amp;Search!$P$10,N690)))),ROW(),""))</f>
        <v/>
      </c>
      <c r="N690" s="0" t="str">
        <f aca="false">IF(D690="",""," "&amp;SUBSTITUTE(SUBSTITUTE(SUBSTITUTE(SUBSTITUTE(SUBSTITUTE(SUBSTITUTE(SUBSTITUTE(B690&amp;" "&amp;C690&amp;" "&amp;D690&amp;" "&amp;E690&amp;" "&amp;F690&amp;" "&amp;G690&amp;" "&amp;H690&amp;" "&amp;'14 Labour &amp; Equipment'!R56,"("," "),")"," "),"/"," "),"-"," "),","," "),";"," "),":"," ")&amp;" ")</f>
        <v/>
      </c>
    </row>
    <row r="691" customFormat="false" ht="15" hidden="false" customHeight="false" outlineLevel="0" collapsed="false">
      <c r="A691" s="56" t="str">
        <f aca="false">IF('14 Labour &amp; Equipment'!$C$57="","","Labour, Equipment, Transport &amp; Misc. Costs")</f>
        <v/>
      </c>
      <c r="B691" s="57" t="str">
        <f aca="false">IF('14 Labour &amp; Equipment'!$C$57="","",'14 Labour &amp; Equipment'!A57)</f>
        <v/>
      </c>
      <c r="C691" s="56" t="str">
        <f aca="false">IF('14 Labour &amp; Equipment'!$C$57="","",'14 Labour &amp; Equipment'!B57)</f>
        <v/>
      </c>
      <c r="D691" s="56" t="str">
        <f aca="false">IF('14 Labour &amp; Equipment'!$C$57="","",'14 Labour &amp; Equipment'!C57)</f>
        <v/>
      </c>
      <c r="E691" s="56" t="str">
        <f aca="false">IF('14 Labour &amp; Equipment'!$C$57="","",'14 Labour &amp; Equipment'!D57)</f>
        <v/>
      </c>
      <c r="F691" s="56" t="str">
        <f aca="false">IF('14 Labour &amp; Equipment'!$C$57="","",'14 Labour &amp; Equipment'!E57)</f>
        <v/>
      </c>
      <c r="G691" s="56" t="str">
        <f aca="false">IF('14 Labour &amp; Equipment'!$C$57="","",'14 Labour &amp; Equipment'!F57)</f>
        <v/>
      </c>
      <c r="H691" s="57" t="str">
        <f aca="false">IF('14 Labour &amp; Equipment'!$C$57="","",'14 Labour &amp; Equipment'!G57)</f>
        <v/>
      </c>
      <c r="I691" s="58" t="str">
        <f aca="false">IF('14 Labour &amp; Equipment'!$C$57="","",'14 Labour &amp; Equipment'!J57)</f>
        <v/>
      </c>
      <c r="J691" s="58" t="str">
        <f aca="false">IF('14 Labour &amp; Equipment'!$C$57="","",'14 Labour &amp; Equipment'!K57)</f>
        <v/>
      </c>
      <c r="K691" s="58" t="str">
        <f aca="false">IF('14 Labour &amp; Equipment'!$C$57="","",'14 Labour &amp; Equipment'!L57)</f>
        <v/>
      </c>
      <c r="L691" s="57" t="str">
        <f aca="false">IF('14 Labour &amp; Equipment'!$C$57="","",'14 Labour &amp; Equipment'!M57)</f>
        <v/>
      </c>
      <c r="M691" s="59" t="str">
        <f aca="false">IF(D691="","",IF(AND(OR(Search!$C$6="All Categories",A691=Search!$C$6),OR(Search!$P$5="",ISNUMBER(SEARCH(" "&amp;Search!$P$5,N691))),OR(Search!$P$6="",ISNUMBER(SEARCH(" "&amp;Search!$P$6,N691))),OR(Search!$P$7="",ISNUMBER(SEARCH(" "&amp;Search!$P$7,N691))),OR(Search!$P$8="",ISNUMBER(SEARCH(" "&amp;Search!$P$8,N691))),OR(Search!$P$9="",ISNUMBER(SEARCH(" "&amp;Search!$P$9,N691))),OR(Search!$P$10="",ISNUMBER(SEARCH(" "&amp;Search!$P$10,N691)))),ROW(),""))</f>
        <v/>
      </c>
      <c r="N691" s="0" t="str">
        <f aca="false">IF(D691="",""," "&amp;SUBSTITUTE(SUBSTITUTE(SUBSTITUTE(SUBSTITUTE(SUBSTITUTE(SUBSTITUTE(SUBSTITUTE(B691&amp;" "&amp;C691&amp;" "&amp;D691&amp;" "&amp;E691&amp;" "&amp;F691&amp;" "&amp;G691&amp;" "&amp;H691&amp;" "&amp;'14 Labour &amp; Equipment'!R57,"("," "),")"," "),"/"," "),"-"," "),","," "),";"," "),":"," ")&amp;" ")</f>
        <v/>
      </c>
    </row>
    <row r="692" customFormat="false" ht="15" hidden="false" customHeight="false" outlineLevel="0" collapsed="false">
      <c r="A692" s="56" t="str">
        <f aca="false">IF('14 Labour &amp; Equipment'!$C$58="","","Labour, Equipment, Transport &amp; Misc. Costs")</f>
        <v/>
      </c>
      <c r="B692" s="57" t="str">
        <f aca="false">IF('14 Labour &amp; Equipment'!$C$58="","",'14 Labour &amp; Equipment'!A58)</f>
        <v/>
      </c>
      <c r="C692" s="56" t="str">
        <f aca="false">IF('14 Labour &amp; Equipment'!$C$58="","",'14 Labour &amp; Equipment'!B58)</f>
        <v/>
      </c>
      <c r="D692" s="56" t="str">
        <f aca="false">IF('14 Labour &amp; Equipment'!$C$58="","",'14 Labour &amp; Equipment'!C58)</f>
        <v/>
      </c>
      <c r="E692" s="56" t="str">
        <f aca="false">IF('14 Labour &amp; Equipment'!$C$58="","",'14 Labour &amp; Equipment'!D58)</f>
        <v/>
      </c>
      <c r="F692" s="56" t="str">
        <f aca="false">IF('14 Labour &amp; Equipment'!$C$58="","",'14 Labour &amp; Equipment'!E58)</f>
        <v/>
      </c>
      <c r="G692" s="56" t="str">
        <f aca="false">IF('14 Labour &amp; Equipment'!$C$58="","",'14 Labour &amp; Equipment'!F58)</f>
        <v/>
      </c>
      <c r="H692" s="57" t="str">
        <f aca="false">IF('14 Labour &amp; Equipment'!$C$58="","",'14 Labour &amp; Equipment'!G58)</f>
        <v/>
      </c>
      <c r="I692" s="58" t="str">
        <f aca="false">IF('14 Labour &amp; Equipment'!$C$58="","",'14 Labour &amp; Equipment'!J58)</f>
        <v/>
      </c>
      <c r="J692" s="58" t="str">
        <f aca="false">IF('14 Labour &amp; Equipment'!$C$58="","",'14 Labour &amp; Equipment'!K58)</f>
        <v/>
      </c>
      <c r="K692" s="58" t="str">
        <f aca="false">IF('14 Labour &amp; Equipment'!$C$58="","",'14 Labour &amp; Equipment'!L58)</f>
        <v/>
      </c>
      <c r="L692" s="57" t="str">
        <f aca="false">IF('14 Labour &amp; Equipment'!$C$58="","",'14 Labour &amp; Equipment'!M58)</f>
        <v/>
      </c>
      <c r="M692" s="59" t="str">
        <f aca="false">IF(D692="","",IF(AND(OR(Search!$C$6="All Categories",A692=Search!$C$6),OR(Search!$P$5="",ISNUMBER(SEARCH(" "&amp;Search!$P$5,N692))),OR(Search!$P$6="",ISNUMBER(SEARCH(" "&amp;Search!$P$6,N692))),OR(Search!$P$7="",ISNUMBER(SEARCH(" "&amp;Search!$P$7,N692))),OR(Search!$P$8="",ISNUMBER(SEARCH(" "&amp;Search!$P$8,N692))),OR(Search!$P$9="",ISNUMBER(SEARCH(" "&amp;Search!$P$9,N692))),OR(Search!$P$10="",ISNUMBER(SEARCH(" "&amp;Search!$P$10,N692)))),ROW(),""))</f>
        <v/>
      </c>
      <c r="N692" s="0" t="str">
        <f aca="false">IF(D692="",""," "&amp;SUBSTITUTE(SUBSTITUTE(SUBSTITUTE(SUBSTITUTE(SUBSTITUTE(SUBSTITUTE(SUBSTITUTE(B692&amp;" "&amp;C692&amp;" "&amp;D692&amp;" "&amp;E692&amp;" "&amp;F692&amp;" "&amp;G692&amp;" "&amp;H692&amp;" "&amp;'14 Labour &amp; Equipment'!R58,"("," "),")"," "),"/"," "),"-"," "),","," "),";"," "),":"," ")&amp;" ")</f>
        <v/>
      </c>
    </row>
    <row r="693" customFormat="false" ht="15" hidden="false" customHeight="false" outlineLevel="0" collapsed="false">
      <c r="A693" s="56" t="str">
        <f aca="false">IF('14 Labour &amp; Equipment'!$C$59="","","Labour, Equipment, Transport &amp; Misc. Costs")</f>
        <v/>
      </c>
      <c r="B693" s="57" t="str">
        <f aca="false">IF('14 Labour &amp; Equipment'!$C$59="","",'14 Labour &amp; Equipment'!A59)</f>
        <v/>
      </c>
      <c r="C693" s="56" t="str">
        <f aca="false">IF('14 Labour &amp; Equipment'!$C$59="","",'14 Labour &amp; Equipment'!B59)</f>
        <v/>
      </c>
      <c r="D693" s="56" t="str">
        <f aca="false">IF('14 Labour &amp; Equipment'!$C$59="","",'14 Labour &amp; Equipment'!C59)</f>
        <v/>
      </c>
      <c r="E693" s="56" t="str">
        <f aca="false">IF('14 Labour &amp; Equipment'!$C$59="","",'14 Labour &amp; Equipment'!D59)</f>
        <v/>
      </c>
      <c r="F693" s="56" t="str">
        <f aca="false">IF('14 Labour &amp; Equipment'!$C$59="","",'14 Labour &amp; Equipment'!E59)</f>
        <v/>
      </c>
      <c r="G693" s="56" t="str">
        <f aca="false">IF('14 Labour &amp; Equipment'!$C$59="","",'14 Labour &amp; Equipment'!F59)</f>
        <v/>
      </c>
      <c r="H693" s="57" t="str">
        <f aca="false">IF('14 Labour &amp; Equipment'!$C$59="","",'14 Labour &amp; Equipment'!G59)</f>
        <v/>
      </c>
      <c r="I693" s="58" t="str">
        <f aca="false">IF('14 Labour &amp; Equipment'!$C$59="","",'14 Labour &amp; Equipment'!J59)</f>
        <v/>
      </c>
      <c r="J693" s="58" t="str">
        <f aca="false">IF('14 Labour &amp; Equipment'!$C$59="","",'14 Labour &amp; Equipment'!K59)</f>
        <v/>
      </c>
      <c r="K693" s="58" t="str">
        <f aca="false">IF('14 Labour &amp; Equipment'!$C$59="","",'14 Labour &amp; Equipment'!L59)</f>
        <v/>
      </c>
      <c r="L693" s="57" t="str">
        <f aca="false">IF('14 Labour &amp; Equipment'!$C$59="","",'14 Labour &amp; Equipment'!M59)</f>
        <v/>
      </c>
      <c r="M693" s="59" t="str">
        <f aca="false">IF(D693="","",IF(AND(OR(Search!$C$6="All Categories",A693=Search!$C$6),OR(Search!$P$5="",ISNUMBER(SEARCH(" "&amp;Search!$P$5,N693))),OR(Search!$P$6="",ISNUMBER(SEARCH(" "&amp;Search!$P$6,N693))),OR(Search!$P$7="",ISNUMBER(SEARCH(" "&amp;Search!$P$7,N693))),OR(Search!$P$8="",ISNUMBER(SEARCH(" "&amp;Search!$P$8,N693))),OR(Search!$P$9="",ISNUMBER(SEARCH(" "&amp;Search!$P$9,N693))),OR(Search!$P$10="",ISNUMBER(SEARCH(" "&amp;Search!$P$10,N693)))),ROW(),""))</f>
        <v/>
      </c>
      <c r="N693" s="0" t="str">
        <f aca="false">IF(D693="",""," "&amp;SUBSTITUTE(SUBSTITUTE(SUBSTITUTE(SUBSTITUTE(SUBSTITUTE(SUBSTITUTE(SUBSTITUTE(B693&amp;" "&amp;C693&amp;" "&amp;D693&amp;" "&amp;E693&amp;" "&amp;F693&amp;" "&amp;G693&amp;" "&amp;H693&amp;" "&amp;'14 Labour &amp; Equipment'!R59,"("," "),")"," "),"/"," "),"-"," "),","," "),";"," "),":"," ")&amp;" ")</f>
        <v/>
      </c>
    </row>
    <row r="694" customFormat="false" ht="22.35" hidden="false" customHeight="false" outlineLevel="0" collapsed="false">
      <c r="A694" s="56" t="str">
        <f aca="false">IF('15 System Rates S&amp;I'!$C$5="","","Finished Systems - Budget Supply &amp; Install Rates")</f>
        <v>Finished Systems - Budget Supply &amp; Install Rates</v>
      </c>
      <c r="B694" s="57" t="str">
        <f aca="false">IF('15 System Rates S&amp;I'!$C$5="","",'15 System Rates S&amp;I'!A5)</f>
        <v>SI-001</v>
      </c>
      <c r="C694" s="56" t="str">
        <f aca="false">IF('15 System Rates S&amp;I'!$C$5="","",'15 System Rates S&amp;I'!B5)</f>
        <v>Curtain Wall &amp; Facade</v>
      </c>
      <c r="D694" s="56" t="str">
        <f aca="false">IF('15 System Rates S&amp;I'!$C$5="","",'15 System Rates S&amp;I'!C5)</f>
        <v>Stick curtain wall - clear DGU</v>
      </c>
      <c r="E694" s="56" t="str">
        <f aca="false">IF('15 System Rates S&amp;I'!$C$5="","",'15 System Rates S&amp;I'!D5)</f>
        <v>Gulf Extrusions / equiv., 6+12+6 DGU</v>
      </c>
      <c r="F694" s="56" t="str">
        <f aca="false">IF('15 System Rates S&amp;I'!$C$5="","",'15 System Rates S&amp;I'!E5)</f>
        <v>PC / PVDF</v>
      </c>
      <c r="G694" s="56" t="str">
        <f aca="false">IF('15 System Rates S&amp;I'!$C$5="","",'15 System Rates S&amp;I'!F5)</f>
        <v>Local system</v>
      </c>
      <c r="H694" s="57" t="str">
        <f aca="false">IF('15 System Rates S&amp;I'!$C$5="","",'15 System Rates S&amp;I'!G5)</f>
        <v>m2</v>
      </c>
      <c r="I694" s="58" t="n">
        <f aca="false">IF('15 System Rates S&amp;I'!$C$5="","",'15 System Rates S&amp;I'!J5)</f>
        <v>1050</v>
      </c>
      <c r="J694" s="58" t="n">
        <f aca="false">IF('15 System Rates S&amp;I'!$C$5="","",'15 System Rates S&amp;I'!K5)</f>
        <v>1260</v>
      </c>
      <c r="K694" s="58" t="n">
        <f aca="false">IF('15 System Rates S&amp;I'!$C$5="","",'15 System Rates S&amp;I'!L5)</f>
        <v>1323</v>
      </c>
      <c r="L694" s="57" t="str">
        <f aca="false">IF('15 System Rates S&amp;I'!$C$5="","",'15 System Rates S&amp;I'!M5)</f>
        <v>Indicative</v>
      </c>
      <c r="M694" s="59" t="str">
        <f aca="false">IF(D694="","",IF(AND(OR(Search!$C$6="All Categories",A694=Search!$C$6),OR(Search!$P$5="",ISNUMBER(SEARCH(" "&amp;Search!$P$5,N694))),OR(Search!$P$6="",ISNUMBER(SEARCH(" "&amp;Search!$P$6,N694))),OR(Search!$P$7="",ISNUMBER(SEARCH(" "&amp;Search!$P$7,N694))),OR(Search!$P$8="",ISNUMBER(SEARCH(" "&amp;Search!$P$8,N694))),OR(Search!$P$9="",ISNUMBER(SEARCH(" "&amp;Search!$P$9,N694))),OR(Search!$P$10="",ISNUMBER(SEARCH(" "&amp;Search!$P$10,N694)))),ROW(),""))</f>
        <v/>
      </c>
      <c r="N694" s="0" t="str">
        <f aca="false">IF(D694="",""," "&amp;SUBSTITUTE(SUBSTITUTE(SUBSTITUTE(SUBSTITUTE(SUBSTITUTE(SUBSTITUTE(SUBSTITUTE(B694&amp;" "&amp;C694&amp;" "&amp;D694&amp;" "&amp;E694&amp;" "&amp;F694&amp;" "&amp;G694&amp;" "&amp;H694&amp;" "&amp;'15 System Rates S&amp;I'!R5,"("," "),")"," "),"/"," "),"-"," "),","," "),";"," "),":"," ")&amp;" ")</f>
        <v> SI 001 Curtain Wall &amp; Facade Stick curtain wall   clear DGU Gulf Extrusions   equiv.  6+12+6 DGU PC   PVDF Local system m2 6+12+6 </v>
      </c>
    </row>
    <row r="695" customFormat="false" ht="22.35" hidden="false" customHeight="false" outlineLevel="0" collapsed="false">
      <c r="A695" s="56" t="str">
        <f aca="false">IF('15 System Rates S&amp;I'!$C$6="","","Finished Systems - Budget Supply &amp; Install Rates")</f>
        <v>Finished Systems - Budget Supply &amp; Install Rates</v>
      </c>
      <c r="B695" s="57" t="str">
        <f aca="false">IF('15 System Rates S&amp;I'!$C$6="","",'15 System Rates S&amp;I'!A6)</f>
        <v>SI-002</v>
      </c>
      <c r="C695" s="56" t="str">
        <f aca="false">IF('15 System Rates S&amp;I'!$C$6="","",'15 System Rates S&amp;I'!B6)</f>
        <v>Curtain Wall &amp; Facade</v>
      </c>
      <c r="D695" s="56" t="str">
        <f aca="false">IF('15 System Rates S&amp;I'!$C$6="","",'15 System Rates S&amp;I'!C6)</f>
        <v>Stick curtain wall - Low-E DGU</v>
      </c>
      <c r="E695" s="56" t="str">
        <f aca="false">IF('15 System Rates S&amp;I'!$C$6="","",'15 System Rates S&amp;I'!D6)</f>
        <v>Gulf Extrusions / equiv., 6+12+6 Low-E</v>
      </c>
      <c r="F695" s="56" t="str">
        <f aca="false">IF('15 System Rates S&amp;I'!$C$6="","",'15 System Rates S&amp;I'!E6)</f>
        <v>PVDF</v>
      </c>
      <c r="G695" s="56" t="str">
        <f aca="false">IF('15 System Rates S&amp;I'!$C$6="","",'15 System Rates S&amp;I'!F6)</f>
        <v>Local system</v>
      </c>
      <c r="H695" s="57" t="str">
        <f aca="false">IF('15 System Rates S&amp;I'!$C$6="","",'15 System Rates S&amp;I'!G6)</f>
        <v>m2</v>
      </c>
      <c r="I695" s="58" t="n">
        <f aca="false">IF('15 System Rates S&amp;I'!$C$6="","",'15 System Rates S&amp;I'!J6)</f>
        <v>1250</v>
      </c>
      <c r="J695" s="58" t="n">
        <f aca="false">IF('15 System Rates S&amp;I'!$C$6="","",'15 System Rates S&amp;I'!K6)</f>
        <v>1500</v>
      </c>
      <c r="K695" s="58" t="n">
        <f aca="false">IF('15 System Rates S&amp;I'!$C$6="","",'15 System Rates S&amp;I'!L6)</f>
        <v>1575</v>
      </c>
      <c r="L695" s="57" t="str">
        <f aca="false">IF('15 System Rates S&amp;I'!$C$6="","",'15 System Rates S&amp;I'!M6)</f>
        <v>Indicative</v>
      </c>
      <c r="M695" s="59" t="str">
        <f aca="false">IF(D695="","",IF(AND(OR(Search!$C$6="All Categories",A695=Search!$C$6),OR(Search!$P$5="",ISNUMBER(SEARCH(" "&amp;Search!$P$5,N695))),OR(Search!$P$6="",ISNUMBER(SEARCH(" "&amp;Search!$P$6,N695))),OR(Search!$P$7="",ISNUMBER(SEARCH(" "&amp;Search!$P$7,N695))),OR(Search!$P$8="",ISNUMBER(SEARCH(" "&amp;Search!$P$8,N695))),OR(Search!$P$9="",ISNUMBER(SEARCH(" "&amp;Search!$P$9,N695))),OR(Search!$P$10="",ISNUMBER(SEARCH(" "&amp;Search!$P$10,N695)))),ROW(),""))</f>
        <v/>
      </c>
      <c r="N695" s="0" t="str">
        <f aca="false">IF(D695="",""," "&amp;SUBSTITUTE(SUBSTITUTE(SUBSTITUTE(SUBSTITUTE(SUBSTITUTE(SUBSTITUTE(SUBSTITUTE(B695&amp;" "&amp;C695&amp;" "&amp;D695&amp;" "&amp;E695&amp;" "&amp;F695&amp;" "&amp;G695&amp;" "&amp;H695&amp;" "&amp;'15 System Rates S&amp;I'!R6,"("," "),")"," "),"/"," "),"-"," "),","," "),";"," "),":"," ")&amp;" ")</f>
        <v> SI 002 Curtain Wall &amp; Facade Stick curtain wall   Low E DGU Gulf Extrusions   equiv.  6+12+6 Low E PVDF Local system m2 6+12+6 lowe low e </v>
      </c>
    </row>
    <row r="696" customFormat="false" ht="22.35" hidden="false" customHeight="false" outlineLevel="0" collapsed="false">
      <c r="A696" s="56" t="str">
        <f aca="false">IF('15 System Rates S&amp;I'!$C$7="","","Finished Systems - Budget Supply &amp; Install Rates")</f>
        <v>Finished Systems - Budget Supply &amp; Install Rates</v>
      </c>
      <c r="B696" s="57" t="str">
        <f aca="false">IF('15 System Rates S&amp;I'!$C$7="","",'15 System Rates S&amp;I'!A7)</f>
        <v>SI-003</v>
      </c>
      <c r="C696" s="56" t="str">
        <f aca="false">IF('15 System Rates S&amp;I'!$C$7="","",'15 System Rates S&amp;I'!B7)</f>
        <v>Curtain Wall &amp; Facade</v>
      </c>
      <c r="D696" s="56" t="str">
        <f aca="false">IF('15 System Rates S&amp;I'!$C$7="","",'15 System Rates S&amp;I'!C7)</f>
        <v>Unitized curtain wall</v>
      </c>
      <c r="E696" s="56" t="str">
        <f aca="false">IF('15 System Rates S&amp;I'!$C$7="","",'15 System Rates S&amp;I'!D7)</f>
        <v>Low-E DGU, PVDF</v>
      </c>
      <c r="F696" s="56" t="str">
        <f aca="false">IF('15 System Rates S&amp;I'!$C$7="","",'15 System Rates S&amp;I'!E7)</f>
        <v>PVDF</v>
      </c>
      <c r="G696" s="56" t="str">
        <f aca="false">IF('15 System Rates S&amp;I'!$C$7="","",'15 System Rates S&amp;I'!F7)</f>
        <v>Local system</v>
      </c>
      <c r="H696" s="57" t="str">
        <f aca="false">IF('15 System Rates S&amp;I'!$C$7="","",'15 System Rates S&amp;I'!G7)</f>
        <v>m2</v>
      </c>
      <c r="I696" s="58" t="n">
        <f aca="false">IF('15 System Rates S&amp;I'!$C$7="","",'15 System Rates S&amp;I'!J7)</f>
        <v>1650</v>
      </c>
      <c r="J696" s="58" t="n">
        <f aca="false">IF('15 System Rates S&amp;I'!$C$7="","",'15 System Rates S&amp;I'!K7)</f>
        <v>1980</v>
      </c>
      <c r="K696" s="58" t="n">
        <f aca="false">IF('15 System Rates S&amp;I'!$C$7="","",'15 System Rates S&amp;I'!L7)</f>
        <v>2079</v>
      </c>
      <c r="L696" s="57" t="str">
        <f aca="false">IF('15 System Rates S&amp;I'!$C$7="","",'15 System Rates S&amp;I'!M7)</f>
        <v>Indicative</v>
      </c>
      <c r="M696" s="59" t="str">
        <f aca="false">IF(D696="","",IF(AND(OR(Search!$C$6="All Categories",A696=Search!$C$6),OR(Search!$P$5="",ISNUMBER(SEARCH(" "&amp;Search!$P$5,N696))),OR(Search!$P$6="",ISNUMBER(SEARCH(" "&amp;Search!$P$6,N696))),OR(Search!$P$7="",ISNUMBER(SEARCH(" "&amp;Search!$P$7,N696))),OR(Search!$P$8="",ISNUMBER(SEARCH(" "&amp;Search!$P$8,N696))),OR(Search!$P$9="",ISNUMBER(SEARCH(" "&amp;Search!$P$9,N696))),OR(Search!$P$10="",ISNUMBER(SEARCH(" "&amp;Search!$P$10,N696)))),ROW(),""))</f>
        <v/>
      </c>
      <c r="N696" s="0" t="str">
        <f aca="false">IF(D696="",""," "&amp;SUBSTITUTE(SUBSTITUTE(SUBSTITUTE(SUBSTITUTE(SUBSTITUTE(SUBSTITUTE(SUBSTITUTE(B696&amp;" "&amp;C696&amp;" "&amp;D696&amp;" "&amp;E696&amp;" "&amp;F696&amp;" "&amp;G696&amp;" "&amp;H696&amp;" "&amp;'15 System Rates S&amp;I'!R7,"("," "),")"," "),"/"," "),"-"," "),","," "),";"," "),":"," ")&amp;" ")</f>
        <v> SI 003 Curtain Wall &amp; Facade Unitized curtain wall Low E DGU  PVDF PVDF Local system m2 lowe low e </v>
      </c>
    </row>
    <row r="697" customFormat="false" ht="22.35" hidden="false" customHeight="false" outlineLevel="0" collapsed="false">
      <c r="A697" s="56" t="str">
        <f aca="false">IF('15 System Rates S&amp;I'!$C$8="","","Finished Systems - Budget Supply &amp; Install Rates")</f>
        <v>Finished Systems - Budget Supply &amp; Install Rates</v>
      </c>
      <c r="B697" s="57" t="str">
        <f aca="false">IF('15 System Rates S&amp;I'!$C$8="","",'15 System Rates S&amp;I'!A8)</f>
        <v>SI-004</v>
      </c>
      <c r="C697" s="56" t="str">
        <f aca="false">IF('15 System Rates S&amp;I'!$C$8="","",'15 System Rates S&amp;I'!B8)</f>
        <v>Curtain Wall &amp; Facade</v>
      </c>
      <c r="D697" s="56" t="str">
        <f aca="false">IF('15 System Rates S&amp;I'!$C$8="","",'15 System Rates S&amp;I'!C8)</f>
        <v>Structural glazing (SSG) curtain wall</v>
      </c>
      <c r="E697" s="56" t="str">
        <f aca="false">IF('15 System Rates S&amp;I'!$C$8="","",'15 System Rates S&amp;I'!D8)</f>
        <v>Low-E DGU</v>
      </c>
      <c r="F697" s="56" t="str">
        <f aca="false">IF('15 System Rates S&amp;I'!$C$8="","",'15 System Rates S&amp;I'!E8)</f>
        <v>PVDF</v>
      </c>
      <c r="G697" s="56" t="str">
        <f aca="false">IF('15 System Rates S&amp;I'!$C$8="","",'15 System Rates S&amp;I'!F8)</f>
        <v>Local system</v>
      </c>
      <c r="H697" s="57" t="str">
        <f aca="false">IF('15 System Rates S&amp;I'!$C$8="","",'15 System Rates S&amp;I'!G8)</f>
        <v>m2</v>
      </c>
      <c r="I697" s="58" t="n">
        <f aca="false">IF('15 System Rates S&amp;I'!$C$8="","",'15 System Rates S&amp;I'!J8)</f>
        <v>1400</v>
      </c>
      <c r="J697" s="58" t="n">
        <f aca="false">IF('15 System Rates S&amp;I'!$C$8="","",'15 System Rates S&amp;I'!K8)</f>
        <v>1680</v>
      </c>
      <c r="K697" s="58" t="n">
        <f aca="false">IF('15 System Rates S&amp;I'!$C$8="","",'15 System Rates S&amp;I'!L8)</f>
        <v>1764</v>
      </c>
      <c r="L697" s="57" t="str">
        <f aca="false">IF('15 System Rates S&amp;I'!$C$8="","",'15 System Rates S&amp;I'!M8)</f>
        <v>Indicative</v>
      </c>
      <c r="M697" s="59" t="str">
        <f aca="false">IF(D697="","",IF(AND(OR(Search!$C$6="All Categories",A697=Search!$C$6),OR(Search!$P$5="",ISNUMBER(SEARCH(" "&amp;Search!$P$5,N697))),OR(Search!$P$6="",ISNUMBER(SEARCH(" "&amp;Search!$P$6,N697))),OR(Search!$P$7="",ISNUMBER(SEARCH(" "&amp;Search!$P$7,N697))),OR(Search!$P$8="",ISNUMBER(SEARCH(" "&amp;Search!$P$8,N697))),OR(Search!$P$9="",ISNUMBER(SEARCH(" "&amp;Search!$P$9,N697))),OR(Search!$P$10="",ISNUMBER(SEARCH(" "&amp;Search!$P$10,N697)))),ROW(),""))</f>
        <v/>
      </c>
      <c r="N697" s="0" t="str">
        <f aca="false">IF(D697="",""," "&amp;SUBSTITUTE(SUBSTITUTE(SUBSTITUTE(SUBSTITUTE(SUBSTITUTE(SUBSTITUTE(SUBSTITUTE(B697&amp;" "&amp;C697&amp;" "&amp;D697&amp;" "&amp;E697&amp;" "&amp;F697&amp;" "&amp;G697&amp;" "&amp;H697&amp;" "&amp;'15 System Rates S&amp;I'!R8,"("," "),")"," "),"/"," "),"-"," "),","," "),";"," "),":"," ")&amp;" ")</f>
        <v> SI 004 Curtain Wall &amp; Facade Structural glazing  SSG  curtain wall Low E DGU PVDF Local system m2 lowe low e </v>
      </c>
    </row>
    <row r="698" customFormat="false" ht="22.35" hidden="false" customHeight="false" outlineLevel="0" collapsed="false">
      <c r="A698" s="56" t="str">
        <f aca="false">IF('15 System Rates S&amp;I'!$C$9="","","Finished Systems - Budget Supply &amp; Install Rates")</f>
        <v>Finished Systems - Budget Supply &amp; Install Rates</v>
      </c>
      <c r="B698" s="57" t="str">
        <f aca="false">IF('15 System Rates S&amp;I'!$C$9="","",'15 System Rates S&amp;I'!A9)</f>
        <v>SI-005</v>
      </c>
      <c r="C698" s="56" t="str">
        <f aca="false">IF('15 System Rates S&amp;I'!$C$9="","",'15 System Rates S&amp;I'!B9)</f>
        <v>Curtain Wall &amp; Facade</v>
      </c>
      <c r="D698" s="56" t="str">
        <f aca="false">IF('15 System Rates S&amp;I'!$C$9="","",'15 System Rates S&amp;I'!C9)</f>
        <v>Spider (point-fixed) glazing</v>
      </c>
      <c r="E698" s="56" t="str">
        <f aca="false">IF('15 System Rates S&amp;I'!$C$9="","",'15 System Rates S&amp;I'!D9)</f>
        <v>SS 316 spiders, 12.76-21.52 TL</v>
      </c>
      <c r="F698" s="56" t="str">
        <f aca="false">IF('15 System Rates S&amp;I'!$C$9="","",'15 System Rates S&amp;I'!E9)</f>
        <v>-</v>
      </c>
      <c r="G698" s="56" t="str">
        <f aca="false">IF('15 System Rates S&amp;I'!$C$9="","",'15 System Rates S&amp;I'!F9)</f>
        <v>Local / Imported fittings</v>
      </c>
      <c r="H698" s="57" t="str">
        <f aca="false">IF('15 System Rates S&amp;I'!$C$9="","",'15 System Rates S&amp;I'!G9)</f>
        <v>m2</v>
      </c>
      <c r="I698" s="58" t="n">
        <f aca="false">IF('15 System Rates S&amp;I'!$C$9="","",'15 System Rates S&amp;I'!J9)</f>
        <v>2200</v>
      </c>
      <c r="J698" s="58" t="n">
        <f aca="false">IF('15 System Rates S&amp;I'!$C$9="","",'15 System Rates S&amp;I'!K9)</f>
        <v>2640</v>
      </c>
      <c r="K698" s="58" t="n">
        <f aca="false">IF('15 System Rates S&amp;I'!$C$9="","",'15 System Rates S&amp;I'!L9)</f>
        <v>2772</v>
      </c>
      <c r="L698" s="57" t="str">
        <f aca="false">IF('15 System Rates S&amp;I'!$C$9="","",'15 System Rates S&amp;I'!M9)</f>
        <v>Indicative</v>
      </c>
      <c r="M698" s="59" t="str">
        <f aca="false">IF(D698="","",IF(AND(OR(Search!$C$6="All Categories",A698=Search!$C$6),OR(Search!$P$5="",ISNUMBER(SEARCH(" "&amp;Search!$P$5,N698))),OR(Search!$P$6="",ISNUMBER(SEARCH(" "&amp;Search!$P$6,N698))),OR(Search!$P$7="",ISNUMBER(SEARCH(" "&amp;Search!$P$7,N698))),OR(Search!$P$8="",ISNUMBER(SEARCH(" "&amp;Search!$P$8,N698))),OR(Search!$P$9="",ISNUMBER(SEARCH(" "&amp;Search!$P$9,N698))),OR(Search!$P$10="",ISNUMBER(SEARCH(" "&amp;Search!$P$10,N698)))),ROW(),""))</f>
        <v/>
      </c>
      <c r="N698" s="0" t="str">
        <f aca="false">IF(D698="",""," "&amp;SUBSTITUTE(SUBSTITUTE(SUBSTITUTE(SUBSTITUTE(SUBSTITUTE(SUBSTITUTE(SUBSTITUTE(B698&amp;" "&amp;C698&amp;" "&amp;D698&amp;" "&amp;E698&amp;" "&amp;F698&amp;" "&amp;G698&amp;" "&amp;H698&amp;" "&amp;'15 System Rates S&amp;I'!R9,"("," "),")"," "),"/"," "),"-"," "),","," "),";"," "),":"," ")&amp;" ")</f>
        <v> SI 005 Curtain Wall &amp; Facade Spider  point fixed  glazing SS 316 spiders  12.76 21.52 TL   Local   Imported fittings m2 ss316 sus316 stainless steel </v>
      </c>
    </row>
    <row r="699" customFormat="false" ht="22.35" hidden="false" customHeight="false" outlineLevel="0" collapsed="false">
      <c r="A699" s="56" t="str">
        <f aca="false">IF('15 System Rates S&amp;I'!$C$10="","","Finished Systems - Budget Supply &amp; Install Rates")</f>
        <v>Finished Systems - Budget Supply &amp; Install Rates</v>
      </c>
      <c r="B699" s="57" t="str">
        <f aca="false">IF('15 System Rates S&amp;I'!$C$10="","",'15 System Rates S&amp;I'!A10)</f>
        <v>SI-006</v>
      </c>
      <c r="C699" s="56" t="str">
        <f aca="false">IF('15 System Rates S&amp;I'!$C$10="","",'15 System Rates S&amp;I'!B10)</f>
        <v>Curtain Wall &amp; Facade</v>
      </c>
      <c r="D699" s="56" t="str">
        <f aca="false">IF('15 System Rates S&amp;I'!$C$10="","",'15 System Rates S&amp;I'!C10)</f>
        <v>Glass fin wall</v>
      </c>
      <c r="E699" s="56" t="str">
        <f aca="false">IF('15 System Rates S&amp;I'!$C$10="","",'15 System Rates S&amp;I'!D10)</f>
        <v>Laminated glass fins</v>
      </c>
      <c r="F699" s="56" t="str">
        <f aca="false">IF('15 System Rates S&amp;I'!$C$10="","",'15 System Rates S&amp;I'!E10)</f>
        <v>-</v>
      </c>
      <c r="G699" s="56" t="str">
        <f aca="false">IF('15 System Rates S&amp;I'!$C$10="","",'15 System Rates S&amp;I'!F10)</f>
        <v>Local</v>
      </c>
      <c r="H699" s="57" t="str">
        <f aca="false">IF('15 System Rates S&amp;I'!$C$10="","",'15 System Rates S&amp;I'!G10)</f>
        <v>m2</v>
      </c>
      <c r="I699" s="58" t="n">
        <f aca="false">IF('15 System Rates S&amp;I'!$C$10="","",'15 System Rates S&amp;I'!J10)</f>
        <v>2600</v>
      </c>
      <c r="J699" s="58" t="n">
        <f aca="false">IF('15 System Rates S&amp;I'!$C$10="","",'15 System Rates S&amp;I'!K10)</f>
        <v>3120</v>
      </c>
      <c r="K699" s="58" t="n">
        <f aca="false">IF('15 System Rates S&amp;I'!$C$10="","",'15 System Rates S&amp;I'!L10)</f>
        <v>3276</v>
      </c>
      <c r="L699" s="57" t="str">
        <f aca="false">IF('15 System Rates S&amp;I'!$C$10="","",'15 System Rates S&amp;I'!M10)</f>
        <v>Indicative</v>
      </c>
      <c r="M699" s="59" t="str">
        <f aca="false">IF(D699="","",IF(AND(OR(Search!$C$6="All Categories",A699=Search!$C$6),OR(Search!$P$5="",ISNUMBER(SEARCH(" "&amp;Search!$P$5,N699))),OR(Search!$P$6="",ISNUMBER(SEARCH(" "&amp;Search!$P$6,N699))),OR(Search!$P$7="",ISNUMBER(SEARCH(" "&amp;Search!$P$7,N699))),OR(Search!$P$8="",ISNUMBER(SEARCH(" "&amp;Search!$P$8,N699))),OR(Search!$P$9="",ISNUMBER(SEARCH(" "&amp;Search!$P$9,N699))),OR(Search!$P$10="",ISNUMBER(SEARCH(" "&amp;Search!$P$10,N699)))),ROW(),""))</f>
        <v/>
      </c>
      <c r="N699" s="0" t="str">
        <f aca="false">IF(D699="",""," "&amp;SUBSTITUTE(SUBSTITUTE(SUBSTITUTE(SUBSTITUTE(SUBSTITUTE(SUBSTITUTE(SUBSTITUTE(B699&amp;" "&amp;C699&amp;" "&amp;D699&amp;" "&amp;E699&amp;" "&amp;F699&amp;" "&amp;G699&amp;" "&amp;H699&amp;" "&amp;'15 System Rates S&amp;I'!R10,"("," "),")"," "),"/"," "),"-"," "),","," "),";"," "),":"," ")&amp;" ")</f>
        <v> SI 006 Curtain Wall &amp; Facade Glass fin wall Laminated glass fins   Local m2 lami stainless steel </v>
      </c>
    </row>
    <row r="700" customFormat="false" ht="22.35" hidden="false" customHeight="false" outlineLevel="0" collapsed="false">
      <c r="A700" s="56" t="str">
        <f aca="false">IF('15 System Rates S&amp;I'!$C$11="","","Finished Systems - Budget Supply &amp; Install Rates")</f>
        <v>Finished Systems - Budget Supply &amp; Install Rates</v>
      </c>
      <c r="B700" s="57" t="str">
        <f aca="false">IF('15 System Rates S&amp;I'!$C$11="","",'15 System Rates S&amp;I'!A11)</f>
        <v>SI-007</v>
      </c>
      <c r="C700" s="56" t="str">
        <f aca="false">IF('15 System Rates S&amp;I'!$C$11="","",'15 System Rates S&amp;I'!B11)</f>
        <v>Curtain Wall &amp; Facade</v>
      </c>
      <c r="D700" s="56" t="str">
        <f aca="false">IF('15 System Rates S&amp;I'!$C$11="","",'15 System Rates S&amp;I'!C11)</f>
        <v>ACP cladding - supply &amp; install</v>
      </c>
      <c r="E700" s="56" t="str">
        <f aca="false">IF('15 System Rates S&amp;I'!$C$11="","",'15 System Rates S&amp;I'!D11)</f>
        <v>4 mm FR, with sub-frame</v>
      </c>
      <c r="F700" s="56" t="str">
        <f aca="false">IF('15 System Rates S&amp;I'!$C$11="","",'15 System Rates S&amp;I'!E11)</f>
        <v>PVDF</v>
      </c>
      <c r="G700" s="56" t="str">
        <f aca="false">IF('15 System Rates S&amp;I'!$C$11="","",'15 System Rates S&amp;I'!F11)</f>
        <v>Alubond / Equiv.</v>
      </c>
      <c r="H700" s="57" t="str">
        <f aca="false">IF('15 System Rates S&amp;I'!$C$11="","",'15 System Rates S&amp;I'!G11)</f>
        <v>m2</v>
      </c>
      <c r="I700" s="58" t="n">
        <f aca="false">IF('15 System Rates S&amp;I'!$C$11="","",'15 System Rates S&amp;I'!J11)</f>
        <v>220</v>
      </c>
      <c r="J700" s="58" t="n">
        <f aca="false">IF('15 System Rates S&amp;I'!$C$11="","",'15 System Rates S&amp;I'!K11)</f>
        <v>264</v>
      </c>
      <c r="K700" s="58" t="n">
        <f aca="false">IF('15 System Rates S&amp;I'!$C$11="","",'15 System Rates S&amp;I'!L11)</f>
        <v>277.2</v>
      </c>
      <c r="L700" s="57" t="str">
        <f aca="false">IF('15 System Rates S&amp;I'!$C$11="","",'15 System Rates S&amp;I'!M11)</f>
        <v>Indicative</v>
      </c>
      <c r="M700" s="59" t="str">
        <f aca="false">IF(D700="","",IF(AND(OR(Search!$C$6="All Categories",A700=Search!$C$6),OR(Search!$P$5="",ISNUMBER(SEARCH(" "&amp;Search!$P$5,N700))),OR(Search!$P$6="",ISNUMBER(SEARCH(" "&amp;Search!$P$6,N700))),OR(Search!$P$7="",ISNUMBER(SEARCH(" "&amp;Search!$P$7,N700))),OR(Search!$P$8="",ISNUMBER(SEARCH(" "&amp;Search!$P$8,N700))),OR(Search!$P$9="",ISNUMBER(SEARCH(" "&amp;Search!$P$9,N700))),OR(Search!$P$10="",ISNUMBER(SEARCH(" "&amp;Search!$P$10,N700)))),ROW(),""))</f>
        <v/>
      </c>
      <c r="N700" s="0" t="str">
        <f aca="false">IF(D700="",""," "&amp;SUBSTITUTE(SUBSTITUTE(SUBSTITUTE(SUBSTITUTE(SUBSTITUTE(SUBSTITUTE(SUBSTITUTE(B700&amp;" "&amp;C700&amp;" "&amp;D700&amp;" "&amp;E700&amp;" "&amp;F700&amp;" "&amp;G700&amp;" "&amp;H700&amp;" "&amp;'15 System Rates S&amp;I'!R11,"("," "),")"," "),"/"," "),"-"," "),","," "),";"," "),":"," ")&amp;" ")</f>
        <v> SI 007 Curtain Wall &amp; Facade ACP cladding   supply &amp; install 4 mm FR  with sub frame PVDF Alubond   Equiv. m2 4mm </v>
      </c>
    </row>
    <row r="701" customFormat="false" ht="22.35" hidden="false" customHeight="false" outlineLevel="0" collapsed="false">
      <c r="A701" s="56" t="str">
        <f aca="false">IF('15 System Rates S&amp;I'!$C$12="","","Finished Systems - Budget Supply &amp; Install Rates")</f>
        <v>Finished Systems - Budget Supply &amp; Install Rates</v>
      </c>
      <c r="B701" s="57" t="str">
        <f aca="false">IF('15 System Rates S&amp;I'!$C$12="","",'15 System Rates S&amp;I'!A12)</f>
        <v>SI-008</v>
      </c>
      <c r="C701" s="56" t="str">
        <f aca="false">IF('15 System Rates S&amp;I'!$C$12="","",'15 System Rates S&amp;I'!B12)</f>
        <v>Curtain Wall &amp; Facade</v>
      </c>
      <c r="D701" s="56" t="str">
        <f aca="false">IF('15 System Rates S&amp;I'!$C$12="","",'15 System Rates S&amp;I'!C12)</f>
        <v>Solid aluminium panel cladding - S&amp;I</v>
      </c>
      <c r="E701" s="56" t="str">
        <f aca="false">IF('15 System Rates S&amp;I'!$C$12="","",'15 System Rates S&amp;I'!D12)</f>
        <v>3 mm, with sub-frame</v>
      </c>
      <c r="F701" s="56" t="str">
        <f aca="false">IF('15 System Rates S&amp;I'!$C$12="","",'15 System Rates S&amp;I'!E12)</f>
        <v>PVDF</v>
      </c>
      <c r="G701" s="56" t="str">
        <f aca="false">IF('15 System Rates S&amp;I'!$C$12="","",'15 System Rates S&amp;I'!F12)</f>
        <v>Local</v>
      </c>
      <c r="H701" s="57" t="str">
        <f aca="false">IF('15 System Rates S&amp;I'!$C$12="","",'15 System Rates S&amp;I'!G12)</f>
        <v>m2</v>
      </c>
      <c r="I701" s="58" t="n">
        <f aca="false">IF('15 System Rates S&amp;I'!$C$12="","",'15 System Rates S&amp;I'!J12)</f>
        <v>380</v>
      </c>
      <c r="J701" s="58" t="n">
        <f aca="false">IF('15 System Rates S&amp;I'!$C$12="","",'15 System Rates S&amp;I'!K12)</f>
        <v>456</v>
      </c>
      <c r="K701" s="58" t="n">
        <f aca="false">IF('15 System Rates S&amp;I'!$C$12="","",'15 System Rates S&amp;I'!L12)</f>
        <v>478.8</v>
      </c>
      <c r="L701" s="57" t="str">
        <f aca="false">IF('15 System Rates S&amp;I'!$C$12="","",'15 System Rates S&amp;I'!M12)</f>
        <v>Indicative</v>
      </c>
      <c r="M701" s="59" t="str">
        <f aca="false">IF(D701="","",IF(AND(OR(Search!$C$6="All Categories",A701=Search!$C$6),OR(Search!$P$5="",ISNUMBER(SEARCH(" "&amp;Search!$P$5,N701))),OR(Search!$P$6="",ISNUMBER(SEARCH(" "&amp;Search!$P$6,N701))),OR(Search!$P$7="",ISNUMBER(SEARCH(" "&amp;Search!$P$7,N701))),OR(Search!$P$8="",ISNUMBER(SEARCH(" "&amp;Search!$P$8,N701))),OR(Search!$P$9="",ISNUMBER(SEARCH(" "&amp;Search!$P$9,N701))),OR(Search!$P$10="",ISNUMBER(SEARCH(" "&amp;Search!$P$10,N701)))),ROW(),""))</f>
        <v/>
      </c>
      <c r="N701" s="0" t="str">
        <f aca="false">IF(D701="",""," "&amp;SUBSTITUTE(SUBSTITUTE(SUBSTITUTE(SUBSTITUTE(SUBSTITUTE(SUBSTITUTE(SUBSTITUTE(B701&amp;" "&amp;C701&amp;" "&amp;D701&amp;" "&amp;E701&amp;" "&amp;F701&amp;" "&amp;G701&amp;" "&amp;H701&amp;" "&amp;'15 System Rates S&amp;I'!R12,"("," "),")"," "),"/"," "),"-"," "),","," "),";"," "),":"," ")&amp;" ")</f>
        <v> SI 008 Curtain Wall &amp; Facade Solid aluminium panel cladding   S&amp;I 3 mm  with sub frame PVDF Local m2 3mm aluminum alu </v>
      </c>
    </row>
    <row r="702" customFormat="false" ht="22.35" hidden="false" customHeight="false" outlineLevel="0" collapsed="false">
      <c r="A702" s="56" t="str">
        <f aca="false">IF('15 System Rates S&amp;I'!$C$13="","","Finished Systems - Budget Supply &amp; Install Rates")</f>
        <v>Finished Systems - Budget Supply &amp; Install Rates</v>
      </c>
      <c r="B702" s="57" t="str">
        <f aca="false">IF('15 System Rates S&amp;I'!$C$13="","",'15 System Rates S&amp;I'!A13)</f>
        <v>SI-009</v>
      </c>
      <c r="C702" s="56" t="str">
        <f aca="false">IF('15 System Rates S&amp;I'!$C$13="","",'15 System Rates S&amp;I'!B13)</f>
        <v>Windows</v>
      </c>
      <c r="D702" s="56" t="str">
        <f aca="false">IF('15 System Rates S&amp;I'!$C$13="","",'15 System Rates S&amp;I'!C13)</f>
        <v>Sliding window - non-thermal</v>
      </c>
      <c r="E702" s="56" t="str">
        <f aca="false">IF('15 System Rates S&amp;I'!$C$13="","",'15 System Rates S&amp;I'!D13)</f>
        <v>6 mm tempered / 6.38 lam</v>
      </c>
      <c r="F702" s="56" t="str">
        <f aca="false">IF('15 System Rates S&amp;I'!$C$13="","",'15 System Rates S&amp;I'!E13)</f>
        <v>PC</v>
      </c>
      <c r="G702" s="56" t="str">
        <f aca="false">IF('15 System Rates S&amp;I'!$C$13="","",'15 System Rates S&amp;I'!F13)</f>
        <v>Gulf Extrusions / Equiv.</v>
      </c>
      <c r="H702" s="57" t="str">
        <f aca="false">IF('15 System Rates S&amp;I'!$C$13="","",'15 System Rates S&amp;I'!G13)</f>
        <v>m2</v>
      </c>
      <c r="I702" s="58" t="n">
        <f aca="false">IF('15 System Rates S&amp;I'!$C$13="","",'15 System Rates S&amp;I'!J13)</f>
        <v>480</v>
      </c>
      <c r="J702" s="58" t="n">
        <f aca="false">IF('15 System Rates S&amp;I'!$C$13="","",'15 System Rates S&amp;I'!K13)</f>
        <v>576</v>
      </c>
      <c r="K702" s="58" t="n">
        <f aca="false">IF('15 System Rates S&amp;I'!$C$13="","",'15 System Rates S&amp;I'!L13)</f>
        <v>604.8</v>
      </c>
      <c r="L702" s="57" t="str">
        <f aca="false">IF('15 System Rates S&amp;I'!$C$13="","",'15 System Rates S&amp;I'!M13)</f>
        <v>Indicative</v>
      </c>
      <c r="M702" s="59" t="str">
        <f aca="false">IF(D702="","",IF(AND(OR(Search!$C$6="All Categories",A702=Search!$C$6),OR(Search!$P$5="",ISNUMBER(SEARCH(" "&amp;Search!$P$5,N702))),OR(Search!$P$6="",ISNUMBER(SEARCH(" "&amp;Search!$P$6,N702))),OR(Search!$P$7="",ISNUMBER(SEARCH(" "&amp;Search!$P$7,N702))),OR(Search!$P$8="",ISNUMBER(SEARCH(" "&amp;Search!$P$8,N702))),OR(Search!$P$9="",ISNUMBER(SEARCH(" "&amp;Search!$P$9,N702))),OR(Search!$P$10="",ISNUMBER(SEARCH(" "&amp;Search!$P$10,N702)))),ROW(),""))</f>
        <v/>
      </c>
      <c r="N702" s="0" t="str">
        <f aca="false">IF(D702="",""," "&amp;SUBSTITUTE(SUBSTITUTE(SUBSTITUTE(SUBSTITUTE(SUBSTITUTE(SUBSTITUTE(SUBSTITUTE(B702&amp;" "&amp;C702&amp;" "&amp;D702&amp;" "&amp;E702&amp;" "&amp;F702&amp;" "&amp;G702&amp;" "&amp;H702&amp;" "&amp;'15 System Rates S&amp;I'!R13,"("," "),")"," "),"/"," "),"-"," "),","," "),";"," "),":"," ")&amp;" ")</f>
        <v> SI 009 Windows Sliding window   non thermal 6 mm tempered   6.38 lam PC Gulf Extrusions   Equiv. m2 6mm toughened </v>
      </c>
    </row>
    <row r="703" customFormat="false" ht="22.35" hidden="false" customHeight="false" outlineLevel="0" collapsed="false">
      <c r="A703" s="56" t="str">
        <f aca="false">IF('15 System Rates S&amp;I'!$C$14="","","Finished Systems - Budget Supply &amp; Install Rates")</f>
        <v>Finished Systems - Budget Supply &amp; Install Rates</v>
      </c>
      <c r="B703" s="57" t="str">
        <f aca="false">IF('15 System Rates S&amp;I'!$C$14="","",'15 System Rates S&amp;I'!A14)</f>
        <v>SI-010</v>
      </c>
      <c r="C703" s="56" t="str">
        <f aca="false">IF('15 System Rates S&amp;I'!$C$14="","",'15 System Rates S&amp;I'!B14)</f>
        <v>Windows</v>
      </c>
      <c r="D703" s="56" t="str">
        <f aca="false">IF('15 System Rates S&amp;I'!$C$14="","",'15 System Rates S&amp;I'!C14)</f>
        <v>Sliding window - thermal break</v>
      </c>
      <c r="E703" s="56" t="str">
        <f aca="false">IF('15 System Rates S&amp;I'!$C$14="","",'15 System Rates S&amp;I'!D14)</f>
        <v>DGU 6+12+6</v>
      </c>
      <c r="F703" s="56" t="str">
        <f aca="false">IF('15 System Rates S&amp;I'!$C$14="","",'15 System Rates S&amp;I'!E14)</f>
        <v>PC</v>
      </c>
      <c r="G703" s="56" t="str">
        <f aca="false">IF('15 System Rates S&amp;I'!$C$14="","",'15 System Rates S&amp;I'!F14)</f>
        <v>Gulf Extrusions / Equiv.</v>
      </c>
      <c r="H703" s="57" t="str">
        <f aca="false">IF('15 System Rates S&amp;I'!$C$14="","",'15 System Rates S&amp;I'!G14)</f>
        <v>m2</v>
      </c>
      <c r="I703" s="58" t="n">
        <f aca="false">IF('15 System Rates S&amp;I'!$C$14="","",'15 System Rates S&amp;I'!J14)</f>
        <v>750</v>
      </c>
      <c r="J703" s="58" t="n">
        <f aca="false">IF('15 System Rates S&amp;I'!$C$14="","",'15 System Rates S&amp;I'!K14)</f>
        <v>900</v>
      </c>
      <c r="K703" s="58" t="n">
        <f aca="false">IF('15 System Rates S&amp;I'!$C$14="","",'15 System Rates S&amp;I'!L14)</f>
        <v>945</v>
      </c>
      <c r="L703" s="57" t="str">
        <f aca="false">IF('15 System Rates S&amp;I'!$C$14="","",'15 System Rates S&amp;I'!M14)</f>
        <v>Indicative</v>
      </c>
      <c r="M703" s="59" t="str">
        <f aca="false">IF(D703="","",IF(AND(OR(Search!$C$6="All Categories",A703=Search!$C$6),OR(Search!$P$5="",ISNUMBER(SEARCH(" "&amp;Search!$P$5,N703))),OR(Search!$P$6="",ISNUMBER(SEARCH(" "&amp;Search!$P$6,N703))),OR(Search!$P$7="",ISNUMBER(SEARCH(" "&amp;Search!$P$7,N703))),OR(Search!$P$8="",ISNUMBER(SEARCH(" "&amp;Search!$P$8,N703))),OR(Search!$P$9="",ISNUMBER(SEARCH(" "&amp;Search!$P$9,N703))),OR(Search!$P$10="",ISNUMBER(SEARCH(" "&amp;Search!$P$10,N703)))),ROW(),""))</f>
        <v/>
      </c>
      <c r="N703" s="0" t="str">
        <f aca="false">IF(D703="",""," "&amp;SUBSTITUTE(SUBSTITUTE(SUBSTITUTE(SUBSTITUTE(SUBSTITUTE(SUBSTITUTE(SUBSTITUTE(B703&amp;" "&amp;C703&amp;" "&amp;D703&amp;" "&amp;E703&amp;" "&amp;F703&amp;" "&amp;G703&amp;" "&amp;H703&amp;" "&amp;'15 System Rates S&amp;I'!R14,"("," "),")"," "),"/"," "),"-"," "),","," "),";"," "),":"," ")&amp;" ")</f>
        <v> SI 010 Windows Sliding window   thermal break DGU 6+12+6 PC Gulf Extrusions   Equiv. m2 6+12+6 </v>
      </c>
    </row>
    <row r="704" customFormat="false" ht="22.35" hidden="false" customHeight="false" outlineLevel="0" collapsed="false">
      <c r="A704" s="56" t="str">
        <f aca="false">IF('15 System Rates S&amp;I'!$C$15="","","Finished Systems - Budget Supply &amp; Install Rates")</f>
        <v>Finished Systems - Budget Supply &amp; Install Rates</v>
      </c>
      <c r="B704" s="57" t="str">
        <f aca="false">IF('15 System Rates S&amp;I'!$C$15="","",'15 System Rates S&amp;I'!A15)</f>
        <v>SI-011</v>
      </c>
      <c r="C704" s="56" t="str">
        <f aca="false">IF('15 System Rates S&amp;I'!$C$15="","",'15 System Rates S&amp;I'!B15)</f>
        <v>Windows</v>
      </c>
      <c r="D704" s="56" t="str">
        <f aca="false">IF('15 System Rates S&amp;I'!$C$15="","",'15 System Rates S&amp;I'!C15)</f>
        <v>Casement / top-hung window - non-thermal</v>
      </c>
      <c r="E704" s="56" t="str">
        <f aca="false">IF('15 System Rates S&amp;I'!$C$15="","",'15 System Rates S&amp;I'!D15)</f>
        <v>6 mm tempered</v>
      </c>
      <c r="F704" s="56" t="str">
        <f aca="false">IF('15 System Rates S&amp;I'!$C$15="","",'15 System Rates S&amp;I'!E15)</f>
        <v>PC</v>
      </c>
      <c r="G704" s="56" t="str">
        <f aca="false">IF('15 System Rates S&amp;I'!$C$15="","",'15 System Rates S&amp;I'!F15)</f>
        <v>Gulf Extrusions / Equiv.</v>
      </c>
      <c r="H704" s="57" t="str">
        <f aca="false">IF('15 System Rates S&amp;I'!$C$15="","",'15 System Rates S&amp;I'!G15)</f>
        <v>m2</v>
      </c>
      <c r="I704" s="58" t="n">
        <f aca="false">IF('15 System Rates S&amp;I'!$C$15="","",'15 System Rates S&amp;I'!J15)</f>
        <v>550</v>
      </c>
      <c r="J704" s="58" t="n">
        <f aca="false">IF('15 System Rates S&amp;I'!$C$15="","",'15 System Rates S&amp;I'!K15)</f>
        <v>660</v>
      </c>
      <c r="K704" s="58" t="n">
        <f aca="false">IF('15 System Rates S&amp;I'!$C$15="","",'15 System Rates S&amp;I'!L15)</f>
        <v>693</v>
      </c>
      <c r="L704" s="57" t="str">
        <f aca="false">IF('15 System Rates S&amp;I'!$C$15="","",'15 System Rates S&amp;I'!M15)</f>
        <v>Indicative</v>
      </c>
      <c r="M704" s="59" t="str">
        <f aca="false">IF(D704="","",IF(AND(OR(Search!$C$6="All Categories",A704=Search!$C$6),OR(Search!$P$5="",ISNUMBER(SEARCH(" "&amp;Search!$P$5,N704))),OR(Search!$P$6="",ISNUMBER(SEARCH(" "&amp;Search!$P$6,N704))),OR(Search!$P$7="",ISNUMBER(SEARCH(" "&amp;Search!$P$7,N704))),OR(Search!$P$8="",ISNUMBER(SEARCH(" "&amp;Search!$P$8,N704))),OR(Search!$P$9="",ISNUMBER(SEARCH(" "&amp;Search!$P$9,N704))),OR(Search!$P$10="",ISNUMBER(SEARCH(" "&amp;Search!$P$10,N704)))),ROW(),""))</f>
        <v/>
      </c>
      <c r="N704" s="0" t="str">
        <f aca="false">IF(D704="",""," "&amp;SUBSTITUTE(SUBSTITUTE(SUBSTITUTE(SUBSTITUTE(SUBSTITUTE(SUBSTITUTE(SUBSTITUTE(B704&amp;" "&amp;C704&amp;" "&amp;D704&amp;" "&amp;E704&amp;" "&amp;F704&amp;" "&amp;G704&amp;" "&amp;H704&amp;" "&amp;'15 System Rates S&amp;I'!R15,"("," "),")"," "),"/"," "),"-"," "),","," "),";"," "),":"," ")&amp;" ")</f>
        <v> SI 011 Windows Casement   top hung window   non thermal 6 mm tempered PC Gulf Extrusions   Equiv. m2 6mm toughened </v>
      </c>
    </row>
    <row r="705" customFormat="false" ht="22.35" hidden="false" customHeight="false" outlineLevel="0" collapsed="false">
      <c r="A705" s="56" t="str">
        <f aca="false">IF('15 System Rates S&amp;I'!$C$16="","","Finished Systems - Budget Supply &amp; Install Rates")</f>
        <v>Finished Systems - Budget Supply &amp; Install Rates</v>
      </c>
      <c r="B705" s="57" t="str">
        <f aca="false">IF('15 System Rates S&amp;I'!$C$16="","",'15 System Rates S&amp;I'!A16)</f>
        <v>SI-012</v>
      </c>
      <c r="C705" s="56" t="str">
        <f aca="false">IF('15 System Rates S&amp;I'!$C$16="","",'15 System Rates S&amp;I'!B16)</f>
        <v>Windows</v>
      </c>
      <c r="D705" s="56" t="str">
        <f aca="false">IF('15 System Rates S&amp;I'!$C$16="","",'15 System Rates S&amp;I'!C16)</f>
        <v>Casement / top-hung window - thermal break</v>
      </c>
      <c r="E705" s="56" t="str">
        <f aca="false">IF('15 System Rates S&amp;I'!$C$16="","",'15 System Rates S&amp;I'!D16)</f>
        <v>DGU 6+12+6</v>
      </c>
      <c r="F705" s="56" t="str">
        <f aca="false">IF('15 System Rates S&amp;I'!$C$16="","",'15 System Rates S&amp;I'!E16)</f>
        <v>PC</v>
      </c>
      <c r="G705" s="56" t="str">
        <f aca="false">IF('15 System Rates S&amp;I'!$C$16="","",'15 System Rates S&amp;I'!F16)</f>
        <v>Gulf Extrusions / Equiv.</v>
      </c>
      <c r="H705" s="57" t="str">
        <f aca="false">IF('15 System Rates S&amp;I'!$C$16="","",'15 System Rates S&amp;I'!G16)</f>
        <v>m2</v>
      </c>
      <c r="I705" s="58" t="n">
        <f aca="false">IF('15 System Rates S&amp;I'!$C$16="","",'15 System Rates S&amp;I'!J16)</f>
        <v>820</v>
      </c>
      <c r="J705" s="58" t="n">
        <f aca="false">IF('15 System Rates S&amp;I'!$C$16="","",'15 System Rates S&amp;I'!K16)</f>
        <v>984</v>
      </c>
      <c r="K705" s="58" t="n">
        <f aca="false">IF('15 System Rates S&amp;I'!$C$16="","",'15 System Rates S&amp;I'!L16)</f>
        <v>1033.2</v>
      </c>
      <c r="L705" s="57" t="str">
        <f aca="false">IF('15 System Rates S&amp;I'!$C$16="","",'15 System Rates S&amp;I'!M16)</f>
        <v>Indicative</v>
      </c>
      <c r="M705" s="59" t="str">
        <f aca="false">IF(D705="","",IF(AND(OR(Search!$C$6="All Categories",A705=Search!$C$6),OR(Search!$P$5="",ISNUMBER(SEARCH(" "&amp;Search!$P$5,N705))),OR(Search!$P$6="",ISNUMBER(SEARCH(" "&amp;Search!$P$6,N705))),OR(Search!$P$7="",ISNUMBER(SEARCH(" "&amp;Search!$P$7,N705))),OR(Search!$P$8="",ISNUMBER(SEARCH(" "&amp;Search!$P$8,N705))),OR(Search!$P$9="",ISNUMBER(SEARCH(" "&amp;Search!$P$9,N705))),OR(Search!$P$10="",ISNUMBER(SEARCH(" "&amp;Search!$P$10,N705)))),ROW(),""))</f>
        <v/>
      </c>
      <c r="N705" s="0" t="str">
        <f aca="false">IF(D705="",""," "&amp;SUBSTITUTE(SUBSTITUTE(SUBSTITUTE(SUBSTITUTE(SUBSTITUTE(SUBSTITUTE(SUBSTITUTE(B705&amp;" "&amp;C705&amp;" "&amp;D705&amp;" "&amp;E705&amp;" "&amp;F705&amp;" "&amp;G705&amp;" "&amp;H705&amp;" "&amp;'15 System Rates S&amp;I'!R16,"("," "),")"," "),"/"," "),"-"," "),","," "),";"," "),":"," ")&amp;" ")</f>
        <v> SI 012 Windows Casement   top hung window   thermal break DGU 6+12+6 PC Gulf Extrusions   Equiv. m2 6+12+6 </v>
      </c>
    </row>
    <row r="706" customFormat="false" ht="22.35" hidden="false" customHeight="false" outlineLevel="0" collapsed="false">
      <c r="A706" s="56" t="str">
        <f aca="false">IF('15 System Rates S&amp;I'!$C$17="","","Finished Systems - Budget Supply &amp; Install Rates")</f>
        <v>Finished Systems - Budget Supply &amp; Install Rates</v>
      </c>
      <c r="B706" s="57" t="str">
        <f aca="false">IF('15 System Rates S&amp;I'!$C$17="","",'15 System Rates S&amp;I'!A17)</f>
        <v>SI-013</v>
      </c>
      <c r="C706" s="56" t="str">
        <f aca="false">IF('15 System Rates S&amp;I'!$C$17="","",'15 System Rates S&amp;I'!B17)</f>
        <v>Windows</v>
      </c>
      <c r="D706" s="56" t="str">
        <f aca="false">IF('15 System Rates S&amp;I'!$C$17="","",'15 System Rates S&amp;I'!C17)</f>
        <v>Fixed window - thermal break</v>
      </c>
      <c r="E706" s="56" t="str">
        <f aca="false">IF('15 System Rates S&amp;I'!$C$17="","",'15 System Rates S&amp;I'!D17)</f>
        <v>DGU 6+12+6</v>
      </c>
      <c r="F706" s="56" t="str">
        <f aca="false">IF('15 System Rates S&amp;I'!$C$17="","",'15 System Rates S&amp;I'!E17)</f>
        <v>PC</v>
      </c>
      <c r="G706" s="56" t="str">
        <f aca="false">IF('15 System Rates S&amp;I'!$C$17="","",'15 System Rates S&amp;I'!F17)</f>
        <v>Gulf Extrusions / Equiv.</v>
      </c>
      <c r="H706" s="57" t="str">
        <f aca="false">IF('15 System Rates S&amp;I'!$C$17="","",'15 System Rates S&amp;I'!G17)</f>
        <v>m2</v>
      </c>
      <c r="I706" s="58" t="n">
        <f aca="false">IF('15 System Rates S&amp;I'!$C$17="","",'15 System Rates S&amp;I'!J17)</f>
        <v>620</v>
      </c>
      <c r="J706" s="58" t="n">
        <f aca="false">IF('15 System Rates S&amp;I'!$C$17="","",'15 System Rates S&amp;I'!K17)</f>
        <v>744</v>
      </c>
      <c r="K706" s="58" t="n">
        <f aca="false">IF('15 System Rates S&amp;I'!$C$17="","",'15 System Rates S&amp;I'!L17)</f>
        <v>781.2</v>
      </c>
      <c r="L706" s="57" t="str">
        <f aca="false">IF('15 System Rates S&amp;I'!$C$17="","",'15 System Rates S&amp;I'!M17)</f>
        <v>Indicative</v>
      </c>
      <c r="M706" s="59" t="str">
        <f aca="false">IF(D706="","",IF(AND(OR(Search!$C$6="All Categories",A706=Search!$C$6),OR(Search!$P$5="",ISNUMBER(SEARCH(" "&amp;Search!$P$5,N706))),OR(Search!$P$6="",ISNUMBER(SEARCH(" "&amp;Search!$P$6,N706))),OR(Search!$P$7="",ISNUMBER(SEARCH(" "&amp;Search!$P$7,N706))),OR(Search!$P$8="",ISNUMBER(SEARCH(" "&amp;Search!$P$8,N706))),OR(Search!$P$9="",ISNUMBER(SEARCH(" "&amp;Search!$P$9,N706))),OR(Search!$P$10="",ISNUMBER(SEARCH(" "&amp;Search!$P$10,N706)))),ROW(),""))</f>
        <v/>
      </c>
      <c r="N706" s="0" t="str">
        <f aca="false">IF(D706="",""," "&amp;SUBSTITUTE(SUBSTITUTE(SUBSTITUTE(SUBSTITUTE(SUBSTITUTE(SUBSTITUTE(SUBSTITUTE(B706&amp;" "&amp;C706&amp;" "&amp;D706&amp;" "&amp;E706&amp;" "&amp;F706&amp;" "&amp;G706&amp;" "&amp;H706&amp;" "&amp;'15 System Rates S&amp;I'!R17,"("," "),")"," "),"/"," "),"-"," "),","," "),";"," "),":"," ")&amp;" ")</f>
        <v> SI 013 Windows Fixed window   thermal break DGU 6+12+6 PC Gulf Extrusions   Equiv. m2 6+12+6 </v>
      </c>
    </row>
    <row r="707" customFormat="false" ht="22.35" hidden="false" customHeight="false" outlineLevel="0" collapsed="false">
      <c r="A707" s="56" t="str">
        <f aca="false">IF('15 System Rates S&amp;I'!$C$18="","","Finished Systems - Budget Supply &amp; Install Rates")</f>
        <v>Finished Systems - Budget Supply &amp; Install Rates</v>
      </c>
      <c r="B707" s="57" t="str">
        <f aca="false">IF('15 System Rates S&amp;I'!$C$18="","",'15 System Rates S&amp;I'!A18)</f>
        <v>SI-014</v>
      </c>
      <c r="C707" s="56" t="str">
        <f aca="false">IF('15 System Rates S&amp;I'!$C$18="","",'15 System Rates S&amp;I'!B18)</f>
        <v>Windows</v>
      </c>
      <c r="D707" s="56" t="str">
        <f aca="false">IF('15 System Rates S&amp;I'!$C$18="","",'15 System Rates S&amp;I'!C18)</f>
        <v>Tilt &amp; turn window</v>
      </c>
      <c r="E707" s="56" t="str">
        <f aca="false">IF('15 System Rates S&amp;I'!$C$18="","",'15 System Rates S&amp;I'!D18)</f>
        <v>DGU, premium system</v>
      </c>
      <c r="F707" s="56" t="str">
        <f aca="false">IF('15 System Rates S&amp;I'!$C$18="","",'15 System Rates S&amp;I'!E18)</f>
        <v>PC</v>
      </c>
      <c r="G707" s="56" t="str">
        <f aca="false">IF('15 System Rates S&amp;I'!$C$18="","",'15 System Rates S&amp;I'!F18)</f>
        <v>Schuco / Technal / Reynaers</v>
      </c>
      <c r="H707" s="57" t="str">
        <f aca="false">IF('15 System Rates S&amp;I'!$C$18="","",'15 System Rates S&amp;I'!G18)</f>
        <v>m2</v>
      </c>
      <c r="I707" s="58" t="n">
        <f aca="false">IF('15 System Rates S&amp;I'!$C$18="","",'15 System Rates S&amp;I'!J18)</f>
        <v>1650</v>
      </c>
      <c r="J707" s="58" t="n">
        <f aca="false">IF('15 System Rates S&amp;I'!$C$18="","",'15 System Rates S&amp;I'!K18)</f>
        <v>1980</v>
      </c>
      <c r="K707" s="58" t="n">
        <f aca="false">IF('15 System Rates S&amp;I'!$C$18="","",'15 System Rates S&amp;I'!L18)</f>
        <v>2079</v>
      </c>
      <c r="L707" s="57" t="str">
        <f aca="false">IF('15 System Rates S&amp;I'!$C$18="","",'15 System Rates S&amp;I'!M18)</f>
        <v>Indicative</v>
      </c>
      <c r="M707" s="59" t="str">
        <f aca="false">IF(D707="","",IF(AND(OR(Search!$C$6="All Categories",A707=Search!$C$6),OR(Search!$P$5="",ISNUMBER(SEARCH(" "&amp;Search!$P$5,N707))),OR(Search!$P$6="",ISNUMBER(SEARCH(" "&amp;Search!$P$6,N707))),OR(Search!$P$7="",ISNUMBER(SEARCH(" "&amp;Search!$P$7,N707))),OR(Search!$P$8="",ISNUMBER(SEARCH(" "&amp;Search!$P$8,N707))),OR(Search!$P$9="",ISNUMBER(SEARCH(" "&amp;Search!$P$9,N707))),OR(Search!$P$10="",ISNUMBER(SEARCH(" "&amp;Search!$P$10,N707)))),ROW(),""))</f>
        <v/>
      </c>
      <c r="N707" s="0" t="str">
        <f aca="false">IF(D707="",""," "&amp;SUBSTITUTE(SUBSTITUTE(SUBSTITUTE(SUBSTITUTE(SUBSTITUTE(SUBSTITUTE(SUBSTITUTE(B707&amp;" "&amp;C707&amp;" "&amp;D707&amp;" "&amp;E707&amp;" "&amp;F707&amp;" "&amp;G707&amp;" "&amp;H707&amp;" "&amp;'15 System Rates S&amp;I'!R18,"("," "),")"," "),"/"," "),"-"," "),","," "),";"," "),":"," ")&amp;" ")</f>
        <v> SI 014 Windows Tilt &amp; turn window DGU  premium system PC Schuco   Technal   Reynaers m2  </v>
      </c>
    </row>
    <row r="708" customFormat="false" ht="22.35" hidden="false" customHeight="false" outlineLevel="0" collapsed="false">
      <c r="A708" s="56" t="str">
        <f aca="false">IF('15 System Rates S&amp;I'!$C$19="","","Finished Systems - Budget Supply &amp; Install Rates")</f>
        <v>Finished Systems - Budget Supply &amp; Install Rates</v>
      </c>
      <c r="B708" s="57" t="str">
        <f aca="false">IF('15 System Rates S&amp;I'!$C$19="","",'15 System Rates S&amp;I'!A19)</f>
        <v>SI-015</v>
      </c>
      <c r="C708" s="56" t="str">
        <f aca="false">IF('15 System Rates S&amp;I'!$C$19="","",'15 System Rates S&amp;I'!B19)</f>
        <v>Windows</v>
      </c>
      <c r="D708" s="56" t="str">
        <f aca="false">IF('15 System Rates S&amp;I'!$C$19="","",'15 System Rates S&amp;I'!C19)</f>
        <v>Slim-line minimal window / door</v>
      </c>
      <c r="E708" s="56" t="str">
        <f aca="false">IF('15 System Rates S&amp;I'!$C$19="","",'15 System Rates S&amp;I'!D19)</f>
        <v>DGU, premium system</v>
      </c>
      <c r="F708" s="56" t="str">
        <f aca="false">IF('15 System Rates S&amp;I'!$C$19="","",'15 System Rates S&amp;I'!E19)</f>
        <v>PC</v>
      </c>
      <c r="G708" s="56" t="str">
        <f aca="false">IF('15 System Rates S&amp;I'!$C$19="","",'15 System Rates S&amp;I'!F19)</f>
        <v>Imported</v>
      </c>
      <c r="H708" s="57" t="str">
        <f aca="false">IF('15 System Rates S&amp;I'!$C$19="","",'15 System Rates S&amp;I'!G19)</f>
        <v>m2</v>
      </c>
      <c r="I708" s="58" t="n">
        <f aca="false">IF('15 System Rates S&amp;I'!$C$19="","",'15 System Rates S&amp;I'!J19)</f>
        <v>2800</v>
      </c>
      <c r="J708" s="58" t="n">
        <f aca="false">IF('15 System Rates S&amp;I'!$C$19="","",'15 System Rates S&amp;I'!K19)</f>
        <v>3360</v>
      </c>
      <c r="K708" s="58" t="n">
        <f aca="false">IF('15 System Rates S&amp;I'!$C$19="","",'15 System Rates S&amp;I'!L19)</f>
        <v>3528</v>
      </c>
      <c r="L708" s="57" t="str">
        <f aca="false">IF('15 System Rates S&amp;I'!$C$19="","",'15 System Rates S&amp;I'!M19)</f>
        <v>Indicative</v>
      </c>
      <c r="M708" s="59" t="str">
        <f aca="false">IF(D708="","",IF(AND(OR(Search!$C$6="All Categories",A708=Search!$C$6),OR(Search!$P$5="",ISNUMBER(SEARCH(" "&amp;Search!$P$5,N708))),OR(Search!$P$6="",ISNUMBER(SEARCH(" "&amp;Search!$P$6,N708))),OR(Search!$P$7="",ISNUMBER(SEARCH(" "&amp;Search!$P$7,N708))),OR(Search!$P$8="",ISNUMBER(SEARCH(" "&amp;Search!$P$8,N708))),OR(Search!$P$9="",ISNUMBER(SEARCH(" "&amp;Search!$P$9,N708))),OR(Search!$P$10="",ISNUMBER(SEARCH(" "&amp;Search!$P$10,N708)))),ROW(),""))</f>
        <v/>
      </c>
      <c r="N708" s="0" t="str">
        <f aca="false">IF(D708="",""," "&amp;SUBSTITUTE(SUBSTITUTE(SUBSTITUTE(SUBSTITUTE(SUBSTITUTE(SUBSTITUTE(SUBSTITUTE(B708&amp;" "&amp;C708&amp;" "&amp;D708&amp;" "&amp;E708&amp;" "&amp;F708&amp;" "&amp;G708&amp;" "&amp;H708&amp;" "&amp;'15 System Rates S&amp;I'!R19,"("," "),")"," "),"/"," "),"-"," "),","," "),";"," "),":"," ")&amp;" ")</f>
        <v> SI 015 Windows Slim line minimal window   door DGU  premium system PC Imported m2  </v>
      </c>
    </row>
    <row r="709" customFormat="false" ht="22.35" hidden="false" customHeight="false" outlineLevel="0" collapsed="false">
      <c r="A709" s="56" t="str">
        <f aca="false">IF('15 System Rates S&amp;I'!$C$20="","","Finished Systems - Budget Supply &amp; Install Rates")</f>
        <v>Finished Systems - Budget Supply &amp; Install Rates</v>
      </c>
      <c r="B709" s="57" t="str">
        <f aca="false">IF('15 System Rates S&amp;I'!$C$20="","",'15 System Rates S&amp;I'!A20)</f>
        <v>SI-016</v>
      </c>
      <c r="C709" s="56" t="str">
        <f aca="false">IF('15 System Rates S&amp;I'!$C$20="","",'15 System Rates S&amp;I'!B20)</f>
        <v>Doors</v>
      </c>
      <c r="D709" s="56" t="str">
        <f aca="false">IF('15 System Rates S&amp;I'!$C$20="","",'15 System Rates S&amp;I'!C20)</f>
        <v>Aluminium hinged door - single</v>
      </c>
      <c r="E709" s="56" t="str">
        <f aca="false">IF('15 System Rates S&amp;I'!$C$20="","",'15 System Rates S&amp;I'!D20)</f>
        <v>Glazed, with closer &amp; lock</v>
      </c>
      <c r="F709" s="56" t="str">
        <f aca="false">IF('15 System Rates S&amp;I'!$C$20="","",'15 System Rates S&amp;I'!E20)</f>
        <v>PC</v>
      </c>
      <c r="G709" s="56" t="str">
        <f aca="false">IF('15 System Rates S&amp;I'!$C$20="","",'15 System Rates S&amp;I'!F20)</f>
        <v>Gulf Extrusions / Equiv.</v>
      </c>
      <c r="H709" s="57" t="str">
        <f aca="false">IF('15 System Rates S&amp;I'!$C$20="","",'15 System Rates S&amp;I'!G20)</f>
        <v>m2</v>
      </c>
      <c r="I709" s="58" t="n">
        <f aca="false">IF('15 System Rates S&amp;I'!$C$20="","",'15 System Rates S&amp;I'!J20)</f>
        <v>950</v>
      </c>
      <c r="J709" s="58" t="n">
        <f aca="false">IF('15 System Rates S&amp;I'!$C$20="","",'15 System Rates S&amp;I'!K20)</f>
        <v>1140</v>
      </c>
      <c r="K709" s="58" t="n">
        <f aca="false">IF('15 System Rates S&amp;I'!$C$20="","",'15 System Rates S&amp;I'!L20)</f>
        <v>1197</v>
      </c>
      <c r="L709" s="57" t="str">
        <f aca="false">IF('15 System Rates S&amp;I'!$C$20="","",'15 System Rates S&amp;I'!M20)</f>
        <v>Indicative</v>
      </c>
      <c r="M709" s="59" t="str">
        <f aca="false">IF(D709="","",IF(AND(OR(Search!$C$6="All Categories",A709=Search!$C$6),OR(Search!$P$5="",ISNUMBER(SEARCH(" "&amp;Search!$P$5,N709))),OR(Search!$P$6="",ISNUMBER(SEARCH(" "&amp;Search!$P$6,N709))),OR(Search!$P$7="",ISNUMBER(SEARCH(" "&amp;Search!$P$7,N709))),OR(Search!$P$8="",ISNUMBER(SEARCH(" "&amp;Search!$P$8,N709))),OR(Search!$P$9="",ISNUMBER(SEARCH(" "&amp;Search!$P$9,N709))),OR(Search!$P$10="",ISNUMBER(SEARCH(" "&amp;Search!$P$10,N709)))),ROW(),""))</f>
        <v/>
      </c>
      <c r="N709" s="0" t="str">
        <f aca="false">IF(D709="",""," "&amp;SUBSTITUTE(SUBSTITUTE(SUBSTITUTE(SUBSTITUTE(SUBSTITUTE(SUBSTITUTE(SUBSTITUTE(B709&amp;" "&amp;C709&amp;" "&amp;D709&amp;" "&amp;E709&amp;" "&amp;F709&amp;" "&amp;G709&amp;" "&amp;H709&amp;" "&amp;'15 System Rates S&amp;I'!R20,"("," "),")"," "),"/"," "),"-"," "),","," "),";"," "),":"," ")&amp;" ")</f>
        <v> SI 016 Doors Aluminium hinged door   single Glazed  with closer &amp; lock PC Gulf Extrusions   Equiv. m2 aluminum alu door </v>
      </c>
    </row>
    <row r="710" customFormat="false" ht="22.35" hidden="false" customHeight="false" outlineLevel="0" collapsed="false">
      <c r="A710" s="56" t="str">
        <f aca="false">IF('15 System Rates S&amp;I'!$C$21="","","Finished Systems - Budget Supply &amp; Install Rates")</f>
        <v>Finished Systems - Budget Supply &amp; Install Rates</v>
      </c>
      <c r="B710" s="57" t="str">
        <f aca="false">IF('15 System Rates S&amp;I'!$C$21="","",'15 System Rates S&amp;I'!A21)</f>
        <v>SI-017</v>
      </c>
      <c r="C710" s="56" t="str">
        <f aca="false">IF('15 System Rates S&amp;I'!$C$21="","",'15 System Rates S&amp;I'!B21)</f>
        <v>Doors</v>
      </c>
      <c r="D710" s="56" t="str">
        <f aca="false">IF('15 System Rates S&amp;I'!$C$21="","",'15 System Rates S&amp;I'!C21)</f>
        <v>Aluminium hinged door - thermal break</v>
      </c>
      <c r="E710" s="56" t="str">
        <f aca="false">IF('15 System Rates S&amp;I'!$C$21="","",'15 System Rates S&amp;I'!D21)</f>
        <v>DGU, multipoint lock</v>
      </c>
      <c r="F710" s="56" t="str">
        <f aca="false">IF('15 System Rates S&amp;I'!$C$21="","",'15 System Rates S&amp;I'!E21)</f>
        <v>PC</v>
      </c>
      <c r="G710" s="56" t="str">
        <f aca="false">IF('15 System Rates S&amp;I'!$C$21="","",'15 System Rates S&amp;I'!F21)</f>
        <v>Gulf Extrusions / Equiv.</v>
      </c>
      <c r="H710" s="57" t="str">
        <f aca="false">IF('15 System Rates S&amp;I'!$C$21="","",'15 System Rates S&amp;I'!G21)</f>
        <v>m2</v>
      </c>
      <c r="I710" s="58" t="n">
        <f aca="false">IF('15 System Rates S&amp;I'!$C$21="","",'15 System Rates S&amp;I'!J21)</f>
        <v>1250</v>
      </c>
      <c r="J710" s="58" t="n">
        <f aca="false">IF('15 System Rates S&amp;I'!$C$21="","",'15 System Rates S&amp;I'!K21)</f>
        <v>1500</v>
      </c>
      <c r="K710" s="58" t="n">
        <f aca="false">IF('15 System Rates S&amp;I'!$C$21="","",'15 System Rates S&amp;I'!L21)</f>
        <v>1575</v>
      </c>
      <c r="L710" s="57" t="str">
        <f aca="false">IF('15 System Rates S&amp;I'!$C$21="","",'15 System Rates S&amp;I'!M21)</f>
        <v>Indicative</v>
      </c>
      <c r="M710" s="59" t="str">
        <f aca="false">IF(D710="","",IF(AND(OR(Search!$C$6="All Categories",A710=Search!$C$6),OR(Search!$P$5="",ISNUMBER(SEARCH(" "&amp;Search!$P$5,N710))),OR(Search!$P$6="",ISNUMBER(SEARCH(" "&amp;Search!$P$6,N710))),OR(Search!$P$7="",ISNUMBER(SEARCH(" "&amp;Search!$P$7,N710))),OR(Search!$P$8="",ISNUMBER(SEARCH(" "&amp;Search!$P$8,N710))),OR(Search!$P$9="",ISNUMBER(SEARCH(" "&amp;Search!$P$9,N710))),OR(Search!$P$10="",ISNUMBER(SEARCH(" "&amp;Search!$P$10,N710)))),ROW(),""))</f>
        <v/>
      </c>
      <c r="N710" s="0" t="str">
        <f aca="false">IF(D710="",""," "&amp;SUBSTITUTE(SUBSTITUTE(SUBSTITUTE(SUBSTITUTE(SUBSTITUTE(SUBSTITUTE(SUBSTITUTE(B710&amp;" "&amp;C710&amp;" "&amp;D710&amp;" "&amp;E710&amp;" "&amp;F710&amp;" "&amp;G710&amp;" "&amp;H710&amp;" "&amp;'15 System Rates S&amp;I'!R21,"("," "),")"," "),"/"," "),"-"," "),","," "),";"," "),":"," ")&amp;" ")</f>
        <v> SI 017 Doors Aluminium hinged door   thermal break DGU  multipoint lock PC Gulf Extrusions   Equiv. m2 aluminum alu </v>
      </c>
    </row>
    <row r="711" customFormat="false" ht="22.35" hidden="false" customHeight="false" outlineLevel="0" collapsed="false">
      <c r="A711" s="56" t="str">
        <f aca="false">IF('15 System Rates S&amp;I'!$C$22="","","Finished Systems - Budget Supply &amp; Install Rates")</f>
        <v>Finished Systems - Budget Supply &amp; Install Rates</v>
      </c>
      <c r="B711" s="57" t="str">
        <f aca="false">IF('15 System Rates S&amp;I'!$C$22="","",'15 System Rates S&amp;I'!A22)</f>
        <v>SI-018</v>
      </c>
      <c r="C711" s="56" t="str">
        <f aca="false">IF('15 System Rates S&amp;I'!$C$22="","",'15 System Rates S&amp;I'!B22)</f>
        <v>Doors</v>
      </c>
      <c r="D711" s="56" t="str">
        <f aca="false">IF('15 System Rates S&amp;I'!$C$22="","",'15 System Rates S&amp;I'!C22)</f>
        <v>Aluminium sliding door - thermal break</v>
      </c>
      <c r="E711" s="56" t="str">
        <f aca="false">IF('15 System Rates S&amp;I'!$C$22="","",'15 System Rates S&amp;I'!D22)</f>
        <v>DGU 6+12+6</v>
      </c>
      <c r="F711" s="56" t="str">
        <f aca="false">IF('15 System Rates S&amp;I'!$C$22="","",'15 System Rates S&amp;I'!E22)</f>
        <v>PC</v>
      </c>
      <c r="G711" s="56" t="str">
        <f aca="false">IF('15 System Rates S&amp;I'!$C$22="","",'15 System Rates S&amp;I'!F22)</f>
        <v>Gulf Extrusions / Equiv.</v>
      </c>
      <c r="H711" s="57" t="str">
        <f aca="false">IF('15 System Rates S&amp;I'!$C$22="","",'15 System Rates S&amp;I'!G22)</f>
        <v>m2</v>
      </c>
      <c r="I711" s="58" t="n">
        <f aca="false">IF('15 System Rates S&amp;I'!$C$22="","",'15 System Rates S&amp;I'!J22)</f>
        <v>820</v>
      </c>
      <c r="J711" s="58" t="n">
        <f aca="false">IF('15 System Rates S&amp;I'!$C$22="","",'15 System Rates S&amp;I'!K22)</f>
        <v>984</v>
      </c>
      <c r="K711" s="58" t="n">
        <f aca="false">IF('15 System Rates S&amp;I'!$C$22="","",'15 System Rates S&amp;I'!L22)</f>
        <v>1033.2</v>
      </c>
      <c r="L711" s="57" t="str">
        <f aca="false">IF('15 System Rates S&amp;I'!$C$22="","",'15 System Rates S&amp;I'!M22)</f>
        <v>Indicative</v>
      </c>
      <c r="M711" s="59" t="str">
        <f aca="false">IF(D711="","",IF(AND(OR(Search!$C$6="All Categories",A711=Search!$C$6),OR(Search!$P$5="",ISNUMBER(SEARCH(" "&amp;Search!$P$5,N711))),OR(Search!$P$6="",ISNUMBER(SEARCH(" "&amp;Search!$P$6,N711))),OR(Search!$P$7="",ISNUMBER(SEARCH(" "&amp;Search!$P$7,N711))),OR(Search!$P$8="",ISNUMBER(SEARCH(" "&amp;Search!$P$8,N711))),OR(Search!$P$9="",ISNUMBER(SEARCH(" "&amp;Search!$P$9,N711))),OR(Search!$P$10="",ISNUMBER(SEARCH(" "&amp;Search!$P$10,N711)))),ROW(),""))</f>
        <v/>
      </c>
      <c r="N711" s="0" t="str">
        <f aca="false">IF(D711="",""," "&amp;SUBSTITUTE(SUBSTITUTE(SUBSTITUTE(SUBSTITUTE(SUBSTITUTE(SUBSTITUTE(SUBSTITUTE(B711&amp;" "&amp;C711&amp;" "&amp;D711&amp;" "&amp;E711&amp;" "&amp;F711&amp;" "&amp;G711&amp;" "&amp;H711&amp;" "&amp;'15 System Rates S&amp;I'!R22,"("," "),")"," "),"/"," "),"-"," "),","," "),";"," "),":"," ")&amp;" ")</f>
        <v> SI 018 Doors Aluminium sliding door   thermal break DGU 6+12+6 PC Gulf Extrusions   Equiv. m2 6+12+6 aluminum alu </v>
      </c>
    </row>
    <row r="712" customFormat="false" ht="22.35" hidden="false" customHeight="false" outlineLevel="0" collapsed="false">
      <c r="A712" s="56" t="str">
        <f aca="false">IF('15 System Rates S&amp;I'!$C$23="","","Finished Systems - Budget Supply &amp; Install Rates")</f>
        <v>Finished Systems - Budget Supply &amp; Install Rates</v>
      </c>
      <c r="B712" s="57" t="str">
        <f aca="false">IF('15 System Rates S&amp;I'!$C$23="","",'15 System Rates S&amp;I'!A23)</f>
        <v>SI-019</v>
      </c>
      <c r="C712" s="56" t="str">
        <f aca="false">IF('15 System Rates S&amp;I'!$C$23="","",'15 System Rates S&amp;I'!B23)</f>
        <v>Doors</v>
      </c>
      <c r="D712" s="56" t="str">
        <f aca="false">IF('15 System Rates S&amp;I'!$C$23="","",'15 System Rates S&amp;I'!C23)</f>
        <v>Lift &amp; slide door</v>
      </c>
      <c r="E712" s="56" t="str">
        <f aca="false">IF('15 System Rates S&amp;I'!$C$23="","",'15 System Rates S&amp;I'!D23)</f>
        <v>DGU, premium system</v>
      </c>
      <c r="F712" s="56" t="str">
        <f aca="false">IF('15 System Rates S&amp;I'!$C$23="","",'15 System Rates S&amp;I'!E23)</f>
        <v>PC</v>
      </c>
      <c r="G712" s="56" t="str">
        <f aca="false">IF('15 System Rates S&amp;I'!$C$23="","",'15 System Rates S&amp;I'!F23)</f>
        <v>Schuco / Technal / Equiv.</v>
      </c>
      <c r="H712" s="57" t="str">
        <f aca="false">IF('15 System Rates S&amp;I'!$C$23="","",'15 System Rates S&amp;I'!G23)</f>
        <v>m2</v>
      </c>
      <c r="I712" s="58" t="n">
        <f aca="false">IF('15 System Rates S&amp;I'!$C$23="","",'15 System Rates S&amp;I'!J23)</f>
        <v>1900</v>
      </c>
      <c r="J712" s="58" t="n">
        <f aca="false">IF('15 System Rates S&amp;I'!$C$23="","",'15 System Rates S&amp;I'!K23)</f>
        <v>2280</v>
      </c>
      <c r="K712" s="58" t="n">
        <f aca="false">IF('15 System Rates S&amp;I'!$C$23="","",'15 System Rates S&amp;I'!L23)</f>
        <v>2394</v>
      </c>
      <c r="L712" s="57" t="str">
        <f aca="false">IF('15 System Rates S&amp;I'!$C$23="","",'15 System Rates S&amp;I'!M23)</f>
        <v>Indicative</v>
      </c>
      <c r="M712" s="59" t="str">
        <f aca="false">IF(D712="","",IF(AND(OR(Search!$C$6="All Categories",A712=Search!$C$6),OR(Search!$P$5="",ISNUMBER(SEARCH(" "&amp;Search!$P$5,N712))),OR(Search!$P$6="",ISNUMBER(SEARCH(" "&amp;Search!$P$6,N712))),OR(Search!$P$7="",ISNUMBER(SEARCH(" "&amp;Search!$P$7,N712))),OR(Search!$P$8="",ISNUMBER(SEARCH(" "&amp;Search!$P$8,N712))),OR(Search!$P$9="",ISNUMBER(SEARCH(" "&amp;Search!$P$9,N712))),OR(Search!$P$10="",ISNUMBER(SEARCH(" "&amp;Search!$P$10,N712)))),ROW(),""))</f>
        <v/>
      </c>
      <c r="N712" s="0" t="str">
        <f aca="false">IF(D712="",""," "&amp;SUBSTITUTE(SUBSTITUTE(SUBSTITUTE(SUBSTITUTE(SUBSTITUTE(SUBSTITUTE(SUBSTITUTE(B712&amp;" "&amp;C712&amp;" "&amp;D712&amp;" "&amp;E712&amp;" "&amp;F712&amp;" "&amp;G712&amp;" "&amp;H712&amp;" "&amp;'15 System Rates S&amp;I'!R23,"("," "),")"," "),"/"," "),"-"," "),","," "),";"," "),":"," ")&amp;" ")</f>
        <v> SI 019 Doors Lift &amp; slide door DGU  premium system PC Schuco   Technal   Equiv. m2  </v>
      </c>
    </row>
    <row r="713" customFormat="false" ht="22.35" hidden="false" customHeight="false" outlineLevel="0" collapsed="false">
      <c r="A713" s="56" t="str">
        <f aca="false">IF('15 System Rates S&amp;I'!$C$24="","","Finished Systems - Budget Supply &amp; Install Rates")</f>
        <v>Finished Systems - Budget Supply &amp; Install Rates</v>
      </c>
      <c r="B713" s="57" t="str">
        <f aca="false">IF('15 System Rates S&amp;I'!$C$24="","",'15 System Rates S&amp;I'!A24)</f>
        <v>SI-020</v>
      </c>
      <c r="C713" s="56" t="str">
        <f aca="false">IF('15 System Rates S&amp;I'!$C$24="","",'15 System Rates S&amp;I'!B24)</f>
        <v>Doors</v>
      </c>
      <c r="D713" s="56" t="str">
        <f aca="false">IF('15 System Rates S&amp;I'!$C$24="","",'15 System Rates S&amp;I'!C24)</f>
        <v>Folding / bi-fold door</v>
      </c>
      <c r="E713" s="56" t="str">
        <f aca="false">IF('15 System Rates S&amp;I'!$C$24="","",'15 System Rates S&amp;I'!D24)</f>
        <v>DGU</v>
      </c>
      <c r="F713" s="56" t="str">
        <f aca="false">IF('15 System Rates S&amp;I'!$C$24="","",'15 System Rates S&amp;I'!E24)</f>
        <v>PC</v>
      </c>
      <c r="G713" s="56" t="str">
        <f aca="false">IF('15 System Rates S&amp;I'!$C$24="","",'15 System Rates S&amp;I'!F24)</f>
        <v>Local / Imported system</v>
      </c>
      <c r="H713" s="57" t="str">
        <f aca="false">IF('15 System Rates S&amp;I'!$C$24="","",'15 System Rates S&amp;I'!G24)</f>
        <v>m2</v>
      </c>
      <c r="I713" s="58" t="n">
        <f aca="false">IF('15 System Rates S&amp;I'!$C$24="","",'15 System Rates S&amp;I'!J24)</f>
        <v>1500</v>
      </c>
      <c r="J713" s="58" t="n">
        <f aca="false">IF('15 System Rates S&amp;I'!$C$24="","",'15 System Rates S&amp;I'!K24)</f>
        <v>1800</v>
      </c>
      <c r="K713" s="58" t="n">
        <f aca="false">IF('15 System Rates S&amp;I'!$C$24="","",'15 System Rates S&amp;I'!L24)</f>
        <v>1890</v>
      </c>
      <c r="L713" s="57" t="str">
        <f aca="false">IF('15 System Rates S&amp;I'!$C$24="","",'15 System Rates S&amp;I'!M24)</f>
        <v>Indicative</v>
      </c>
      <c r="M713" s="59" t="str">
        <f aca="false">IF(D713="","",IF(AND(OR(Search!$C$6="All Categories",A713=Search!$C$6),OR(Search!$P$5="",ISNUMBER(SEARCH(" "&amp;Search!$P$5,N713))),OR(Search!$P$6="",ISNUMBER(SEARCH(" "&amp;Search!$P$6,N713))),OR(Search!$P$7="",ISNUMBER(SEARCH(" "&amp;Search!$P$7,N713))),OR(Search!$P$8="",ISNUMBER(SEARCH(" "&amp;Search!$P$8,N713))),OR(Search!$P$9="",ISNUMBER(SEARCH(" "&amp;Search!$P$9,N713))),OR(Search!$P$10="",ISNUMBER(SEARCH(" "&amp;Search!$P$10,N713)))),ROW(),""))</f>
        <v/>
      </c>
      <c r="N713" s="0" t="str">
        <f aca="false">IF(D713="",""," "&amp;SUBSTITUTE(SUBSTITUTE(SUBSTITUTE(SUBSTITUTE(SUBSTITUTE(SUBSTITUTE(SUBSTITUTE(B713&amp;" "&amp;C713&amp;" "&amp;D713&amp;" "&amp;E713&amp;" "&amp;F713&amp;" "&amp;G713&amp;" "&amp;H713&amp;" "&amp;'15 System Rates S&amp;I'!R24,"("," "),")"," "),"/"," "),"-"," "),","," "),";"," "),":"," ")&amp;" ")</f>
        <v> SI 020 Doors Folding   bi fold door DGU PC Local   Imported system m2  </v>
      </c>
    </row>
    <row r="714" customFormat="false" ht="22.35" hidden="false" customHeight="false" outlineLevel="0" collapsed="false">
      <c r="A714" s="56" t="str">
        <f aca="false">IF('15 System Rates S&amp;I'!$C$25="","","Finished Systems - Budget Supply &amp; Install Rates")</f>
        <v>Finished Systems - Budget Supply &amp; Install Rates</v>
      </c>
      <c r="B714" s="57" t="str">
        <f aca="false">IF('15 System Rates S&amp;I'!$C$25="","",'15 System Rates S&amp;I'!A25)</f>
        <v>SI-021</v>
      </c>
      <c r="C714" s="56" t="str">
        <f aca="false">IF('15 System Rates S&amp;I'!$C$25="","",'15 System Rates S&amp;I'!B25)</f>
        <v>Doors</v>
      </c>
      <c r="D714" s="56" t="str">
        <f aca="false">IF('15 System Rates S&amp;I'!$C$25="","",'15 System Rates S&amp;I'!C25)</f>
        <v>Frameless glass door - 12 mm with patch fittings</v>
      </c>
      <c r="E714" s="56" t="str">
        <f aca="false">IF('15 System Rates S&amp;I'!$C$25="","",'15 System Rates S&amp;I'!D25)</f>
        <v>Floor spring, H-handle</v>
      </c>
      <c r="F714" s="56" t="str">
        <f aca="false">IF('15 System Rates S&amp;I'!$C$25="","",'15 System Rates S&amp;I'!E25)</f>
        <v>SS</v>
      </c>
      <c r="G714" s="56" t="str">
        <f aca="false">IF('15 System Rates S&amp;I'!$C$25="","",'15 System Rates S&amp;I'!F25)</f>
        <v>Local fittings</v>
      </c>
      <c r="H714" s="57" t="str">
        <f aca="false">IF('15 System Rates S&amp;I'!$C$25="","",'15 System Rates S&amp;I'!G25)</f>
        <v>nos</v>
      </c>
      <c r="I714" s="58" t="n">
        <f aca="false">IF('15 System Rates S&amp;I'!$C$25="","",'15 System Rates S&amp;I'!J25)</f>
        <v>3200</v>
      </c>
      <c r="J714" s="58" t="n">
        <f aca="false">IF('15 System Rates S&amp;I'!$C$25="","",'15 System Rates S&amp;I'!K25)</f>
        <v>3840</v>
      </c>
      <c r="K714" s="58" t="n">
        <f aca="false">IF('15 System Rates S&amp;I'!$C$25="","",'15 System Rates S&amp;I'!L25)</f>
        <v>4032</v>
      </c>
      <c r="L714" s="57" t="str">
        <f aca="false">IF('15 System Rates S&amp;I'!$C$25="","",'15 System Rates S&amp;I'!M25)</f>
        <v>Indicative</v>
      </c>
      <c r="M714" s="59" t="str">
        <f aca="false">IF(D714="","",IF(AND(OR(Search!$C$6="All Categories",A714=Search!$C$6),OR(Search!$P$5="",ISNUMBER(SEARCH(" "&amp;Search!$P$5,N714))),OR(Search!$P$6="",ISNUMBER(SEARCH(" "&amp;Search!$P$6,N714))),OR(Search!$P$7="",ISNUMBER(SEARCH(" "&amp;Search!$P$7,N714))),OR(Search!$P$8="",ISNUMBER(SEARCH(" "&amp;Search!$P$8,N714))),OR(Search!$P$9="",ISNUMBER(SEARCH(" "&amp;Search!$P$9,N714))),OR(Search!$P$10="",ISNUMBER(SEARCH(" "&amp;Search!$P$10,N714)))),ROW(),""))</f>
        <v/>
      </c>
      <c r="N714" s="0" t="str">
        <f aca="false">IF(D714="",""," "&amp;SUBSTITUTE(SUBSTITUTE(SUBSTITUTE(SUBSTITUTE(SUBSTITUTE(SUBSTITUTE(SUBSTITUTE(B714&amp;" "&amp;C714&amp;" "&amp;D714&amp;" "&amp;E714&amp;" "&amp;F714&amp;" "&amp;G714&amp;" "&amp;H714&amp;" "&amp;'15 System Rates S&amp;I'!R25,"("," "),")"," "),"/"," "),"-"," "),","," "),";"," "),":"," ")&amp;" ")</f>
        <v> SI 021 Doors Frameless glass door   12 mm with patch fittings Floor spring  H handle SS Local fittings nos 12mm door stainless steel </v>
      </c>
    </row>
    <row r="715" customFormat="false" ht="22.35" hidden="false" customHeight="false" outlineLevel="0" collapsed="false">
      <c r="A715" s="56" t="str">
        <f aca="false">IF('15 System Rates S&amp;I'!$C$26="","","Finished Systems - Budget Supply &amp; Install Rates")</f>
        <v>Finished Systems - Budget Supply &amp; Install Rates</v>
      </c>
      <c r="B715" s="57" t="str">
        <f aca="false">IF('15 System Rates S&amp;I'!$C$26="","",'15 System Rates S&amp;I'!A26)</f>
        <v>SI-022</v>
      </c>
      <c r="C715" s="56" t="str">
        <f aca="false">IF('15 System Rates S&amp;I'!$C$26="","",'15 System Rates S&amp;I'!B26)</f>
        <v>Doors</v>
      </c>
      <c r="D715" s="56" t="str">
        <f aca="false">IF('15 System Rates S&amp;I'!$C$26="","",'15 System Rates S&amp;I'!C26)</f>
        <v>Automatic sliding glass door (complete)</v>
      </c>
      <c r="E715" s="56" t="str">
        <f aca="false">IF('15 System Rates S&amp;I'!$C$26="","",'15 System Rates S&amp;I'!D26)</f>
        <v>Double leaf, 2.0 x 2.4 m</v>
      </c>
      <c r="F715" s="56" t="str">
        <f aca="false">IF('15 System Rates S&amp;I'!$C$26="","",'15 System Rates S&amp;I'!E26)</f>
        <v>PC</v>
      </c>
      <c r="G715" s="56" t="str">
        <f aca="false">IF('15 System Rates S&amp;I'!$C$26="","",'15 System Rates S&amp;I'!F26)</f>
        <v>dormakaba / GEZE</v>
      </c>
      <c r="H715" s="57" t="str">
        <f aca="false">IF('15 System Rates S&amp;I'!$C$26="","",'15 System Rates S&amp;I'!G26)</f>
        <v>nos</v>
      </c>
      <c r="I715" s="58" t="n">
        <f aca="false">IF('15 System Rates S&amp;I'!$C$26="","",'15 System Rates S&amp;I'!J26)</f>
        <v>16500</v>
      </c>
      <c r="J715" s="58" t="n">
        <f aca="false">IF('15 System Rates S&amp;I'!$C$26="","",'15 System Rates S&amp;I'!K26)</f>
        <v>19800</v>
      </c>
      <c r="K715" s="58" t="n">
        <f aca="false">IF('15 System Rates S&amp;I'!$C$26="","",'15 System Rates S&amp;I'!L26)</f>
        <v>20790</v>
      </c>
      <c r="L715" s="57" t="str">
        <f aca="false">IF('15 System Rates S&amp;I'!$C$26="","",'15 System Rates S&amp;I'!M26)</f>
        <v>Indicative</v>
      </c>
      <c r="M715" s="59" t="str">
        <f aca="false">IF(D715="","",IF(AND(OR(Search!$C$6="All Categories",A715=Search!$C$6),OR(Search!$P$5="",ISNUMBER(SEARCH(" "&amp;Search!$P$5,N715))),OR(Search!$P$6="",ISNUMBER(SEARCH(" "&amp;Search!$P$6,N715))),OR(Search!$P$7="",ISNUMBER(SEARCH(" "&amp;Search!$P$7,N715))),OR(Search!$P$8="",ISNUMBER(SEARCH(" "&amp;Search!$P$8,N715))),OR(Search!$P$9="",ISNUMBER(SEARCH(" "&amp;Search!$P$9,N715))),OR(Search!$P$10="",ISNUMBER(SEARCH(" "&amp;Search!$P$10,N715)))),ROW(),""))</f>
        <v/>
      </c>
      <c r="N715" s="0" t="str">
        <f aca="false">IF(D715="",""," "&amp;SUBSTITUTE(SUBSTITUTE(SUBSTITUTE(SUBSTITUTE(SUBSTITUTE(SUBSTITUTE(SUBSTITUTE(B715&amp;" "&amp;C715&amp;" "&amp;D715&amp;" "&amp;E715&amp;" "&amp;F715&amp;" "&amp;G715&amp;" "&amp;H715&amp;" "&amp;'15 System Rates S&amp;I'!R26,"("," "),")"," "),"/"," "),"-"," "),","," "),";"," "),":"," ")&amp;" ")</f>
        <v> SI 022 Doors Automatic sliding glass door  complete  Double leaf  2.0 x 2.4 m PC dormakaba   GEZE nos 2.0x2.4 stainless steel </v>
      </c>
    </row>
    <row r="716" customFormat="false" ht="22.35" hidden="false" customHeight="false" outlineLevel="0" collapsed="false">
      <c r="A716" s="56" t="str">
        <f aca="false">IF('15 System Rates S&amp;I'!$C$27="","","Finished Systems - Budget Supply &amp; Install Rates")</f>
        <v>Finished Systems - Budget Supply &amp; Install Rates</v>
      </c>
      <c r="B716" s="57" t="str">
        <f aca="false">IF('15 System Rates S&amp;I'!$C$27="","",'15 System Rates S&amp;I'!A27)</f>
        <v>SI-023</v>
      </c>
      <c r="C716" s="56" t="str">
        <f aca="false">IF('15 System Rates S&amp;I'!$C$27="","",'15 System Rates S&amp;I'!B27)</f>
        <v>Doors</v>
      </c>
      <c r="D716" s="56" t="str">
        <f aca="false">IF('15 System Rates S&amp;I'!$C$27="","",'15 System Rates S&amp;I'!C27)</f>
        <v>Fire-rated glazed aluminium door</v>
      </c>
      <c r="E716" s="56" t="str">
        <f aca="false">IF('15 System Rates S&amp;I'!$C$27="","",'15 System Rates S&amp;I'!D27)</f>
        <v>60 min</v>
      </c>
      <c r="F716" s="56" t="str">
        <f aca="false">IF('15 System Rates S&amp;I'!$C$27="","",'15 System Rates S&amp;I'!E27)</f>
        <v>PC</v>
      </c>
      <c r="G716" s="56" t="str">
        <f aca="false">IF('15 System Rates S&amp;I'!$C$27="","",'15 System Rates S&amp;I'!F27)</f>
        <v>Imported system</v>
      </c>
      <c r="H716" s="57" t="str">
        <f aca="false">IF('15 System Rates S&amp;I'!$C$27="","",'15 System Rates S&amp;I'!G27)</f>
        <v>m2</v>
      </c>
      <c r="I716" s="58" t="n">
        <f aca="false">IF('15 System Rates S&amp;I'!$C$27="","",'15 System Rates S&amp;I'!J27)</f>
        <v>3800</v>
      </c>
      <c r="J716" s="58" t="n">
        <f aca="false">IF('15 System Rates S&amp;I'!$C$27="","",'15 System Rates S&amp;I'!K27)</f>
        <v>4560</v>
      </c>
      <c r="K716" s="58" t="n">
        <f aca="false">IF('15 System Rates S&amp;I'!$C$27="","",'15 System Rates S&amp;I'!L27)</f>
        <v>4788</v>
      </c>
      <c r="L716" s="57" t="str">
        <f aca="false">IF('15 System Rates S&amp;I'!$C$27="","",'15 System Rates S&amp;I'!M27)</f>
        <v>Indicative</v>
      </c>
      <c r="M716" s="59" t="str">
        <f aca="false">IF(D716="","",IF(AND(OR(Search!$C$6="All Categories",A716=Search!$C$6),OR(Search!$P$5="",ISNUMBER(SEARCH(" "&amp;Search!$P$5,N716))),OR(Search!$P$6="",ISNUMBER(SEARCH(" "&amp;Search!$P$6,N716))),OR(Search!$P$7="",ISNUMBER(SEARCH(" "&amp;Search!$P$7,N716))),OR(Search!$P$8="",ISNUMBER(SEARCH(" "&amp;Search!$P$8,N716))),OR(Search!$P$9="",ISNUMBER(SEARCH(" "&amp;Search!$P$9,N716))),OR(Search!$P$10="",ISNUMBER(SEARCH(" "&amp;Search!$P$10,N716)))),ROW(),""))</f>
        <v/>
      </c>
      <c r="N716" s="0" t="str">
        <f aca="false">IF(D716="",""," "&amp;SUBSTITUTE(SUBSTITUTE(SUBSTITUTE(SUBSTITUTE(SUBSTITUTE(SUBSTITUTE(SUBSTITUTE(B716&amp;" "&amp;C716&amp;" "&amp;D716&amp;" "&amp;E716&amp;" "&amp;F716&amp;" "&amp;G716&amp;" "&amp;H716&amp;" "&amp;'15 System Rates S&amp;I'!R27,"("," "),")"," "),"/"," "),"-"," "),","," "),";"," "),":"," ")&amp;" ")</f>
        <v> SI 023 Doors Fire rated glazed aluminium door 60 min PC Imported system m2 aluminum alu fire rated resistant </v>
      </c>
    </row>
    <row r="717" customFormat="false" ht="22.35" hidden="false" customHeight="false" outlineLevel="0" collapsed="false">
      <c r="A717" s="56" t="str">
        <f aca="false">IF('15 System Rates S&amp;I'!$C$28="","","Finished Systems - Budget Supply &amp; Install Rates")</f>
        <v>Finished Systems - Budget Supply &amp; Install Rates</v>
      </c>
      <c r="B717" s="57" t="str">
        <f aca="false">IF('15 System Rates S&amp;I'!$C$28="","",'15 System Rates S&amp;I'!A28)</f>
        <v>SI-024</v>
      </c>
      <c r="C717" s="56" t="str">
        <f aca="false">IF('15 System Rates S&amp;I'!$C$28="","",'15 System Rates S&amp;I'!B28)</f>
        <v>Partitions</v>
      </c>
      <c r="D717" s="56" t="str">
        <f aca="false">IF('15 System Rates S&amp;I'!$C$28="","",'15 System Rates S&amp;I'!C28)</f>
        <v>Frameless glass partition</v>
      </c>
      <c r="E717" s="56" t="str">
        <f aca="false">IF('15 System Rates S&amp;I'!$C$28="","",'15 System Rates S&amp;I'!D28)</f>
        <v>12 mm tempered, U-channel</v>
      </c>
      <c r="F717" s="56" t="str">
        <f aca="false">IF('15 System Rates S&amp;I'!$C$28="","",'15 System Rates S&amp;I'!E28)</f>
        <v>Anodized</v>
      </c>
      <c r="G717" s="56" t="str">
        <f aca="false">IF('15 System Rates S&amp;I'!$C$28="","",'15 System Rates S&amp;I'!F28)</f>
        <v>Local</v>
      </c>
      <c r="H717" s="57" t="str">
        <f aca="false">IF('15 System Rates S&amp;I'!$C$28="","",'15 System Rates S&amp;I'!G28)</f>
        <v>m2</v>
      </c>
      <c r="I717" s="58" t="n">
        <f aca="false">IF('15 System Rates S&amp;I'!$C$28="","",'15 System Rates S&amp;I'!J28)</f>
        <v>420</v>
      </c>
      <c r="J717" s="58" t="n">
        <f aca="false">IF('15 System Rates S&amp;I'!$C$28="","",'15 System Rates S&amp;I'!K28)</f>
        <v>504</v>
      </c>
      <c r="K717" s="58" t="n">
        <f aca="false">IF('15 System Rates S&amp;I'!$C$28="","",'15 System Rates S&amp;I'!L28)</f>
        <v>529.2</v>
      </c>
      <c r="L717" s="57" t="str">
        <f aca="false">IF('15 System Rates S&amp;I'!$C$28="","",'15 System Rates S&amp;I'!M28)</f>
        <v>Indicative</v>
      </c>
      <c r="M717" s="59" t="str">
        <f aca="false">IF(D717="","",IF(AND(OR(Search!$C$6="All Categories",A717=Search!$C$6),OR(Search!$P$5="",ISNUMBER(SEARCH(" "&amp;Search!$P$5,N717))),OR(Search!$P$6="",ISNUMBER(SEARCH(" "&amp;Search!$P$6,N717))),OR(Search!$P$7="",ISNUMBER(SEARCH(" "&amp;Search!$P$7,N717))),OR(Search!$P$8="",ISNUMBER(SEARCH(" "&amp;Search!$P$8,N717))),OR(Search!$P$9="",ISNUMBER(SEARCH(" "&amp;Search!$P$9,N717))),OR(Search!$P$10="",ISNUMBER(SEARCH(" "&amp;Search!$P$10,N717)))),ROW(),""))</f>
        <v/>
      </c>
      <c r="N717" s="0" t="str">
        <f aca="false">IF(D717="",""," "&amp;SUBSTITUTE(SUBSTITUTE(SUBSTITUTE(SUBSTITUTE(SUBSTITUTE(SUBSTITUTE(SUBSTITUTE(B717&amp;" "&amp;C717&amp;" "&amp;D717&amp;" "&amp;E717&amp;" "&amp;F717&amp;" "&amp;G717&amp;" "&amp;H717&amp;" "&amp;'15 System Rates S&amp;I'!R28,"("," "),")"," "),"/"," "),"-"," "),","," "),";"," "),":"," ")&amp;" ")</f>
        <v> SI 024 Partitions Frameless glass partition 12 mm tempered  U channel Anodized Local m2 12mm toughened stainless steel </v>
      </c>
    </row>
    <row r="718" customFormat="false" ht="22.35" hidden="false" customHeight="false" outlineLevel="0" collapsed="false">
      <c r="A718" s="56" t="str">
        <f aca="false">IF('15 System Rates S&amp;I'!$C$29="","","Finished Systems - Budget Supply &amp; Install Rates")</f>
        <v>Finished Systems - Budget Supply &amp; Install Rates</v>
      </c>
      <c r="B718" s="57" t="str">
        <f aca="false">IF('15 System Rates S&amp;I'!$C$29="","",'15 System Rates S&amp;I'!A29)</f>
        <v>SI-025</v>
      </c>
      <c r="C718" s="56" t="str">
        <f aca="false">IF('15 System Rates S&amp;I'!$C$29="","",'15 System Rates S&amp;I'!B29)</f>
        <v>Partitions</v>
      </c>
      <c r="D718" s="56" t="str">
        <f aca="false">IF('15 System Rates S&amp;I'!$C$29="","",'15 System Rates S&amp;I'!C29)</f>
        <v>Framed aluminium glass partition</v>
      </c>
      <c r="E718" s="56" t="str">
        <f aca="false">IF('15 System Rates S&amp;I'!$C$29="","",'15 System Rates S&amp;I'!D29)</f>
        <v>Single glazed 10 mm</v>
      </c>
      <c r="F718" s="56" t="str">
        <f aca="false">IF('15 System Rates S&amp;I'!$C$29="","",'15 System Rates S&amp;I'!E29)</f>
        <v>Anodized / PC</v>
      </c>
      <c r="G718" s="56" t="str">
        <f aca="false">IF('15 System Rates S&amp;I'!$C$29="","",'15 System Rates S&amp;I'!F29)</f>
        <v>Local</v>
      </c>
      <c r="H718" s="57" t="str">
        <f aca="false">IF('15 System Rates S&amp;I'!$C$29="","",'15 System Rates S&amp;I'!G29)</f>
        <v>m2</v>
      </c>
      <c r="I718" s="58" t="n">
        <f aca="false">IF('15 System Rates S&amp;I'!$C$29="","",'15 System Rates S&amp;I'!J29)</f>
        <v>550</v>
      </c>
      <c r="J718" s="58" t="n">
        <f aca="false">IF('15 System Rates S&amp;I'!$C$29="","",'15 System Rates S&amp;I'!K29)</f>
        <v>660</v>
      </c>
      <c r="K718" s="58" t="n">
        <f aca="false">IF('15 System Rates S&amp;I'!$C$29="","",'15 System Rates S&amp;I'!L29)</f>
        <v>693</v>
      </c>
      <c r="L718" s="57" t="str">
        <f aca="false">IF('15 System Rates S&amp;I'!$C$29="","",'15 System Rates S&amp;I'!M29)</f>
        <v>Indicative</v>
      </c>
      <c r="M718" s="59" t="str">
        <f aca="false">IF(D718="","",IF(AND(OR(Search!$C$6="All Categories",A718=Search!$C$6),OR(Search!$P$5="",ISNUMBER(SEARCH(" "&amp;Search!$P$5,N718))),OR(Search!$P$6="",ISNUMBER(SEARCH(" "&amp;Search!$P$6,N718))),OR(Search!$P$7="",ISNUMBER(SEARCH(" "&amp;Search!$P$7,N718))),OR(Search!$P$8="",ISNUMBER(SEARCH(" "&amp;Search!$P$8,N718))),OR(Search!$P$9="",ISNUMBER(SEARCH(" "&amp;Search!$P$9,N718))),OR(Search!$P$10="",ISNUMBER(SEARCH(" "&amp;Search!$P$10,N718)))),ROW(),""))</f>
        <v/>
      </c>
      <c r="N718" s="0" t="str">
        <f aca="false">IF(D718="",""," "&amp;SUBSTITUTE(SUBSTITUTE(SUBSTITUTE(SUBSTITUTE(SUBSTITUTE(SUBSTITUTE(SUBSTITUTE(B718&amp;" "&amp;C718&amp;" "&amp;D718&amp;" "&amp;E718&amp;" "&amp;F718&amp;" "&amp;G718&amp;" "&amp;H718&amp;" "&amp;'15 System Rates S&amp;I'!R29,"("," "),")"," "),"/"," "),"-"," "),","," "),";"," "),":"," ")&amp;" ")</f>
        <v> SI 025 Partitions Framed aluminium glass partition Single glazed 10 mm Anodized   PC Local m2 10mm aluminum alu stainless steel </v>
      </c>
    </row>
    <row r="719" customFormat="false" ht="22.35" hidden="false" customHeight="false" outlineLevel="0" collapsed="false">
      <c r="A719" s="56" t="str">
        <f aca="false">IF('15 System Rates S&amp;I'!$C$30="","","Finished Systems - Budget Supply &amp; Install Rates")</f>
        <v>Finished Systems - Budget Supply &amp; Install Rates</v>
      </c>
      <c r="B719" s="57" t="str">
        <f aca="false">IF('15 System Rates S&amp;I'!$C$30="","",'15 System Rates S&amp;I'!A30)</f>
        <v>SI-026</v>
      </c>
      <c r="C719" s="56" t="str">
        <f aca="false">IF('15 System Rates S&amp;I'!$C$30="","",'15 System Rates S&amp;I'!B30)</f>
        <v>Partitions</v>
      </c>
      <c r="D719" s="56" t="str">
        <f aca="false">IF('15 System Rates S&amp;I'!$C$30="","",'15 System Rates S&amp;I'!C30)</f>
        <v>Double-glazed acoustic partition</v>
      </c>
      <c r="E719" s="56" t="str">
        <f aca="false">IF('15 System Rates S&amp;I'!$C$30="","",'15 System Rates S&amp;I'!D30)</f>
        <v>2 x 10.76 lam</v>
      </c>
      <c r="F719" s="56" t="str">
        <f aca="false">IF('15 System Rates S&amp;I'!$C$30="","",'15 System Rates S&amp;I'!E30)</f>
        <v>Anodized</v>
      </c>
      <c r="G719" s="56" t="str">
        <f aca="false">IF('15 System Rates S&amp;I'!$C$30="","",'15 System Rates S&amp;I'!F30)</f>
        <v>Local / Imported</v>
      </c>
      <c r="H719" s="57" t="str">
        <f aca="false">IF('15 System Rates S&amp;I'!$C$30="","",'15 System Rates S&amp;I'!G30)</f>
        <v>m2</v>
      </c>
      <c r="I719" s="58" t="n">
        <f aca="false">IF('15 System Rates S&amp;I'!$C$30="","",'15 System Rates S&amp;I'!J30)</f>
        <v>1100</v>
      </c>
      <c r="J719" s="58" t="n">
        <f aca="false">IF('15 System Rates S&amp;I'!$C$30="","",'15 System Rates S&amp;I'!K30)</f>
        <v>1320</v>
      </c>
      <c r="K719" s="58" t="n">
        <f aca="false">IF('15 System Rates S&amp;I'!$C$30="","",'15 System Rates S&amp;I'!L30)</f>
        <v>1386</v>
      </c>
      <c r="L719" s="57" t="str">
        <f aca="false">IF('15 System Rates S&amp;I'!$C$30="","",'15 System Rates S&amp;I'!M30)</f>
        <v>Indicative</v>
      </c>
      <c r="M719" s="59" t="str">
        <f aca="false">IF(D719="","",IF(AND(OR(Search!$C$6="All Categories",A719=Search!$C$6),OR(Search!$P$5="",ISNUMBER(SEARCH(" "&amp;Search!$P$5,N719))),OR(Search!$P$6="",ISNUMBER(SEARCH(" "&amp;Search!$P$6,N719))),OR(Search!$P$7="",ISNUMBER(SEARCH(" "&amp;Search!$P$7,N719))),OR(Search!$P$8="",ISNUMBER(SEARCH(" "&amp;Search!$P$8,N719))),OR(Search!$P$9="",ISNUMBER(SEARCH(" "&amp;Search!$P$9,N719))),OR(Search!$P$10="",ISNUMBER(SEARCH(" "&amp;Search!$P$10,N719)))),ROW(),""))</f>
        <v/>
      </c>
      <c r="N719" s="0" t="str">
        <f aca="false">IF(D719="",""," "&amp;SUBSTITUTE(SUBSTITUTE(SUBSTITUTE(SUBSTITUTE(SUBSTITUTE(SUBSTITUTE(SUBSTITUTE(B719&amp;" "&amp;C719&amp;" "&amp;D719&amp;" "&amp;E719&amp;" "&amp;F719&amp;" "&amp;G719&amp;" "&amp;H719&amp;" "&amp;'15 System Rates S&amp;I'!R30,"("," "),")"," "),"/"," "),"-"," "),","," "),";"," "),":"," ")&amp;" ")</f>
        <v> SI 026 Partitions Double glazed acoustic partition 2 x 10.76 lam Anodized Local   Imported m2 2x10.76 </v>
      </c>
    </row>
    <row r="720" customFormat="false" ht="22.35" hidden="false" customHeight="false" outlineLevel="0" collapsed="false">
      <c r="A720" s="56" t="str">
        <f aca="false">IF('15 System Rates S&amp;I'!$C$31="","","Finished Systems - Budget Supply &amp; Install Rates")</f>
        <v>Finished Systems - Budget Supply &amp; Install Rates</v>
      </c>
      <c r="B720" s="57" t="str">
        <f aca="false">IF('15 System Rates S&amp;I'!$C$31="","",'15 System Rates S&amp;I'!A31)</f>
        <v>SI-027</v>
      </c>
      <c r="C720" s="56" t="str">
        <f aca="false">IF('15 System Rates S&amp;I'!$C$31="","",'15 System Rates S&amp;I'!B31)</f>
        <v>Partitions</v>
      </c>
      <c r="D720" s="56" t="str">
        <f aca="false">IF('15 System Rates S&amp;I'!$C$31="","",'15 System Rates S&amp;I'!C31)</f>
        <v>Back-painted glass wall cladding</v>
      </c>
      <c r="E720" s="56" t="str">
        <f aca="false">IF('15 System Rates S&amp;I'!$C$31="","",'15 System Rates S&amp;I'!D31)</f>
        <v>6 mm tempered</v>
      </c>
      <c r="F720" s="56" t="str">
        <f aca="false">IF('15 System Rates S&amp;I'!$C$31="","",'15 System Rates S&amp;I'!E31)</f>
        <v>RAL</v>
      </c>
      <c r="G720" s="56" t="str">
        <f aca="false">IF('15 System Rates S&amp;I'!$C$31="","",'15 System Rates S&amp;I'!F31)</f>
        <v>Local</v>
      </c>
      <c r="H720" s="57" t="str">
        <f aca="false">IF('15 System Rates S&amp;I'!$C$31="","",'15 System Rates S&amp;I'!G31)</f>
        <v>m2</v>
      </c>
      <c r="I720" s="58" t="n">
        <f aca="false">IF('15 System Rates S&amp;I'!$C$31="","",'15 System Rates S&amp;I'!J31)</f>
        <v>280</v>
      </c>
      <c r="J720" s="58" t="n">
        <f aca="false">IF('15 System Rates S&amp;I'!$C$31="","",'15 System Rates S&amp;I'!K31)</f>
        <v>336</v>
      </c>
      <c r="K720" s="58" t="n">
        <f aca="false">IF('15 System Rates S&amp;I'!$C$31="","",'15 System Rates S&amp;I'!L31)</f>
        <v>352.8</v>
      </c>
      <c r="L720" s="57" t="str">
        <f aca="false">IF('15 System Rates S&amp;I'!$C$31="","",'15 System Rates S&amp;I'!M31)</f>
        <v>Indicative</v>
      </c>
      <c r="M720" s="59" t="str">
        <f aca="false">IF(D720="","",IF(AND(OR(Search!$C$6="All Categories",A720=Search!$C$6),OR(Search!$P$5="",ISNUMBER(SEARCH(" "&amp;Search!$P$5,N720))),OR(Search!$P$6="",ISNUMBER(SEARCH(" "&amp;Search!$P$6,N720))),OR(Search!$P$7="",ISNUMBER(SEARCH(" "&amp;Search!$P$7,N720))),OR(Search!$P$8="",ISNUMBER(SEARCH(" "&amp;Search!$P$8,N720))),OR(Search!$P$9="",ISNUMBER(SEARCH(" "&amp;Search!$P$9,N720))),OR(Search!$P$10="",ISNUMBER(SEARCH(" "&amp;Search!$P$10,N720)))),ROW(),""))</f>
        <v/>
      </c>
      <c r="N720" s="0" t="str">
        <f aca="false">IF(D720="",""," "&amp;SUBSTITUTE(SUBSTITUTE(SUBSTITUTE(SUBSTITUTE(SUBSTITUTE(SUBSTITUTE(SUBSTITUTE(B720&amp;" "&amp;C720&amp;" "&amp;D720&amp;" "&amp;E720&amp;" "&amp;F720&amp;" "&amp;G720&amp;" "&amp;H720&amp;" "&amp;'15 System Rates S&amp;I'!R31,"("," "),")"," "),"/"," "),"-"," "),","," "),";"," "),":"," ")&amp;" ")</f>
        <v> SI 027 Partitions Back painted glass wall cladding 6 mm tempered RAL Local m2 6mm toughened lacquered painted stainless steel </v>
      </c>
    </row>
    <row r="721" customFormat="false" ht="22.35" hidden="false" customHeight="false" outlineLevel="0" collapsed="false">
      <c r="A721" s="56" t="str">
        <f aca="false">IF('15 System Rates S&amp;I'!$C$32="","","Finished Systems - Budget Supply &amp; Install Rates")</f>
        <v>Finished Systems - Budget Supply &amp; Install Rates</v>
      </c>
      <c r="B721" s="57" t="str">
        <f aca="false">IF('15 System Rates S&amp;I'!$C$32="","",'15 System Rates S&amp;I'!A32)</f>
        <v>SI-028</v>
      </c>
      <c r="C721" s="56" t="str">
        <f aca="false">IF('15 System Rates S&amp;I'!$C$32="","",'15 System Rates S&amp;I'!B32)</f>
        <v>Balustrades &amp; Handrails</v>
      </c>
      <c r="D721" s="56" t="str">
        <f aca="false">IF('15 System Rates S&amp;I'!$C$32="","",'15 System Rates S&amp;I'!C32)</f>
        <v>Glass balustrade with SS posts &amp; clamps</v>
      </c>
      <c r="E721" s="56" t="str">
        <f aca="false">IF('15 System Rates S&amp;I'!$C$32="","",'15 System Rates S&amp;I'!D32)</f>
        <v>12 mm tempered, SS 304, 1.1 m H</v>
      </c>
      <c r="F721" s="56" t="str">
        <f aca="false">IF('15 System Rates S&amp;I'!$C$32="","",'15 System Rates S&amp;I'!E32)</f>
        <v>SS satin</v>
      </c>
      <c r="G721" s="56" t="str">
        <f aca="false">IF('15 System Rates S&amp;I'!$C$32="","",'15 System Rates S&amp;I'!F32)</f>
        <v>Local</v>
      </c>
      <c r="H721" s="57" t="str">
        <f aca="false">IF('15 System Rates S&amp;I'!$C$32="","",'15 System Rates S&amp;I'!G32)</f>
        <v>lm</v>
      </c>
      <c r="I721" s="58" t="n">
        <f aca="false">IF('15 System Rates S&amp;I'!$C$32="","",'15 System Rates S&amp;I'!J32)</f>
        <v>950</v>
      </c>
      <c r="J721" s="58" t="n">
        <f aca="false">IF('15 System Rates S&amp;I'!$C$32="","",'15 System Rates S&amp;I'!K32)</f>
        <v>1140</v>
      </c>
      <c r="K721" s="58" t="n">
        <f aca="false">IF('15 System Rates S&amp;I'!$C$32="","",'15 System Rates S&amp;I'!L32)</f>
        <v>1197</v>
      </c>
      <c r="L721" s="57" t="str">
        <f aca="false">IF('15 System Rates S&amp;I'!$C$32="","",'15 System Rates S&amp;I'!M32)</f>
        <v>Indicative</v>
      </c>
      <c r="M721" s="59" t="str">
        <f aca="false">IF(D721="","",IF(AND(OR(Search!$C$6="All Categories",A721=Search!$C$6),OR(Search!$P$5="",ISNUMBER(SEARCH(" "&amp;Search!$P$5,N721))),OR(Search!$P$6="",ISNUMBER(SEARCH(" "&amp;Search!$P$6,N721))),OR(Search!$P$7="",ISNUMBER(SEARCH(" "&amp;Search!$P$7,N721))),OR(Search!$P$8="",ISNUMBER(SEARCH(" "&amp;Search!$P$8,N721))),OR(Search!$P$9="",ISNUMBER(SEARCH(" "&amp;Search!$P$9,N721))),OR(Search!$P$10="",ISNUMBER(SEARCH(" "&amp;Search!$P$10,N721)))),ROW(),""))</f>
        <v/>
      </c>
      <c r="N721" s="0" t="str">
        <f aca="false">IF(D721="",""," "&amp;SUBSTITUTE(SUBSTITUTE(SUBSTITUTE(SUBSTITUTE(SUBSTITUTE(SUBSTITUTE(SUBSTITUTE(B721&amp;" "&amp;C721&amp;" "&amp;D721&amp;" "&amp;E721&amp;" "&amp;F721&amp;" "&amp;G721&amp;" "&amp;H721&amp;" "&amp;'15 System Rates S&amp;I'!R32,"("," "),")"," "),"/"," "),"-"," "),","," "),";"," "),":"," ")&amp;" ")</f>
        <v> SI 028 Balustrades &amp; Handrails Glass balustrade with SS posts &amp; clamps 12 mm tempered  SS 304  1.1 m H SS satin Local lm 12mm ss304 sus304 toughened railing handrail balustrade stainless steel </v>
      </c>
    </row>
    <row r="722" customFormat="false" ht="22.35" hidden="false" customHeight="false" outlineLevel="0" collapsed="false">
      <c r="A722" s="56" t="str">
        <f aca="false">IF('15 System Rates S&amp;I'!$C$33="","","Finished Systems - Budget Supply &amp; Install Rates")</f>
        <v>Finished Systems - Budget Supply &amp; Install Rates</v>
      </c>
      <c r="B722" s="57" t="str">
        <f aca="false">IF('15 System Rates S&amp;I'!$C$33="","",'15 System Rates S&amp;I'!A33)</f>
        <v>SI-029</v>
      </c>
      <c r="C722" s="56" t="str">
        <f aca="false">IF('15 System Rates S&amp;I'!$C$33="","",'15 System Rates S&amp;I'!B33)</f>
        <v>Balustrades &amp; Handrails</v>
      </c>
      <c r="D722" s="56" t="str">
        <f aca="false">IF('15 System Rates S&amp;I'!$C$33="","",'15 System Rates S&amp;I'!C33)</f>
        <v>Frameless glass balustrade - base shoe</v>
      </c>
      <c r="E722" s="56" t="str">
        <f aca="false">IF('15 System Rates S&amp;I'!$C$33="","",'15 System Rates S&amp;I'!D33)</f>
        <v>17.52 TL, aluminium shoe, 1.1 m H</v>
      </c>
      <c r="F722" s="56" t="str">
        <f aca="false">IF('15 System Rates S&amp;I'!$C$33="","",'15 System Rates S&amp;I'!E33)</f>
        <v>Anodized / SS clad</v>
      </c>
      <c r="G722" s="56" t="str">
        <f aca="false">IF('15 System Rates S&amp;I'!$C$33="","",'15 System Rates S&amp;I'!F33)</f>
        <v>Local</v>
      </c>
      <c r="H722" s="57" t="str">
        <f aca="false">IF('15 System Rates S&amp;I'!$C$33="","",'15 System Rates S&amp;I'!G33)</f>
        <v>lm</v>
      </c>
      <c r="I722" s="58" t="n">
        <f aca="false">IF('15 System Rates S&amp;I'!$C$33="","",'15 System Rates S&amp;I'!J33)</f>
        <v>1450</v>
      </c>
      <c r="J722" s="58" t="n">
        <f aca="false">IF('15 System Rates S&amp;I'!$C$33="","",'15 System Rates S&amp;I'!K33)</f>
        <v>1740</v>
      </c>
      <c r="K722" s="58" t="n">
        <f aca="false">IF('15 System Rates S&amp;I'!$C$33="","",'15 System Rates S&amp;I'!L33)</f>
        <v>1827</v>
      </c>
      <c r="L722" s="57" t="str">
        <f aca="false">IF('15 System Rates S&amp;I'!$C$33="","",'15 System Rates S&amp;I'!M33)</f>
        <v>Indicative</v>
      </c>
      <c r="M722" s="59" t="str">
        <f aca="false">IF(D722="","",IF(AND(OR(Search!$C$6="All Categories",A722=Search!$C$6),OR(Search!$P$5="",ISNUMBER(SEARCH(" "&amp;Search!$P$5,N722))),OR(Search!$P$6="",ISNUMBER(SEARCH(" "&amp;Search!$P$6,N722))),OR(Search!$P$7="",ISNUMBER(SEARCH(" "&amp;Search!$P$7,N722))),OR(Search!$P$8="",ISNUMBER(SEARCH(" "&amp;Search!$P$8,N722))),OR(Search!$P$9="",ISNUMBER(SEARCH(" "&amp;Search!$P$9,N722))),OR(Search!$P$10="",ISNUMBER(SEARCH(" "&amp;Search!$P$10,N722)))),ROW(),""))</f>
        <v/>
      </c>
      <c r="N722" s="0" t="str">
        <f aca="false">IF(D722="",""," "&amp;SUBSTITUTE(SUBSTITUTE(SUBSTITUTE(SUBSTITUTE(SUBSTITUTE(SUBSTITUTE(SUBSTITUTE(B722&amp;" "&amp;C722&amp;" "&amp;D722&amp;" "&amp;E722&amp;" "&amp;F722&amp;" "&amp;G722&amp;" "&amp;H722&amp;" "&amp;'15 System Rates S&amp;I'!R33,"("," "),")"," "),"/"," "),"-"," "),","," "),";"," "),":"," ")&amp;" ")</f>
        <v> SI 029 Balustrades &amp; Handrails Frameless glass balustrade   base shoe 17.52 TL  aluminium shoe  1.1 m H Anodized   SS clad Local lm aluminum alu railing handrail balustrade stainless steel </v>
      </c>
    </row>
    <row r="723" customFormat="false" ht="22.35" hidden="false" customHeight="false" outlineLevel="0" collapsed="false">
      <c r="A723" s="56" t="str">
        <f aca="false">IF('15 System Rates S&amp;I'!$C$34="","","Finished Systems - Budget Supply &amp; Install Rates")</f>
        <v>Finished Systems - Budget Supply &amp; Install Rates</v>
      </c>
      <c r="B723" s="57" t="str">
        <f aca="false">IF('15 System Rates S&amp;I'!$C$34="","",'15 System Rates S&amp;I'!A34)</f>
        <v>SI-030</v>
      </c>
      <c r="C723" s="56" t="str">
        <f aca="false">IF('15 System Rates S&amp;I'!$C$34="","",'15 System Rates S&amp;I'!B34)</f>
        <v>Balustrades &amp; Handrails</v>
      </c>
      <c r="D723" s="56" t="str">
        <f aca="false">IF('15 System Rates S&amp;I'!$C$34="","",'15 System Rates S&amp;I'!C34)</f>
        <v>Glass balustrade - spigot mounted</v>
      </c>
      <c r="E723" s="56" t="str">
        <f aca="false">IF('15 System Rates S&amp;I'!$C$34="","",'15 System Rates S&amp;I'!D34)</f>
        <v>15 mm tempered / 17.52 TL</v>
      </c>
      <c r="F723" s="56" t="str">
        <f aca="false">IF('15 System Rates S&amp;I'!$C$34="","",'15 System Rates S&amp;I'!E34)</f>
        <v>SS 316</v>
      </c>
      <c r="G723" s="56" t="str">
        <f aca="false">IF('15 System Rates S&amp;I'!$C$34="","",'15 System Rates S&amp;I'!F34)</f>
        <v>Local / Imported</v>
      </c>
      <c r="H723" s="57" t="str">
        <f aca="false">IF('15 System Rates S&amp;I'!$C$34="","",'15 System Rates S&amp;I'!G34)</f>
        <v>lm</v>
      </c>
      <c r="I723" s="58" t="n">
        <f aca="false">IF('15 System Rates S&amp;I'!$C$34="","",'15 System Rates S&amp;I'!J34)</f>
        <v>1250</v>
      </c>
      <c r="J723" s="58" t="n">
        <f aca="false">IF('15 System Rates S&amp;I'!$C$34="","",'15 System Rates S&amp;I'!K34)</f>
        <v>1500</v>
      </c>
      <c r="K723" s="58" t="n">
        <f aca="false">IF('15 System Rates S&amp;I'!$C$34="","",'15 System Rates S&amp;I'!L34)</f>
        <v>1575</v>
      </c>
      <c r="L723" s="57" t="str">
        <f aca="false">IF('15 System Rates S&amp;I'!$C$34="","",'15 System Rates S&amp;I'!M34)</f>
        <v>Indicative</v>
      </c>
      <c r="M723" s="59" t="str">
        <f aca="false">IF(D723="","",IF(AND(OR(Search!$C$6="All Categories",A723=Search!$C$6),OR(Search!$P$5="",ISNUMBER(SEARCH(" "&amp;Search!$P$5,N723))),OR(Search!$P$6="",ISNUMBER(SEARCH(" "&amp;Search!$P$6,N723))),OR(Search!$P$7="",ISNUMBER(SEARCH(" "&amp;Search!$P$7,N723))),OR(Search!$P$8="",ISNUMBER(SEARCH(" "&amp;Search!$P$8,N723))),OR(Search!$P$9="",ISNUMBER(SEARCH(" "&amp;Search!$P$9,N723))),OR(Search!$P$10="",ISNUMBER(SEARCH(" "&amp;Search!$P$10,N723)))),ROW(),""))</f>
        <v/>
      </c>
      <c r="N723" s="0" t="str">
        <f aca="false">IF(D723="",""," "&amp;SUBSTITUTE(SUBSTITUTE(SUBSTITUTE(SUBSTITUTE(SUBSTITUTE(SUBSTITUTE(SUBSTITUTE(B723&amp;" "&amp;C723&amp;" "&amp;D723&amp;" "&amp;E723&amp;" "&amp;F723&amp;" "&amp;G723&amp;" "&amp;H723&amp;" "&amp;'15 System Rates S&amp;I'!R34,"("," "),")"," "),"/"," "),"-"," "),","," "),";"," "),":"," ")&amp;" ")</f>
        <v> SI 030 Balustrades &amp; Handrails Glass balustrade   spigot mounted 15 mm tempered   17.52 TL SS 316 Local   Imported lm 15mm ss316 sus316 toughened railing handrail balustrade stainless steel </v>
      </c>
    </row>
    <row r="724" customFormat="false" ht="22.35" hidden="false" customHeight="false" outlineLevel="0" collapsed="false">
      <c r="A724" s="56" t="str">
        <f aca="false">IF('15 System Rates S&amp;I'!$C$35="","","Finished Systems - Budget Supply &amp; Install Rates")</f>
        <v>Finished Systems - Budget Supply &amp; Install Rates</v>
      </c>
      <c r="B724" s="57" t="str">
        <f aca="false">IF('15 System Rates S&amp;I'!$C$35="","",'15 System Rates S&amp;I'!A35)</f>
        <v>SI-031</v>
      </c>
      <c r="C724" s="56" t="str">
        <f aca="false">IF('15 System Rates S&amp;I'!$C$35="","",'15 System Rates S&amp;I'!B35)</f>
        <v>Balustrades &amp; Handrails</v>
      </c>
      <c r="D724" s="56" t="str">
        <f aca="false">IF('15 System Rates S&amp;I'!$C$35="","",'15 System Rates S&amp;I'!C35)</f>
        <v>SS handrail - wall mounted</v>
      </c>
      <c r="E724" s="56" t="str">
        <f aca="false">IF('15 System Rates S&amp;I'!$C$35="","",'15 System Rates S&amp;I'!D35)</f>
        <v>Dia 50.8 mm, SS 304</v>
      </c>
      <c r="F724" s="56" t="str">
        <f aca="false">IF('15 System Rates S&amp;I'!$C$35="","",'15 System Rates S&amp;I'!E35)</f>
        <v>Hairline</v>
      </c>
      <c r="G724" s="56" t="str">
        <f aca="false">IF('15 System Rates S&amp;I'!$C$35="","",'15 System Rates S&amp;I'!F35)</f>
        <v>Local</v>
      </c>
      <c r="H724" s="57" t="str">
        <f aca="false">IF('15 System Rates S&amp;I'!$C$35="","",'15 System Rates S&amp;I'!G35)</f>
        <v>lm</v>
      </c>
      <c r="I724" s="58" t="n">
        <f aca="false">IF('15 System Rates S&amp;I'!$C$35="","",'15 System Rates S&amp;I'!J35)</f>
        <v>280</v>
      </c>
      <c r="J724" s="58" t="n">
        <f aca="false">IF('15 System Rates S&amp;I'!$C$35="","",'15 System Rates S&amp;I'!K35)</f>
        <v>336</v>
      </c>
      <c r="K724" s="58" t="n">
        <f aca="false">IF('15 System Rates S&amp;I'!$C$35="","",'15 System Rates S&amp;I'!L35)</f>
        <v>352.8</v>
      </c>
      <c r="L724" s="57" t="str">
        <f aca="false">IF('15 System Rates S&amp;I'!$C$35="","",'15 System Rates S&amp;I'!M35)</f>
        <v>Indicative</v>
      </c>
      <c r="M724" s="59" t="str">
        <f aca="false">IF(D724="","",IF(AND(OR(Search!$C$6="All Categories",A724=Search!$C$6),OR(Search!$P$5="",ISNUMBER(SEARCH(" "&amp;Search!$P$5,N724))),OR(Search!$P$6="",ISNUMBER(SEARCH(" "&amp;Search!$P$6,N724))),OR(Search!$P$7="",ISNUMBER(SEARCH(" "&amp;Search!$P$7,N724))),OR(Search!$P$8="",ISNUMBER(SEARCH(" "&amp;Search!$P$8,N724))),OR(Search!$P$9="",ISNUMBER(SEARCH(" "&amp;Search!$P$9,N724))),OR(Search!$P$10="",ISNUMBER(SEARCH(" "&amp;Search!$P$10,N724)))),ROW(),""))</f>
        <v/>
      </c>
      <c r="N724" s="0" t="str">
        <f aca="false">IF(D724="",""," "&amp;SUBSTITUTE(SUBSTITUTE(SUBSTITUTE(SUBSTITUTE(SUBSTITUTE(SUBSTITUTE(SUBSTITUTE(B724&amp;" "&amp;C724&amp;" "&amp;D724&amp;" "&amp;E724&amp;" "&amp;F724&amp;" "&amp;G724&amp;" "&amp;H724&amp;" "&amp;'15 System Rates S&amp;I'!R35,"("," "),")"," "),"/"," "),"-"," "),","," "),";"," "),":"," ")&amp;" ")</f>
        <v> SI 031 Balustrades &amp; Handrails SS handrail   wall mounted Dia 50.8 mm  SS 304 Hairline Local lm 50.8mm ss304 sus304 railing handrail balustrade satin brushed stainless steel </v>
      </c>
    </row>
    <row r="725" customFormat="false" ht="22.35" hidden="false" customHeight="false" outlineLevel="0" collapsed="false">
      <c r="A725" s="56" t="str">
        <f aca="false">IF('15 System Rates S&amp;I'!$C$36="","","Finished Systems - Budget Supply &amp; Install Rates")</f>
        <v>Finished Systems - Budget Supply &amp; Install Rates</v>
      </c>
      <c r="B725" s="57" t="str">
        <f aca="false">IF('15 System Rates S&amp;I'!$C$36="","",'15 System Rates S&amp;I'!A36)</f>
        <v>SI-032</v>
      </c>
      <c r="C725" s="56" t="str">
        <f aca="false">IF('15 System Rates S&amp;I'!$C$36="","",'15 System Rates S&amp;I'!B36)</f>
        <v>Balustrades &amp; Handrails</v>
      </c>
      <c r="D725" s="56" t="str">
        <f aca="false">IF('15 System Rates S&amp;I'!$C$36="","",'15 System Rates S&amp;I'!C36)</f>
        <v>SS balustrade with rod / wire infill</v>
      </c>
      <c r="E725" s="56" t="str">
        <f aca="false">IF('15 System Rates S&amp;I'!$C$36="","",'15 System Rates S&amp;I'!D36)</f>
        <v>SS 316, 1.1 m H</v>
      </c>
      <c r="F725" s="56" t="str">
        <f aca="false">IF('15 System Rates S&amp;I'!$C$36="","",'15 System Rates S&amp;I'!E36)</f>
        <v>Hairline</v>
      </c>
      <c r="G725" s="56" t="str">
        <f aca="false">IF('15 System Rates S&amp;I'!$C$36="","",'15 System Rates S&amp;I'!F36)</f>
        <v>Local</v>
      </c>
      <c r="H725" s="57" t="str">
        <f aca="false">IF('15 System Rates S&amp;I'!$C$36="","",'15 System Rates S&amp;I'!G36)</f>
        <v>lm</v>
      </c>
      <c r="I725" s="58" t="n">
        <f aca="false">IF('15 System Rates S&amp;I'!$C$36="","",'15 System Rates S&amp;I'!J36)</f>
        <v>850</v>
      </c>
      <c r="J725" s="58" t="n">
        <f aca="false">IF('15 System Rates S&amp;I'!$C$36="","",'15 System Rates S&amp;I'!K36)</f>
        <v>1020</v>
      </c>
      <c r="K725" s="58" t="n">
        <f aca="false">IF('15 System Rates S&amp;I'!$C$36="","",'15 System Rates S&amp;I'!L36)</f>
        <v>1071</v>
      </c>
      <c r="L725" s="57" t="str">
        <f aca="false">IF('15 System Rates S&amp;I'!$C$36="","",'15 System Rates S&amp;I'!M36)</f>
        <v>Indicative</v>
      </c>
      <c r="M725" s="59" t="str">
        <f aca="false">IF(D725="","",IF(AND(OR(Search!$C$6="All Categories",A725=Search!$C$6),OR(Search!$P$5="",ISNUMBER(SEARCH(" "&amp;Search!$P$5,N725))),OR(Search!$P$6="",ISNUMBER(SEARCH(" "&amp;Search!$P$6,N725))),OR(Search!$P$7="",ISNUMBER(SEARCH(" "&amp;Search!$P$7,N725))),OR(Search!$P$8="",ISNUMBER(SEARCH(" "&amp;Search!$P$8,N725))),OR(Search!$P$9="",ISNUMBER(SEARCH(" "&amp;Search!$P$9,N725))),OR(Search!$P$10="",ISNUMBER(SEARCH(" "&amp;Search!$P$10,N725)))),ROW(),""))</f>
        <v/>
      </c>
      <c r="N725" s="0" t="str">
        <f aca="false">IF(D725="",""," "&amp;SUBSTITUTE(SUBSTITUTE(SUBSTITUTE(SUBSTITUTE(SUBSTITUTE(SUBSTITUTE(SUBSTITUTE(B725&amp;" "&amp;C725&amp;" "&amp;D725&amp;" "&amp;E725&amp;" "&amp;F725&amp;" "&amp;G725&amp;" "&amp;H725&amp;" "&amp;'15 System Rates S&amp;I'!R36,"("," "),")"," "),"/"," "),"-"," "),","," "),";"," "),":"," ")&amp;" ")</f>
        <v> SI 032 Balustrades &amp; Handrails SS balustrade with rod   wire infill SS 316  1.1 m H Hairline Local lm ss316 sus316 railing handrail balustrade satin brushed stainless steel </v>
      </c>
    </row>
    <row r="726" customFormat="false" ht="22.35" hidden="false" customHeight="false" outlineLevel="0" collapsed="false">
      <c r="A726" s="56" t="str">
        <f aca="false">IF('15 System Rates S&amp;I'!$C$37="","","Finished Systems - Budget Supply &amp; Install Rates")</f>
        <v>Finished Systems - Budget Supply &amp; Install Rates</v>
      </c>
      <c r="B726" s="57" t="str">
        <f aca="false">IF('15 System Rates S&amp;I'!$C$37="","",'15 System Rates S&amp;I'!A37)</f>
        <v>SI-033</v>
      </c>
      <c r="C726" s="56" t="str">
        <f aca="false">IF('15 System Rates S&amp;I'!$C$37="","",'15 System Rates S&amp;I'!B37)</f>
        <v>Balustrades &amp; Handrails</v>
      </c>
      <c r="D726" s="56" t="str">
        <f aca="false">IF('15 System Rates S&amp;I'!$C$37="","",'15 System Rates S&amp;I'!C37)</f>
        <v>MS balustrade / railing</v>
      </c>
      <c r="E726" s="56" t="str">
        <f aca="false">IF('15 System Rates S&amp;I'!$C$37="","",'15 System Rates S&amp;I'!D37)</f>
        <v>Painted, 1.1 m H</v>
      </c>
      <c r="F726" s="56" t="str">
        <f aca="false">IF('15 System Rates S&amp;I'!$C$37="","",'15 System Rates S&amp;I'!E37)</f>
        <v>Paint / PC</v>
      </c>
      <c r="G726" s="56" t="str">
        <f aca="false">IF('15 System Rates S&amp;I'!$C$37="","",'15 System Rates S&amp;I'!F37)</f>
        <v>Local</v>
      </c>
      <c r="H726" s="57" t="str">
        <f aca="false">IF('15 System Rates S&amp;I'!$C$37="","",'15 System Rates S&amp;I'!G37)</f>
        <v>lm</v>
      </c>
      <c r="I726" s="58" t="n">
        <f aca="false">IF('15 System Rates S&amp;I'!$C$37="","",'15 System Rates S&amp;I'!J37)</f>
        <v>450</v>
      </c>
      <c r="J726" s="58" t="n">
        <f aca="false">IF('15 System Rates S&amp;I'!$C$37="","",'15 System Rates S&amp;I'!K37)</f>
        <v>540</v>
      </c>
      <c r="K726" s="58" t="n">
        <f aca="false">IF('15 System Rates S&amp;I'!$C$37="","",'15 System Rates S&amp;I'!L37)</f>
        <v>567</v>
      </c>
      <c r="L726" s="57" t="str">
        <f aca="false">IF('15 System Rates S&amp;I'!$C$37="","",'15 System Rates S&amp;I'!M37)</f>
        <v>Indicative</v>
      </c>
      <c r="M726" s="59" t="str">
        <f aca="false">IF(D726="","",IF(AND(OR(Search!$C$6="All Categories",A726=Search!$C$6),OR(Search!$P$5="",ISNUMBER(SEARCH(" "&amp;Search!$P$5,N726))),OR(Search!$P$6="",ISNUMBER(SEARCH(" "&amp;Search!$P$6,N726))),OR(Search!$P$7="",ISNUMBER(SEARCH(" "&amp;Search!$P$7,N726))),OR(Search!$P$8="",ISNUMBER(SEARCH(" "&amp;Search!$P$8,N726))),OR(Search!$P$9="",ISNUMBER(SEARCH(" "&amp;Search!$P$9,N726))),OR(Search!$P$10="",ISNUMBER(SEARCH(" "&amp;Search!$P$10,N726)))),ROW(),""))</f>
        <v/>
      </c>
      <c r="N726" s="0" t="str">
        <f aca="false">IF(D726="",""," "&amp;SUBSTITUTE(SUBSTITUTE(SUBSTITUTE(SUBSTITUTE(SUBSTITUTE(SUBSTITUTE(SUBSTITUTE(B726&amp;" "&amp;C726&amp;" "&amp;D726&amp;" "&amp;E726&amp;" "&amp;F726&amp;" "&amp;G726&amp;" "&amp;H726&amp;" "&amp;'15 System Rates S&amp;I'!R37,"("," "),")"," "),"/"," "),"-"," "),","," "),";"," "),":"," ")&amp;" ")</f>
        <v> SI 033 Balustrades &amp; Handrails MS balustrade   railing Painted  1.1 m H Paint   PC Local lm railing handrail balustrade mild steel </v>
      </c>
    </row>
    <row r="727" customFormat="false" ht="22.35" hidden="false" customHeight="false" outlineLevel="0" collapsed="false">
      <c r="A727" s="56" t="str">
        <f aca="false">IF('15 System Rates S&amp;I'!$C$38="","","Finished Systems - Budget Supply &amp; Install Rates")</f>
        <v>Finished Systems - Budget Supply &amp; Install Rates</v>
      </c>
      <c r="B727" s="57" t="str">
        <f aca="false">IF('15 System Rates S&amp;I'!$C$38="","",'15 System Rates S&amp;I'!A38)</f>
        <v>SI-034</v>
      </c>
      <c r="C727" s="56" t="str">
        <f aca="false">IF('15 System Rates S&amp;I'!$C$38="","",'15 System Rates S&amp;I'!B38)</f>
        <v>Balustrades &amp; Handrails</v>
      </c>
      <c r="D727" s="56" t="str">
        <f aca="false">IF('15 System Rates S&amp;I'!$C$38="","",'15 System Rates S&amp;I'!C38)</f>
        <v>Aluminium balustrade with vertical pickets</v>
      </c>
      <c r="E727" s="56" t="str">
        <f aca="false">IF('15 System Rates S&amp;I'!$C$38="","",'15 System Rates S&amp;I'!D38)</f>
        <v>1.1 m H</v>
      </c>
      <c r="F727" s="56" t="str">
        <f aca="false">IF('15 System Rates S&amp;I'!$C$38="","",'15 System Rates S&amp;I'!E38)</f>
        <v>PC</v>
      </c>
      <c r="G727" s="56" t="str">
        <f aca="false">IF('15 System Rates S&amp;I'!$C$38="","",'15 System Rates S&amp;I'!F38)</f>
        <v>Local</v>
      </c>
      <c r="H727" s="57" t="str">
        <f aca="false">IF('15 System Rates S&amp;I'!$C$38="","",'15 System Rates S&amp;I'!G38)</f>
        <v>lm</v>
      </c>
      <c r="I727" s="58" t="n">
        <f aca="false">IF('15 System Rates S&amp;I'!$C$38="","",'15 System Rates S&amp;I'!J38)</f>
        <v>550</v>
      </c>
      <c r="J727" s="58" t="n">
        <f aca="false">IF('15 System Rates S&amp;I'!$C$38="","",'15 System Rates S&amp;I'!K38)</f>
        <v>660</v>
      </c>
      <c r="K727" s="58" t="n">
        <f aca="false">IF('15 System Rates S&amp;I'!$C$38="","",'15 System Rates S&amp;I'!L38)</f>
        <v>693</v>
      </c>
      <c r="L727" s="57" t="str">
        <f aca="false">IF('15 System Rates S&amp;I'!$C$38="","",'15 System Rates S&amp;I'!M38)</f>
        <v>Indicative</v>
      </c>
      <c r="M727" s="59" t="str">
        <f aca="false">IF(D727="","",IF(AND(OR(Search!$C$6="All Categories",A727=Search!$C$6),OR(Search!$P$5="",ISNUMBER(SEARCH(" "&amp;Search!$P$5,N727))),OR(Search!$P$6="",ISNUMBER(SEARCH(" "&amp;Search!$P$6,N727))),OR(Search!$P$7="",ISNUMBER(SEARCH(" "&amp;Search!$P$7,N727))),OR(Search!$P$8="",ISNUMBER(SEARCH(" "&amp;Search!$P$8,N727))),OR(Search!$P$9="",ISNUMBER(SEARCH(" "&amp;Search!$P$9,N727))),OR(Search!$P$10="",ISNUMBER(SEARCH(" "&amp;Search!$P$10,N727)))),ROW(),""))</f>
        <v/>
      </c>
      <c r="N727" s="0" t="str">
        <f aca="false">IF(D727="",""," "&amp;SUBSTITUTE(SUBSTITUTE(SUBSTITUTE(SUBSTITUTE(SUBSTITUTE(SUBSTITUTE(SUBSTITUTE(B727&amp;" "&amp;C727&amp;" "&amp;D727&amp;" "&amp;E727&amp;" "&amp;F727&amp;" "&amp;G727&amp;" "&amp;H727&amp;" "&amp;'15 System Rates S&amp;I'!R38,"("," "),")"," "),"/"," "),"-"," "),","," "),";"," "),":"," ")&amp;" ")</f>
        <v> SI 034 Balustrades &amp; Handrails Aluminium balustrade with vertical pickets 1.1 m H PC Local lm aluminum alu railing handrail balustrade </v>
      </c>
    </row>
    <row r="728" customFormat="false" ht="22.35" hidden="false" customHeight="false" outlineLevel="0" collapsed="false">
      <c r="A728" s="56" t="str">
        <f aca="false">IF('15 System Rates S&amp;I'!$C$39="","","Finished Systems - Budget Supply &amp; Install Rates")</f>
        <v>Finished Systems - Budget Supply &amp; Install Rates</v>
      </c>
      <c r="B728" s="57" t="str">
        <f aca="false">IF('15 System Rates S&amp;I'!$C$39="","",'15 System Rates S&amp;I'!A39)</f>
        <v>SI-035</v>
      </c>
      <c r="C728" s="56" t="str">
        <f aca="false">IF('15 System Rates S&amp;I'!$C$39="","",'15 System Rates S&amp;I'!B39)</f>
        <v>Shower &amp; Bathroom</v>
      </c>
      <c r="D728" s="56" t="str">
        <f aca="false">IF('15 System Rates S&amp;I'!$C$39="","",'15 System Rates S&amp;I'!C39)</f>
        <v>Frameless shower enclosure - fixed panel</v>
      </c>
      <c r="E728" s="56" t="str">
        <f aca="false">IF('15 System Rates S&amp;I'!$C$39="","",'15 System Rates S&amp;I'!D39)</f>
        <v>10 mm tempered</v>
      </c>
      <c r="F728" s="56" t="str">
        <f aca="false">IF('15 System Rates S&amp;I'!$C$39="","",'15 System Rates S&amp;I'!E39)</f>
        <v>Chrome / satin fittings</v>
      </c>
      <c r="G728" s="56" t="str">
        <f aca="false">IF('15 System Rates S&amp;I'!$C$39="","",'15 System Rates S&amp;I'!F39)</f>
        <v>Local</v>
      </c>
      <c r="H728" s="57" t="str">
        <f aca="false">IF('15 System Rates S&amp;I'!$C$39="","",'15 System Rates S&amp;I'!G39)</f>
        <v>m2</v>
      </c>
      <c r="I728" s="58" t="n">
        <f aca="false">IF('15 System Rates S&amp;I'!$C$39="","",'15 System Rates S&amp;I'!J39)</f>
        <v>550</v>
      </c>
      <c r="J728" s="58" t="n">
        <f aca="false">IF('15 System Rates S&amp;I'!$C$39="","",'15 System Rates S&amp;I'!K39)</f>
        <v>660</v>
      </c>
      <c r="K728" s="58" t="n">
        <f aca="false">IF('15 System Rates S&amp;I'!$C$39="","",'15 System Rates S&amp;I'!L39)</f>
        <v>693</v>
      </c>
      <c r="L728" s="57" t="str">
        <f aca="false">IF('15 System Rates S&amp;I'!$C$39="","",'15 System Rates S&amp;I'!M39)</f>
        <v>Indicative</v>
      </c>
      <c r="M728" s="59" t="str">
        <f aca="false">IF(D728="","",IF(AND(OR(Search!$C$6="All Categories",A728=Search!$C$6),OR(Search!$P$5="",ISNUMBER(SEARCH(" "&amp;Search!$P$5,N728))),OR(Search!$P$6="",ISNUMBER(SEARCH(" "&amp;Search!$P$6,N728))),OR(Search!$P$7="",ISNUMBER(SEARCH(" "&amp;Search!$P$7,N728))),OR(Search!$P$8="",ISNUMBER(SEARCH(" "&amp;Search!$P$8,N728))),OR(Search!$P$9="",ISNUMBER(SEARCH(" "&amp;Search!$P$9,N728))),OR(Search!$P$10="",ISNUMBER(SEARCH(" "&amp;Search!$P$10,N728)))),ROW(),""))</f>
        <v/>
      </c>
      <c r="N728" s="0" t="str">
        <f aca="false">IF(D728="",""," "&amp;SUBSTITUTE(SUBSTITUTE(SUBSTITUTE(SUBSTITUTE(SUBSTITUTE(SUBSTITUTE(SUBSTITUTE(B728&amp;" "&amp;C728&amp;" "&amp;D728&amp;" "&amp;E728&amp;" "&amp;F728&amp;" "&amp;G728&amp;" "&amp;H728&amp;" "&amp;'15 System Rates S&amp;I'!R39,"("," "),")"," "),"/"," "),"-"," "),","," "),";"," "),":"," ")&amp;" ")</f>
        <v> SI 035 Shower &amp; Bathroom Frameless shower enclosure   fixed panel 10 mm tempered Chrome   satin fittings Local m2 10mm toughened bathroom stainless steel </v>
      </c>
    </row>
    <row r="729" customFormat="false" ht="22.35" hidden="false" customHeight="false" outlineLevel="0" collapsed="false">
      <c r="A729" s="56" t="str">
        <f aca="false">IF('15 System Rates S&amp;I'!$C$40="","","Finished Systems - Budget Supply &amp; Install Rates")</f>
        <v>Finished Systems - Budget Supply &amp; Install Rates</v>
      </c>
      <c r="B729" s="57" t="str">
        <f aca="false">IF('15 System Rates S&amp;I'!$C$40="","",'15 System Rates S&amp;I'!A40)</f>
        <v>SI-036</v>
      </c>
      <c r="C729" s="56" t="str">
        <f aca="false">IF('15 System Rates S&amp;I'!$C$40="","",'15 System Rates S&amp;I'!B40)</f>
        <v>Shower &amp; Bathroom</v>
      </c>
      <c r="D729" s="56" t="str">
        <f aca="false">IF('15 System Rates S&amp;I'!$C$40="","",'15 System Rates S&amp;I'!C40)</f>
        <v>Frameless shower enclosure - hinged door + fixed</v>
      </c>
      <c r="E729" s="56" t="str">
        <f aca="false">IF('15 System Rates S&amp;I'!$C$40="","",'15 System Rates S&amp;I'!D40)</f>
        <v>10 mm tempered, up to 1.2 x 2.0 m</v>
      </c>
      <c r="F729" s="56" t="str">
        <f aca="false">IF('15 System Rates S&amp;I'!$C$40="","",'15 System Rates S&amp;I'!E40)</f>
        <v>Chrome / satin fittings</v>
      </c>
      <c r="G729" s="56" t="str">
        <f aca="false">IF('15 System Rates S&amp;I'!$C$40="","",'15 System Rates S&amp;I'!F40)</f>
        <v>Local</v>
      </c>
      <c r="H729" s="57" t="str">
        <f aca="false">IF('15 System Rates S&amp;I'!$C$40="","",'15 System Rates S&amp;I'!G40)</f>
        <v>set</v>
      </c>
      <c r="I729" s="58" t="n">
        <f aca="false">IF('15 System Rates S&amp;I'!$C$40="","",'15 System Rates S&amp;I'!J40)</f>
        <v>2200</v>
      </c>
      <c r="J729" s="58" t="n">
        <f aca="false">IF('15 System Rates S&amp;I'!$C$40="","",'15 System Rates S&amp;I'!K40)</f>
        <v>2640</v>
      </c>
      <c r="K729" s="58" t="n">
        <f aca="false">IF('15 System Rates S&amp;I'!$C$40="","",'15 System Rates S&amp;I'!L40)</f>
        <v>2772</v>
      </c>
      <c r="L729" s="57" t="str">
        <f aca="false">IF('15 System Rates S&amp;I'!$C$40="","",'15 System Rates S&amp;I'!M40)</f>
        <v>Indicative</v>
      </c>
      <c r="M729" s="59" t="str">
        <f aca="false">IF(D729="","",IF(AND(OR(Search!$C$6="All Categories",A729=Search!$C$6),OR(Search!$P$5="",ISNUMBER(SEARCH(" "&amp;Search!$P$5,N729))),OR(Search!$P$6="",ISNUMBER(SEARCH(" "&amp;Search!$P$6,N729))),OR(Search!$P$7="",ISNUMBER(SEARCH(" "&amp;Search!$P$7,N729))),OR(Search!$P$8="",ISNUMBER(SEARCH(" "&amp;Search!$P$8,N729))),OR(Search!$P$9="",ISNUMBER(SEARCH(" "&amp;Search!$P$9,N729))),OR(Search!$P$10="",ISNUMBER(SEARCH(" "&amp;Search!$P$10,N729)))),ROW(),""))</f>
        <v/>
      </c>
      <c r="N729" s="0" t="str">
        <f aca="false">IF(D729="",""," "&amp;SUBSTITUTE(SUBSTITUTE(SUBSTITUTE(SUBSTITUTE(SUBSTITUTE(SUBSTITUTE(SUBSTITUTE(B729&amp;" "&amp;C729&amp;" "&amp;D729&amp;" "&amp;E729&amp;" "&amp;F729&amp;" "&amp;G729&amp;" "&amp;H729&amp;" "&amp;'15 System Rates S&amp;I'!R40,"("," "),")"," "),"/"," "),"-"," "),","," "),";"," "),":"," ")&amp;" ")</f>
        <v> SI 036 Shower &amp; Bathroom Frameless shower enclosure   hinged door + fixed 10 mm tempered  up to 1.2 x 2.0 m Chrome   satin fittings Local set 1.2x2.0 10mm toughened bathroom stainless steel </v>
      </c>
    </row>
    <row r="730" customFormat="false" ht="22.35" hidden="false" customHeight="false" outlineLevel="0" collapsed="false">
      <c r="A730" s="56" t="str">
        <f aca="false">IF('15 System Rates S&amp;I'!$C$41="","","Finished Systems - Budget Supply &amp; Install Rates")</f>
        <v>Finished Systems - Budget Supply &amp; Install Rates</v>
      </c>
      <c r="B730" s="57" t="str">
        <f aca="false">IF('15 System Rates S&amp;I'!$C$41="","",'15 System Rates S&amp;I'!A41)</f>
        <v>SI-037</v>
      </c>
      <c r="C730" s="56" t="str">
        <f aca="false">IF('15 System Rates S&amp;I'!$C$41="","",'15 System Rates S&amp;I'!B41)</f>
        <v>Shower &amp; Bathroom</v>
      </c>
      <c r="D730" s="56" t="str">
        <f aca="false">IF('15 System Rates S&amp;I'!$C$41="","",'15 System Rates S&amp;I'!C41)</f>
        <v>Sliding shower enclosure</v>
      </c>
      <c r="E730" s="56" t="str">
        <f aca="false">IF('15 System Rates S&amp;I'!$C$41="","",'15 System Rates S&amp;I'!D41)</f>
        <v>8-10 mm tempered</v>
      </c>
      <c r="F730" s="56" t="str">
        <f aca="false">IF('15 System Rates S&amp;I'!$C$41="","",'15 System Rates S&amp;I'!E41)</f>
        <v>SS fittings</v>
      </c>
      <c r="G730" s="56" t="str">
        <f aca="false">IF('15 System Rates S&amp;I'!$C$41="","",'15 System Rates S&amp;I'!F41)</f>
        <v>Local</v>
      </c>
      <c r="H730" s="57" t="str">
        <f aca="false">IF('15 System Rates S&amp;I'!$C$41="","",'15 System Rates S&amp;I'!G41)</f>
        <v>set</v>
      </c>
      <c r="I730" s="58" t="n">
        <f aca="false">IF('15 System Rates S&amp;I'!$C$41="","",'15 System Rates S&amp;I'!J41)</f>
        <v>2600</v>
      </c>
      <c r="J730" s="58" t="n">
        <f aca="false">IF('15 System Rates S&amp;I'!$C$41="","",'15 System Rates S&amp;I'!K41)</f>
        <v>3120</v>
      </c>
      <c r="K730" s="58" t="n">
        <f aca="false">IF('15 System Rates S&amp;I'!$C$41="","",'15 System Rates S&amp;I'!L41)</f>
        <v>3276</v>
      </c>
      <c r="L730" s="57" t="str">
        <f aca="false">IF('15 System Rates S&amp;I'!$C$41="","",'15 System Rates S&amp;I'!M41)</f>
        <v>Indicative</v>
      </c>
      <c r="M730" s="59" t="str">
        <f aca="false">IF(D730="","",IF(AND(OR(Search!$C$6="All Categories",A730=Search!$C$6),OR(Search!$P$5="",ISNUMBER(SEARCH(" "&amp;Search!$P$5,N730))),OR(Search!$P$6="",ISNUMBER(SEARCH(" "&amp;Search!$P$6,N730))),OR(Search!$P$7="",ISNUMBER(SEARCH(" "&amp;Search!$P$7,N730))),OR(Search!$P$8="",ISNUMBER(SEARCH(" "&amp;Search!$P$8,N730))),OR(Search!$P$9="",ISNUMBER(SEARCH(" "&amp;Search!$P$9,N730))),OR(Search!$P$10="",ISNUMBER(SEARCH(" "&amp;Search!$P$10,N730)))),ROW(),""))</f>
        <v/>
      </c>
      <c r="N730" s="0" t="str">
        <f aca="false">IF(D730="",""," "&amp;SUBSTITUTE(SUBSTITUTE(SUBSTITUTE(SUBSTITUTE(SUBSTITUTE(SUBSTITUTE(SUBSTITUTE(B730&amp;" "&amp;C730&amp;" "&amp;D730&amp;" "&amp;E730&amp;" "&amp;F730&amp;" "&amp;G730&amp;" "&amp;H730&amp;" "&amp;'15 System Rates S&amp;I'!R41,"("," "),")"," "),"/"," "),"-"," "),","," "),";"," "),":"," ")&amp;" ")</f>
        <v> SI 037 Shower &amp; Bathroom Sliding shower enclosure 8 10 mm tempered SS fittings Local set 10mm toughened bathroom stainless steel </v>
      </c>
    </row>
    <row r="731" customFormat="false" ht="22.35" hidden="false" customHeight="false" outlineLevel="0" collapsed="false">
      <c r="A731" s="56" t="str">
        <f aca="false">IF('15 System Rates S&amp;I'!$C$42="","","Finished Systems - Budget Supply &amp; Install Rates")</f>
        <v>Finished Systems - Budget Supply &amp; Install Rates</v>
      </c>
      <c r="B731" s="57" t="str">
        <f aca="false">IF('15 System Rates S&amp;I'!$C$42="","",'15 System Rates S&amp;I'!A42)</f>
        <v>SI-038</v>
      </c>
      <c r="C731" s="56" t="str">
        <f aca="false">IF('15 System Rates S&amp;I'!$C$42="","",'15 System Rates S&amp;I'!B42)</f>
        <v>Shower &amp; Bathroom</v>
      </c>
      <c r="D731" s="56" t="str">
        <f aca="false">IF('15 System Rates S&amp;I'!$C$42="","",'15 System Rates S&amp;I'!C42)</f>
        <v>Bathtub screen</v>
      </c>
      <c r="E731" s="56" t="str">
        <f aca="false">IF('15 System Rates S&amp;I'!$C$42="","",'15 System Rates S&amp;I'!D42)</f>
        <v>8 mm tempered, hinged</v>
      </c>
      <c r="F731" s="56" t="str">
        <f aca="false">IF('15 System Rates S&amp;I'!$C$42="","",'15 System Rates S&amp;I'!E42)</f>
        <v>Chrome</v>
      </c>
      <c r="G731" s="56" t="str">
        <f aca="false">IF('15 System Rates S&amp;I'!$C$42="","",'15 System Rates S&amp;I'!F42)</f>
        <v>Local</v>
      </c>
      <c r="H731" s="57" t="str">
        <f aca="false">IF('15 System Rates S&amp;I'!$C$42="","",'15 System Rates S&amp;I'!G42)</f>
        <v>nos</v>
      </c>
      <c r="I731" s="58" t="n">
        <f aca="false">IF('15 System Rates S&amp;I'!$C$42="","",'15 System Rates S&amp;I'!J42)</f>
        <v>950</v>
      </c>
      <c r="J731" s="58" t="n">
        <f aca="false">IF('15 System Rates S&amp;I'!$C$42="","",'15 System Rates S&amp;I'!K42)</f>
        <v>1140</v>
      </c>
      <c r="K731" s="58" t="n">
        <f aca="false">IF('15 System Rates S&amp;I'!$C$42="","",'15 System Rates S&amp;I'!L42)</f>
        <v>1197</v>
      </c>
      <c r="L731" s="57" t="str">
        <f aca="false">IF('15 System Rates S&amp;I'!$C$42="","",'15 System Rates S&amp;I'!M42)</f>
        <v>Indicative</v>
      </c>
      <c r="M731" s="59" t="str">
        <f aca="false">IF(D731="","",IF(AND(OR(Search!$C$6="All Categories",A731=Search!$C$6),OR(Search!$P$5="",ISNUMBER(SEARCH(" "&amp;Search!$P$5,N731))),OR(Search!$P$6="",ISNUMBER(SEARCH(" "&amp;Search!$P$6,N731))),OR(Search!$P$7="",ISNUMBER(SEARCH(" "&amp;Search!$P$7,N731))),OR(Search!$P$8="",ISNUMBER(SEARCH(" "&amp;Search!$P$8,N731))),OR(Search!$P$9="",ISNUMBER(SEARCH(" "&amp;Search!$P$9,N731))),OR(Search!$P$10="",ISNUMBER(SEARCH(" "&amp;Search!$P$10,N731)))),ROW(),""))</f>
        <v/>
      </c>
      <c r="N731" s="0" t="str">
        <f aca="false">IF(D731="",""," "&amp;SUBSTITUTE(SUBSTITUTE(SUBSTITUTE(SUBSTITUTE(SUBSTITUTE(SUBSTITUTE(SUBSTITUTE(B731&amp;" "&amp;C731&amp;" "&amp;D731&amp;" "&amp;E731&amp;" "&amp;F731&amp;" "&amp;G731&amp;" "&amp;H731&amp;" "&amp;'15 System Rates S&amp;I'!R42,"("," "),")"," "),"/"," "),"-"," "),","," "),";"," "),":"," ")&amp;" ")</f>
        <v> SI 038 Shower &amp; Bathroom Bathtub screen 8 mm tempered  hinged Chrome Local nos 8mm toughened bathroom </v>
      </c>
    </row>
    <row r="732" customFormat="false" ht="22.35" hidden="false" customHeight="false" outlineLevel="0" collapsed="false">
      <c r="A732" s="56" t="str">
        <f aca="false">IF('15 System Rates S&amp;I'!$C$43="","","Finished Systems - Budget Supply &amp; Install Rates")</f>
        <v>Finished Systems - Budget Supply &amp; Install Rates</v>
      </c>
      <c r="B732" s="57" t="str">
        <f aca="false">IF('15 System Rates S&amp;I'!$C$43="","",'15 System Rates S&amp;I'!A43)</f>
        <v>SI-039</v>
      </c>
      <c r="C732" s="56" t="str">
        <f aca="false">IF('15 System Rates S&amp;I'!$C$43="","",'15 System Rates S&amp;I'!B43)</f>
        <v>Shower &amp; Bathroom</v>
      </c>
      <c r="D732" s="56" t="str">
        <f aca="false">IF('15 System Rates S&amp;I'!$C$43="","",'15 System Rates S&amp;I'!C43)</f>
        <v>Mirror supply &amp; fix</v>
      </c>
      <c r="E732" s="56" t="str">
        <f aca="false">IF('15 System Rates S&amp;I'!$C$43="","",'15 System Rates S&amp;I'!D43)</f>
        <v>6 mm polished edge</v>
      </c>
      <c r="F732" s="56" t="str">
        <f aca="false">IF('15 System Rates S&amp;I'!$C$43="","",'15 System Rates S&amp;I'!E43)</f>
        <v>Clear silver</v>
      </c>
      <c r="G732" s="56" t="str">
        <f aca="false">IF('15 System Rates S&amp;I'!$C$43="","",'15 System Rates S&amp;I'!F43)</f>
        <v>Local</v>
      </c>
      <c r="H732" s="57" t="str">
        <f aca="false">IF('15 System Rates S&amp;I'!$C$43="","",'15 System Rates S&amp;I'!G43)</f>
        <v>m2</v>
      </c>
      <c r="I732" s="58" t="n">
        <f aca="false">IF('15 System Rates S&amp;I'!$C$43="","",'15 System Rates S&amp;I'!J43)</f>
        <v>160</v>
      </c>
      <c r="J732" s="58" t="n">
        <f aca="false">IF('15 System Rates S&amp;I'!$C$43="","",'15 System Rates S&amp;I'!K43)</f>
        <v>192</v>
      </c>
      <c r="K732" s="58" t="n">
        <f aca="false">IF('15 System Rates S&amp;I'!$C$43="","",'15 System Rates S&amp;I'!L43)</f>
        <v>201.6</v>
      </c>
      <c r="L732" s="57" t="str">
        <f aca="false">IF('15 System Rates S&amp;I'!$C$43="","",'15 System Rates S&amp;I'!M43)</f>
        <v>Indicative</v>
      </c>
      <c r="M732" s="59" t="str">
        <f aca="false">IF(D732="","",IF(AND(OR(Search!$C$6="All Categories",A732=Search!$C$6),OR(Search!$P$5="",ISNUMBER(SEARCH(" "&amp;Search!$P$5,N732))),OR(Search!$P$6="",ISNUMBER(SEARCH(" "&amp;Search!$P$6,N732))),OR(Search!$P$7="",ISNUMBER(SEARCH(" "&amp;Search!$P$7,N732))),OR(Search!$P$8="",ISNUMBER(SEARCH(" "&amp;Search!$P$8,N732))),OR(Search!$P$9="",ISNUMBER(SEARCH(" "&amp;Search!$P$9,N732))),OR(Search!$P$10="",ISNUMBER(SEARCH(" "&amp;Search!$P$10,N732)))),ROW(),""))</f>
        <v/>
      </c>
      <c r="N732" s="0" t="str">
        <f aca="false">IF(D732="",""," "&amp;SUBSTITUTE(SUBSTITUTE(SUBSTITUTE(SUBSTITUTE(SUBSTITUTE(SUBSTITUTE(SUBSTITUTE(B732&amp;" "&amp;C732&amp;" "&amp;D732&amp;" "&amp;E732&amp;" "&amp;F732&amp;" "&amp;G732&amp;" "&amp;H732&amp;" "&amp;'15 System Rates S&amp;I'!R43,"("," "),")"," "),"/"," "),"-"," "),","," "),";"," "),":"," ")&amp;" ")</f>
        <v> SI 039 Shower &amp; Bathroom Mirror supply &amp; fix 6 mm polished edge Clear silver Local m2 6mm bathroom glass </v>
      </c>
    </row>
    <row r="733" customFormat="false" ht="22.35" hidden="false" customHeight="false" outlineLevel="0" collapsed="false">
      <c r="A733" s="56" t="str">
        <f aca="false">IF('15 System Rates S&amp;I'!$C$44="","","Finished Systems - Budget Supply &amp; Install Rates")</f>
        <v>Finished Systems - Budget Supply &amp; Install Rates</v>
      </c>
      <c r="B733" s="57" t="str">
        <f aca="false">IF('15 System Rates S&amp;I'!$C$44="","",'15 System Rates S&amp;I'!A44)</f>
        <v>SI-040</v>
      </c>
      <c r="C733" s="56" t="str">
        <f aca="false">IF('15 System Rates S&amp;I'!$C$44="","",'15 System Rates S&amp;I'!B44)</f>
        <v>Shower &amp; Bathroom</v>
      </c>
      <c r="D733" s="56" t="str">
        <f aca="false">IF('15 System Rates S&amp;I'!$C$44="","",'15 System Rates S&amp;I'!C44)</f>
        <v>Linear shower drain supply &amp; fix</v>
      </c>
      <c r="E733" s="56" t="str">
        <f aca="false">IF('15 System Rates S&amp;I'!$C$44="","",'15 System Rates S&amp;I'!D44)</f>
        <v>800 mm, SS 304</v>
      </c>
      <c r="F733" s="56" t="str">
        <f aca="false">IF('15 System Rates S&amp;I'!$C$44="","",'15 System Rates S&amp;I'!E44)</f>
        <v>Satin</v>
      </c>
      <c r="G733" s="56" t="str">
        <f aca="false">IF('15 System Rates S&amp;I'!$C$44="","",'15 System Rates S&amp;I'!F44)</f>
        <v>Local / Imported</v>
      </c>
      <c r="H733" s="57" t="str">
        <f aca="false">IF('15 System Rates S&amp;I'!$C$44="","",'15 System Rates S&amp;I'!G44)</f>
        <v>nos</v>
      </c>
      <c r="I733" s="58" t="n">
        <f aca="false">IF('15 System Rates S&amp;I'!$C$44="","",'15 System Rates S&amp;I'!J44)</f>
        <v>450</v>
      </c>
      <c r="J733" s="58" t="n">
        <f aca="false">IF('15 System Rates S&amp;I'!$C$44="","",'15 System Rates S&amp;I'!K44)</f>
        <v>540</v>
      </c>
      <c r="K733" s="58" t="n">
        <f aca="false">IF('15 System Rates S&amp;I'!$C$44="","",'15 System Rates S&amp;I'!L44)</f>
        <v>567</v>
      </c>
      <c r="L733" s="57" t="str">
        <f aca="false">IF('15 System Rates S&amp;I'!$C$44="","",'15 System Rates S&amp;I'!M44)</f>
        <v>Indicative</v>
      </c>
      <c r="M733" s="59" t="str">
        <f aca="false">IF(D733="","",IF(AND(OR(Search!$C$6="All Categories",A733=Search!$C$6),OR(Search!$P$5="",ISNUMBER(SEARCH(" "&amp;Search!$P$5,N733))),OR(Search!$P$6="",ISNUMBER(SEARCH(" "&amp;Search!$P$6,N733))),OR(Search!$P$7="",ISNUMBER(SEARCH(" "&amp;Search!$P$7,N733))),OR(Search!$P$8="",ISNUMBER(SEARCH(" "&amp;Search!$P$8,N733))),OR(Search!$P$9="",ISNUMBER(SEARCH(" "&amp;Search!$P$9,N733))),OR(Search!$P$10="",ISNUMBER(SEARCH(" "&amp;Search!$P$10,N733)))),ROW(),""))</f>
        <v/>
      </c>
      <c r="N733" s="0" t="str">
        <f aca="false">IF(D733="",""," "&amp;SUBSTITUTE(SUBSTITUTE(SUBSTITUTE(SUBSTITUTE(SUBSTITUTE(SUBSTITUTE(SUBSTITUTE(B733&amp;" "&amp;C733&amp;" "&amp;D733&amp;" "&amp;E733&amp;" "&amp;F733&amp;" "&amp;G733&amp;" "&amp;H733&amp;" "&amp;'15 System Rates S&amp;I'!R44,"("," "),")"," "),"/"," "),"-"," "),","," "),";"," "),":"," ")&amp;" ")</f>
        <v> SI 040 Shower &amp; Bathroom Linear shower drain supply &amp; fix 800 mm  SS 304 Satin Local   Imported nos 800mm ss304 sus304 drain linear shower bathroom stainless steel </v>
      </c>
    </row>
    <row r="734" customFormat="false" ht="22.35" hidden="false" customHeight="false" outlineLevel="0" collapsed="false">
      <c r="A734" s="56" t="str">
        <f aca="false">IF('15 System Rates S&amp;I'!$C$45="","","Finished Systems - Budget Supply &amp; Install Rates")</f>
        <v>Finished Systems - Budget Supply &amp; Install Rates</v>
      </c>
      <c r="B734" s="57" t="str">
        <f aca="false">IF('15 System Rates S&amp;I'!$C$45="","",'15 System Rates S&amp;I'!A45)</f>
        <v>SI-041</v>
      </c>
      <c r="C734" s="56" t="str">
        <f aca="false">IF('15 System Rates S&amp;I'!$C$45="","",'15 System Rates S&amp;I'!B45)</f>
        <v>Pergola, Canopy &amp; Skylight</v>
      </c>
      <c r="D734" s="56" t="str">
        <f aca="false">IF('15 System Rates S&amp;I'!$C$45="","",'15 System Rates S&amp;I'!C45)</f>
        <v>Aluminium pergola (fixed slats)</v>
      </c>
      <c r="E734" s="56" t="str">
        <f aca="false">IF('15 System Rates S&amp;I'!$C$45="","",'15 System Rates S&amp;I'!D45)</f>
        <v>Per m2 plan area</v>
      </c>
      <c r="F734" s="56" t="str">
        <f aca="false">IF('15 System Rates S&amp;I'!$C$45="","",'15 System Rates S&amp;I'!E45)</f>
        <v>PC / wood-grain</v>
      </c>
      <c r="G734" s="56" t="str">
        <f aca="false">IF('15 System Rates S&amp;I'!$C$45="","",'15 System Rates S&amp;I'!F45)</f>
        <v>Local</v>
      </c>
      <c r="H734" s="57" t="str">
        <f aca="false">IF('15 System Rates S&amp;I'!$C$45="","",'15 System Rates S&amp;I'!G45)</f>
        <v>m2</v>
      </c>
      <c r="I734" s="58" t="n">
        <f aca="false">IF('15 System Rates S&amp;I'!$C$45="","",'15 System Rates S&amp;I'!J45)</f>
        <v>650</v>
      </c>
      <c r="J734" s="58" t="n">
        <f aca="false">IF('15 System Rates S&amp;I'!$C$45="","",'15 System Rates S&amp;I'!K45)</f>
        <v>780</v>
      </c>
      <c r="K734" s="58" t="n">
        <f aca="false">IF('15 System Rates S&amp;I'!$C$45="","",'15 System Rates S&amp;I'!L45)</f>
        <v>819</v>
      </c>
      <c r="L734" s="57" t="str">
        <f aca="false">IF('15 System Rates S&amp;I'!$C$45="","",'15 System Rates S&amp;I'!M45)</f>
        <v>Indicative</v>
      </c>
      <c r="M734" s="59" t="str">
        <f aca="false">IF(D734="","",IF(AND(OR(Search!$C$6="All Categories",A734=Search!$C$6),OR(Search!$P$5="",ISNUMBER(SEARCH(" "&amp;Search!$P$5,N734))),OR(Search!$P$6="",ISNUMBER(SEARCH(" "&amp;Search!$P$6,N734))),OR(Search!$P$7="",ISNUMBER(SEARCH(" "&amp;Search!$P$7,N734))),OR(Search!$P$8="",ISNUMBER(SEARCH(" "&amp;Search!$P$8,N734))),OR(Search!$P$9="",ISNUMBER(SEARCH(" "&amp;Search!$P$9,N734))),OR(Search!$P$10="",ISNUMBER(SEARCH(" "&amp;Search!$P$10,N734)))),ROW(),""))</f>
        <v/>
      </c>
      <c r="N734" s="0" t="str">
        <f aca="false">IF(D734="",""," "&amp;SUBSTITUTE(SUBSTITUTE(SUBSTITUTE(SUBSTITUTE(SUBSTITUTE(SUBSTITUTE(SUBSTITUTE(B734&amp;" "&amp;C734&amp;" "&amp;D734&amp;" "&amp;E734&amp;" "&amp;F734&amp;" "&amp;G734&amp;" "&amp;H734&amp;" "&amp;'15 System Rates S&amp;I'!R45,"("," "),")"," "),"/"," "),"-"," "),","," "),";"," "),":"," ")&amp;" ")</f>
        <v> SI 041 Pergola  Canopy &amp; Skylight Aluminium pergola  fixed slats  Per m2 plan area PC   wood grain Local m2 aluminum alu shade </v>
      </c>
    </row>
    <row r="735" customFormat="false" ht="22.35" hidden="false" customHeight="false" outlineLevel="0" collapsed="false">
      <c r="A735" s="56" t="str">
        <f aca="false">IF('15 System Rates S&amp;I'!$C$46="","","Finished Systems - Budget Supply &amp; Install Rates")</f>
        <v>Finished Systems - Budget Supply &amp; Install Rates</v>
      </c>
      <c r="B735" s="57" t="str">
        <f aca="false">IF('15 System Rates S&amp;I'!$C$46="","",'15 System Rates S&amp;I'!A46)</f>
        <v>SI-042</v>
      </c>
      <c r="C735" s="56" t="str">
        <f aca="false">IF('15 System Rates S&amp;I'!$C$46="","",'15 System Rates S&amp;I'!B46)</f>
        <v>Pergola, Canopy &amp; Skylight</v>
      </c>
      <c r="D735" s="56" t="str">
        <f aca="false">IF('15 System Rates S&amp;I'!$C$46="","",'15 System Rates S&amp;I'!C46)</f>
        <v>Bioclimatic motorized louvered pergola</v>
      </c>
      <c r="E735" s="56" t="str">
        <f aca="false">IF('15 System Rates S&amp;I'!$C$46="","",'15 System Rates S&amp;I'!D46)</f>
        <v>Per m2 plan area</v>
      </c>
      <c r="F735" s="56" t="str">
        <f aca="false">IF('15 System Rates S&amp;I'!$C$46="","",'15 System Rates S&amp;I'!E46)</f>
        <v>PC</v>
      </c>
      <c r="G735" s="56" t="str">
        <f aca="false">IF('15 System Rates S&amp;I'!$C$46="","",'15 System Rates S&amp;I'!F46)</f>
        <v>Local / Imported</v>
      </c>
      <c r="H735" s="57" t="str">
        <f aca="false">IF('15 System Rates S&amp;I'!$C$46="","",'15 System Rates S&amp;I'!G46)</f>
        <v>m2</v>
      </c>
      <c r="I735" s="58" t="n">
        <f aca="false">IF('15 System Rates S&amp;I'!$C$46="","",'15 System Rates S&amp;I'!J46)</f>
        <v>1500</v>
      </c>
      <c r="J735" s="58" t="n">
        <f aca="false">IF('15 System Rates S&amp;I'!$C$46="","",'15 System Rates S&amp;I'!K46)</f>
        <v>1800</v>
      </c>
      <c r="K735" s="58" t="n">
        <f aca="false">IF('15 System Rates S&amp;I'!$C$46="","",'15 System Rates S&amp;I'!L46)</f>
        <v>1890</v>
      </c>
      <c r="L735" s="57" t="str">
        <f aca="false">IF('15 System Rates S&amp;I'!$C$46="","",'15 System Rates S&amp;I'!M46)</f>
        <v>Indicative</v>
      </c>
      <c r="M735" s="59" t="str">
        <f aca="false">IF(D735="","",IF(AND(OR(Search!$C$6="All Categories",A735=Search!$C$6),OR(Search!$P$5="",ISNUMBER(SEARCH(" "&amp;Search!$P$5,N735))),OR(Search!$P$6="",ISNUMBER(SEARCH(" "&amp;Search!$P$6,N735))),OR(Search!$P$7="",ISNUMBER(SEARCH(" "&amp;Search!$P$7,N735))),OR(Search!$P$8="",ISNUMBER(SEARCH(" "&amp;Search!$P$8,N735))),OR(Search!$P$9="",ISNUMBER(SEARCH(" "&amp;Search!$P$9,N735))),OR(Search!$P$10="",ISNUMBER(SEARCH(" "&amp;Search!$P$10,N735)))),ROW(),""))</f>
        <v/>
      </c>
      <c r="N735" s="0" t="str">
        <f aca="false">IF(D735="",""," "&amp;SUBSTITUTE(SUBSTITUTE(SUBSTITUTE(SUBSTITUTE(SUBSTITUTE(SUBSTITUTE(SUBSTITUTE(B735&amp;" "&amp;C735&amp;" "&amp;D735&amp;" "&amp;E735&amp;" "&amp;F735&amp;" "&amp;G735&amp;" "&amp;H735&amp;" "&amp;'15 System Rates S&amp;I'!R46,"("," "),")"," "),"/"," "),"-"," "),","," "),";"," "),":"," ")&amp;" ")</f>
        <v> SI 042 Pergola  Canopy &amp; Skylight Bioclimatic motorized louvered pergola Per m2 plan area PC Local   Imported m2 louvre shade </v>
      </c>
    </row>
    <row r="736" customFormat="false" ht="22.35" hidden="false" customHeight="false" outlineLevel="0" collapsed="false">
      <c r="A736" s="56" t="str">
        <f aca="false">IF('15 System Rates S&amp;I'!$C$47="","","Finished Systems - Budget Supply &amp; Install Rates")</f>
        <v>Finished Systems - Budget Supply &amp; Install Rates</v>
      </c>
      <c r="B736" s="57" t="str">
        <f aca="false">IF('15 System Rates S&amp;I'!$C$47="","",'15 System Rates S&amp;I'!A47)</f>
        <v>SI-043</v>
      </c>
      <c r="C736" s="56" t="str">
        <f aca="false">IF('15 System Rates S&amp;I'!$C$47="","",'15 System Rates S&amp;I'!B47)</f>
        <v>Pergola, Canopy &amp; Skylight</v>
      </c>
      <c r="D736" s="56" t="str">
        <f aca="false">IF('15 System Rates S&amp;I'!$C$47="","",'15 System Rates S&amp;I'!C47)</f>
        <v>MS pergola</v>
      </c>
      <c r="E736" s="56" t="str">
        <f aca="false">IF('15 System Rates S&amp;I'!$C$47="","",'15 System Rates S&amp;I'!D47)</f>
        <v>Painted</v>
      </c>
      <c r="F736" s="56" t="str">
        <f aca="false">IF('15 System Rates S&amp;I'!$C$47="","",'15 System Rates S&amp;I'!E47)</f>
        <v>Paint</v>
      </c>
      <c r="G736" s="56" t="str">
        <f aca="false">IF('15 System Rates S&amp;I'!$C$47="","",'15 System Rates S&amp;I'!F47)</f>
        <v>Local</v>
      </c>
      <c r="H736" s="57" t="str">
        <f aca="false">IF('15 System Rates S&amp;I'!$C$47="","",'15 System Rates S&amp;I'!G47)</f>
        <v>m2</v>
      </c>
      <c r="I736" s="58" t="n">
        <f aca="false">IF('15 System Rates S&amp;I'!$C$47="","",'15 System Rates S&amp;I'!J47)</f>
        <v>450</v>
      </c>
      <c r="J736" s="58" t="n">
        <f aca="false">IF('15 System Rates S&amp;I'!$C$47="","",'15 System Rates S&amp;I'!K47)</f>
        <v>540</v>
      </c>
      <c r="K736" s="58" t="n">
        <f aca="false">IF('15 System Rates S&amp;I'!$C$47="","",'15 System Rates S&amp;I'!L47)</f>
        <v>567</v>
      </c>
      <c r="L736" s="57" t="str">
        <f aca="false">IF('15 System Rates S&amp;I'!$C$47="","",'15 System Rates S&amp;I'!M47)</f>
        <v>Indicative</v>
      </c>
      <c r="M736" s="59" t="str">
        <f aca="false">IF(D736="","",IF(AND(OR(Search!$C$6="All Categories",A736=Search!$C$6),OR(Search!$P$5="",ISNUMBER(SEARCH(" "&amp;Search!$P$5,N736))),OR(Search!$P$6="",ISNUMBER(SEARCH(" "&amp;Search!$P$6,N736))),OR(Search!$P$7="",ISNUMBER(SEARCH(" "&amp;Search!$P$7,N736))),OR(Search!$P$8="",ISNUMBER(SEARCH(" "&amp;Search!$P$8,N736))),OR(Search!$P$9="",ISNUMBER(SEARCH(" "&amp;Search!$P$9,N736))),OR(Search!$P$10="",ISNUMBER(SEARCH(" "&amp;Search!$P$10,N736)))),ROW(),""))</f>
        <v/>
      </c>
      <c r="N736" s="0" t="str">
        <f aca="false">IF(D736="",""," "&amp;SUBSTITUTE(SUBSTITUTE(SUBSTITUTE(SUBSTITUTE(SUBSTITUTE(SUBSTITUTE(SUBSTITUTE(B736&amp;" "&amp;C736&amp;" "&amp;D736&amp;" "&amp;E736&amp;" "&amp;F736&amp;" "&amp;G736&amp;" "&amp;H736&amp;" "&amp;'15 System Rates S&amp;I'!R47,"("," "),")"," "),"/"," "),"-"," "),","," "),";"," "),":"," ")&amp;" ")</f>
        <v> SI 043 Pergola  Canopy &amp; Skylight MS pergola Painted Paint Local m2 shade mild steel </v>
      </c>
    </row>
    <row r="737" customFormat="false" ht="22.35" hidden="false" customHeight="false" outlineLevel="0" collapsed="false">
      <c r="A737" s="56" t="str">
        <f aca="false">IF('15 System Rates S&amp;I'!$C$48="","","Finished Systems - Budget Supply &amp; Install Rates")</f>
        <v>Finished Systems - Budget Supply &amp; Install Rates</v>
      </c>
      <c r="B737" s="57" t="str">
        <f aca="false">IF('15 System Rates S&amp;I'!$C$48="","",'15 System Rates S&amp;I'!A48)</f>
        <v>SI-044</v>
      </c>
      <c r="C737" s="56" t="str">
        <f aca="false">IF('15 System Rates S&amp;I'!$C$48="","",'15 System Rates S&amp;I'!B48)</f>
        <v>Pergola, Canopy &amp; Skylight</v>
      </c>
      <c r="D737" s="56" t="str">
        <f aca="false">IF('15 System Rates S&amp;I'!$C$48="","",'15 System Rates S&amp;I'!C48)</f>
        <v>Glass canopy with SS tie-rods</v>
      </c>
      <c r="E737" s="56" t="str">
        <f aca="false">IF('15 System Rates S&amp;I'!$C$48="","",'15 System Rates S&amp;I'!D48)</f>
        <v>21.52 TL</v>
      </c>
      <c r="F737" s="56" t="str">
        <f aca="false">IF('15 System Rates S&amp;I'!$C$48="","",'15 System Rates S&amp;I'!E48)</f>
        <v>SS 316</v>
      </c>
      <c r="G737" s="56" t="str">
        <f aca="false">IF('15 System Rates S&amp;I'!$C$48="","",'15 System Rates S&amp;I'!F48)</f>
        <v>Local / Imported</v>
      </c>
      <c r="H737" s="57" t="str">
        <f aca="false">IF('15 System Rates S&amp;I'!$C$48="","",'15 System Rates S&amp;I'!G48)</f>
        <v>m2</v>
      </c>
      <c r="I737" s="58" t="n">
        <f aca="false">IF('15 System Rates S&amp;I'!$C$48="","",'15 System Rates S&amp;I'!J48)</f>
        <v>1650</v>
      </c>
      <c r="J737" s="58" t="n">
        <f aca="false">IF('15 System Rates S&amp;I'!$C$48="","",'15 System Rates S&amp;I'!K48)</f>
        <v>1980</v>
      </c>
      <c r="K737" s="58" t="n">
        <f aca="false">IF('15 System Rates S&amp;I'!$C$48="","",'15 System Rates S&amp;I'!L48)</f>
        <v>2079</v>
      </c>
      <c r="L737" s="57" t="str">
        <f aca="false">IF('15 System Rates S&amp;I'!$C$48="","",'15 System Rates S&amp;I'!M48)</f>
        <v>Indicative</v>
      </c>
      <c r="M737" s="59" t="str">
        <f aca="false">IF(D737="","",IF(AND(OR(Search!$C$6="All Categories",A737=Search!$C$6),OR(Search!$P$5="",ISNUMBER(SEARCH(" "&amp;Search!$P$5,N737))),OR(Search!$P$6="",ISNUMBER(SEARCH(" "&amp;Search!$P$6,N737))),OR(Search!$P$7="",ISNUMBER(SEARCH(" "&amp;Search!$P$7,N737))),OR(Search!$P$8="",ISNUMBER(SEARCH(" "&amp;Search!$P$8,N737))),OR(Search!$P$9="",ISNUMBER(SEARCH(" "&amp;Search!$P$9,N737))),OR(Search!$P$10="",ISNUMBER(SEARCH(" "&amp;Search!$P$10,N737)))),ROW(),""))</f>
        <v/>
      </c>
      <c r="N737" s="0" t="str">
        <f aca="false">IF(D737="",""," "&amp;SUBSTITUTE(SUBSTITUTE(SUBSTITUTE(SUBSTITUTE(SUBSTITUTE(SUBSTITUTE(SUBSTITUTE(B737&amp;" "&amp;C737&amp;" "&amp;D737&amp;" "&amp;E737&amp;" "&amp;F737&amp;" "&amp;G737&amp;" "&amp;H737&amp;" "&amp;'15 System Rates S&amp;I'!R48,"("," "),")"," "),"/"," "),"-"," "),","," "),";"," "),":"," ")&amp;" ")</f>
        <v> SI 044 Pergola  Canopy &amp; Skylight Glass canopy with SS tie rods 21.52 TL SS 316 Local   Imported m2 ss316 sus316 shade stainless steel </v>
      </c>
    </row>
    <row r="738" customFormat="false" ht="22.35" hidden="false" customHeight="false" outlineLevel="0" collapsed="false">
      <c r="A738" s="56" t="str">
        <f aca="false">IF('15 System Rates S&amp;I'!$C$49="","","Finished Systems - Budget Supply &amp; Install Rates")</f>
        <v>Finished Systems - Budget Supply &amp; Install Rates</v>
      </c>
      <c r="B738" s="57" t="str">
        <f aca="false">IF('15 System Rates S&amp;I'!$C$49="","",'15 System Rates S&amp;I'!A49)</f>
        <v>SI-045</v>
      </c>
      <c r="C738" s="56" t="str">
        <f aca="false">IF('15 System Rates S&amp;I'!$C$49="","",'15 System Rates S&amp;I'!B49)</f>
        <v>Pergola, Canopy &amp; Skylight</v>
      </c>
      <c r="D738" s="56" t="str">
        <f aca="false">IF('15 System Rates S&amp;I'!$C$49="","",'15 System Rates S&amp;I'!C49)</f>
        <v>Polycarbonate canopy on MS / aluminium frame</v>
      </c>
      <c r="E738" s="56" t="str">
        <f aca="false">IF('15 System Rates S&amp;I'!$C$49="","",'15 System Rates S&amp;I'!D49)</f>
        <v>10 mm multiwall</v>
      </c>
      <c r="F738" s="56" t="str">
        <f aca="false">IF('15 System Rates S&amp;I'!$C$49="","",'15 System Rates S&amp;I'!E49)</f>
        <v>PC</v>
      </c>
      <c r="G738" s="56" t="str">
        <f aca="false">IF('15 System Rates S&amp;I'!$C$49="","",'15 System Rates S&amp;I'!F49)</f>
        <v>Local</v>
      </c>
      <c r="H738" s="57" t="str">
        <f aca="false">IF('15 System Rates S&amp;I'!$C$49="","",'15 System Rates S&amp;I'!G49)</f>
        <v>m2</v>
      </c>
      <c r="I738" s="58" t="n">
        <f aca="false">IF('15 System Rates S&amp;I'!$C$49="","",'15 System Rates S&amp;I'!J49)</f>
        <v>380</v>
      </c>
      <c r="J738" s="58" t="n">
        <f aca="false">IF('15 System Rates S&amp;I'!$C$49="","",'15 System Rates S&amp;I'!K49)</f>
        <v>456</v>
      </c>
      <c r="K738" s="58" t="n">
        <f aca="false">IF('15 System Rates S&amp;I'!$C$49="","",'15 System Rates S&amp;I'!L49)</f>
        <v>478.8</v>
      </c>
      <c r="L738" s="57" t="str">
        <f aca="false">IF('15 System Rates S&amp;I'!$C$49="","",'15 System Rates S&amp;I'!M49)</f>
        <v>Indicative</v>
      </c>
      <c r="M738" s="59" t="n">
        <f aca="false">IF(D738="","",IF(AND(OR(Search!$C$6="All Categories",A738=Search!$C$6),OR(Search!$P$5="",ISNUMBER(SEARCH(" "&amp;Search!$P$5,N738))),OR(Search!$P$6="",ISNUMBER(SEARCH(" "&amp;Search!$P$6,N738))),OR(Search!$P$7="",ISNUMBER(SEARCH(" "&amp;Search!$P$7,N738))),OR(Search!$P$8="",ISNUMBER(SEARCH(" "&amp;Search!$P$8,N738))),OR(Search!$P$9="",ISNUMBER(SEARCH(" "&amp;Search!$P$9,N738))),OR(Search!$P$10="",ISNUMBER(SEARCH(" "&amp;Search!$P$10,N738)))),ROW(),""))</f>
        <v>738</v>
      </c>
      <c r="N738" s="0" t="str">
        <f aca="false">IF(D738="",""," "&amp;SUBSTITUTE(SUBSTITUTE(SUBSTITUTE(SUBSTITUTE(SUBSTITUTE(SUBSTITUTE(SUBSTITUTE(B738&amp;" "&amp;C738&amp;" "&amp;D738&amp;" "&amp;E738&amp;" "&amp;F738&amp;" "&amp;G738&amp;" "&amp;H738&amp;" "&amp;'15 System Rates S&amp;I'!R49,"("," "),")"," "),"/"," "),"-"," "),","," "),";"," "),":"," ")&amp;" ")</f>
        <v> SI 045 Pergola  Canopy &amp; Skylight Polycarbonate canopy on MS   aluminium frame 10 mm multiwall PC Local m2 10mm aluminum alu shade pc sheet mild steel </v>
      </c>
    </row>
    <row r="739" customFormat="false" ht="22.35" hidden="false" customHeight="false" outlineLevel="0" collapsed="false">
      <c r="A739" s="56" t="str">
        <f aca="false">IF('15 System Rates S&amp;I'!$C$50="","","Finished Systems - Budget Supply &amp; Install Rates")</f>
        <v>Finished Systems - Budget Supply &amp; Install Rates</v>
      </c>
      <c r="B739" s="57" t="str">
        <f aca="false">IF('15 System Rates S&amp;I'!$C$50="","",'15 System Rates S&amp;I'!A50)</f>
        <v>SI-046</v>
      </c>
      <c r="C739" s="56" t="str">
        <f aca="false">IF('15 System Rates S&amp;I'!$C$50="","",'15 System Rates S&amp;I'!B50)</f>
        <v>Pergola, Canopy &amp; Skylight</v>
      </c>
      <c r="D739" s="56" t="str">
        <f aca="false">IF('15 System Rates S&amp;I'!$C$50="","",'15 System Rates S&amp;I'!C50)</f>
        <v>Skylight - aluminium frame, Low-E DGU</v>
      </c>
      <c r="E739" s="56" t="str">
        <f aca="false">IF('15 System Rates S&amp;I'!$C$50="","",'15 System Rates S&amp;I'!D50)</f>
        <v>Laminated inner</v>
      </c>
      <c r="F739" s="56" t="str">
        <f aca="false">IF('15 System Rates S&amp;I'!$C$50="","",'15 System Rates S&amp;I'!E50)</f>
        <v>PC</v>
      </c>
      <c r="G739" s="56" t="str">
        <f aca="false">IF('15 System Rates S&amp;I'!$C$50="","",'15 System Rates S&amp;I'!F50)</f>
        <v>Local</v>
      </c>
      <c r="H739" s="57" t="str">
        <f aca="false">IF('15 System Rates S&amp;I'!$C$50="","",'15 System Rates S&amp;I'!G50)</f>
        <v>m2</v>
      </c>
      <c r="I739" s="58" t="n">
        <f aca="false">IF('15 System Rates S&amp;I'!$C$50="","",'15 System Rates S&amp;I'!J50)</f>
        <v>1350</v>
      </c>
      <c r="J739" s="58" t="n">
        <f aca="false">IF('15 System Rates S&amp;I'!$C$50="","",'15 System Rates S&amp;I'!K50)</f>
        <v>1620</v>
      </c>
      <c r="K739" s="58" t="n">
        <f aca="false">IF('15 System Rates S&amp;I'!$C$50="","",'15 System Rates S&amp;I'!L50)</f>
        <v>1701</v>
      </c>
      <c r="L739" s="57" t="str">
        <f aca="false">IF('15 System Rates S&amp;I'!$C$50="","",'15 System Rates S&amp;I'!M50)</f>
        <v>Indicative</v>
      </c>
      <c r="M739" s="59" t="str">
        <f aca="false">IF(D739="","",IF(AND(OR(Search!$C$6="All Categories",A739=Search!$C$6),OR(Search!$P$5="",ISNUMBER(SEARCH(" "&amp;Search!$P$5,N739))),OR(Search!$P$6="",ISNUMBER(SEARCH(" "&amp;Search!$P$6,N739))),OR(Search!$P$7="",ISNUMBER(SEARCH(" "&amp;Search!$P$7,N739))),OR(Search!$P$8="",ISNUMBER(SEARCH(" "&amp;Search!$P$8,N739))),OR(Search!$P$9="",ISNUMBER(SEARCH(" "&amp;Search!$P$9,N739))),OR(Search!$P$10="",ISNUMBER(SEARCH(" "&amp;Search!$P$10,N739)))),ROW(),""))</f>
        <v/>
      </c>
      <c r="N739" s="0" t="str">
        <f aca="false">IF(D739="",""," "&amp;SUBSTITUTE(SUBSTITUTE(SUBSTITUTE(SUBSTITUTE(SUBSTITUTE(SUBSTITUTE(SUBSTITUTE(B739&amp;" "&amp;C739&amp;" "&amp;D739&amp;" "&amp;E739&amp;" "&amp;F739&amp;" "&amp;G739&amp;" "&amp;H739&amp;" "&amp;'15 System Rates S&amp;I'!R50,"("," "),")"," "),"/"," "),"-"," "),","," "),";"," "),":"," ")&amp;" ")</f>
        <v> SI 046 Pergola  Canopy &amp; Skylight Skylight   aluminium frame  Low E DGU Laminated inner PC Local m2 aluminum alu lami shade lowe low e </v>
      </c>
    </row>
    <row r="740" customFormat="false" ht="22.35" hidden="false" customHeight="false" outlineLevel="0" collapsed="false">
      <c r="A740" s="56" t="str">
        <f aca="false">IF('15 System Rates S&amp;I'!$C$51="","","Finished Systems - Budget Supply &amp; Install Rates")</f>
        <v>Finished Systems - Budget Supply &amp; Install Rates</v>
      </c>
      <c r="B740" s="57" t="str">
        <f aca="false">IF('15 System Rates S&amp;I'!$C$51="","",'15 System Rates S&amp;I'!A51)</f>
        <v>SI-047</v>
      </c>
      <c r="C740" s="56" t="str">
        <f aca="false">IF('15 System Rates S&amp;I'!$C$51="","",'15 System Rates S&amp;I'!B51)</f>
        <v>Pergola, Canopy &amp; Skylight</v>
      </c>
      <c r="D740" s="56" t="str">
        <f aca="false">IF('15 System Rates S&amp;I'!$C$51="","",'15 System Rates S&amp;I'!C51)</f>
        <v>Walk-on glass floor / skylight</v>
      </c>
      <c r="E740" s="56" t="str">
        <f aca="false">IF('15 System Rates S&amp;I'!$C$51="","",'15 System Rates S&amp;I'!D51)</f>
        <v>Triple laminated, anti-slip</v>
      </c>
      <c r="F740" s="56" t="str">
        <f aca="false">IF('15 System Rates S&amp;I'!$C$51="","",'15 System Rates S&amp;I'!E51)</f>
        <v>SS / MS frame</v>
      </c>
      <c r="G740" s="56" t="str">
        <f aca="false">IF('15 System Rates S&amp;I'!$C$51="","",'15 System Rates S&amp;I'!F51)</f>
        <v>Local</v>
      </c>
      <c r="H740" s="57" t="str">
        <f aca="false">IF('15 System Rates S&amp;I'!$C$51="","",'15 System Rates S&amp;I'!G51)</f>
        <v>m2</v>
      </c>
      <c r="I740" s="58" t="n">
        <f aca="false">IF('15 System Rates S&amp;I'!$C$51="","",'15 System Rates S&amp;I'!J51)</f>
        <v>2800</v>
      </c>
      <c r="J740" s="58" t="n">
        <f aca="false">IF('15 System Rates S&amp;I'!$C$51="","",'15 System Rates S&amp;I'!K51)</f>
        <v>3360</v>
      </c>
      <c r="K740" s="58" t="n">
        <f aca="false">IF('15 System Rates S&amp;I'!$C$51="","",'15 System Rates S&amp;I'!L51)</f>
        <v>3528</v>
      </c>
      <c r="L740" s="57" t="str">
        <f aca="false">IF('15 System Rates S&amp;I'!$C$51="","",'15 System Rates S&amp;I'!M51)</f>
        <v>Indicative</v>
      </c>
      <c r="M740" s="59" t="str">
        <f aca="false">IF(D740="","",IF(AND(OR(Search!$C$6="All Categories",A740=Search!$C$6),OR(Search!$P$5="",ISNUMBER(SEARCH(" "&amp;Search!$P$5,N740))),OR(Search!$P$6="",ISNUMBER(SEARCH(" "&amp;Search!$P$6,N740))),OR(Search!$P$7="",ISNUMBER(SEARCH(" "&amp;Search!$P$7,N740))),OR(Search!$P$8="",ISNUMBER(SEARCH(" "&amp;Search!$P$8,N740))),OR(Search!$P$9="",ISNUMBER(SEARCH(" "&amp;Search!$P$9,N740))),OR(Search!$P$10="",ISNUMBER(SEARCH(" "&amp;Search!$P$10,N740)))),ROW(),""))</f>
        <v/>
      </c>
      <c r="N740" s="0" t="str">
        <f aca="false">IF(D740="",""," "&amp;SUBSTITUTE(SUBSTITUTE(SUBSTITUTE(SUBSTITUTE(SUBSTITUTE(SUBSTITUTE(SUBSTITUTE(B740&amp;" "&amp;C740&amp;" "&amp;D740&amp;" "&amp;E740&amp;" "&amp;F740&amp;" "&amp;G740&amp;" "&amp;H740&amp;" "&amp;'15 System Rates S&amp;I'!R51,"("," "),")"," "),"/"," "),"-"," "),","," "),";"," "),":"," ")&amp;" ")</f>
        <v> SI 047 Pergola  Canopy &amp; Skylight Walk on glass floor   skylight Triple laminated  anti slip SS   MS frame Local m2 lami shade stainless steel mild </v>
      </c>
    </row>
    <row r="741" customFormat="false" ht="22.35" hidden="false" customHeight="false" outlineLevel="0" collapsed="false">
      <c r="A741" s="56" t="str">
        <f aca="false">IF('15 System Rates S&amp;I'!$C$52="","","Finished Systems - Budget Supply &amp; Install Rates")</f>
        <v>Finished Systems - Budget Supply &amp; Install Rates</v>
      </c>
      <c r="B741" s="57" t="str">
        <f aca="false">IF('15 System Rates S&amp;I'!$C$52="","",'15 System Rates S&amp;I'!A52)</f>
        <v>SI-048</v>
      </c>
      <c r="C741" s="56" t="str">
        <f aca="false">IF('15 System Rates S&amp;I'!$C$52="","",'15 System Rates S&amp;I'!B52)</f>
        <v>Louvers &amp; Screens</v>
      </c>
      <c r="D741" s="56" t="str">
        <f aca="false">IF('15 System Rates S&amp;I'!$C$52="","",'15 System Rates S&amp;I'!C52)</f>
        <v>Aluminium fixed louvers</v>
      </c>
      <c r="E741" s="56" t="str">
        <f aca="false">IF('15 System Rates S&amp;I'!$C$52="","",'15 System Rates S&amp;I'!D52)</f>
        <v>Z / aerofoil blades</v>
      </c>
      <c r="F741" s="56" t="str">
        <f aca="false">IF('15 System Rates S&amp;I'!$C$52="","",'15 System Rates S&amp;I'!E52)</f>
        <v>PC</v>
      </c>
      <c r="G741" s="56" t="str">
        <f aca="false">IF('15 System Rates S&amp;I'!$C$52="","",'15 System Rates S&amp;I'!F52)</f>
        <v>Local</v>
      </c>
      <c r="H741" s="57" t="str">
        <f aca="false">IF('15 System Rates S&amp;I'!$C$52="","",'15 System Rates S&amp;I'!G52)</f>
        <v>m2</v>
      </c>
      <c r="I741" s="58" t="n">
        <f aca="false">IF('15 System Rates S&amp;I'!$C$52="","",'15 System Rates S&amp;I'!J52)</f>
        <v>420</v>
      </c>
      <c r="J741" s="58" t="n">
        <f aca="false">IF('15 System Rates S&amp;I'!$C$52="","",'15 System Rates S&amp;I'!K52)</f>
        <v>504</v>
      </c>
      <c r="K741" s="58" t="n">
        <f aca="false">IF('15 System Rates S&amp;I'!$C$52="","",'15 System Rates S&amp;I'!L52)</f>
        <v>529.2</v>
      </c>
      <c r="L741" s="57" t="str">
        <f aca="false">IF('15 System Rates S&amp;I'!$C$52="","",'15 System Rates S&amp;I'!M52)</f>
        <v>Indicative</v>
      </c>
      <c r="M741" s="59" t="str">
        <f aca="false">IF(D741="","",IF(AND(OR(Search!$C$6="All Categories",A741=Search!$C$6),OR(Search!$P$5="",ISNUMBER(SEARCH(" "&amp;Search!$P$5,N741))),OR(Search!$P$6="",ISNUMBER(SEARCH(" "&amp;Search!$P$6,N741))),OR(Search!$P$7="",ISNUMBER(SEARCH(" "&amp;Search!$P$7,N741))),OR(Search!$P$8="",ISNUMBER(SEARCH(" "&amp;Search!$P$8,N741))),OR(Search!$P$9="",ISNUMBER(SEARCH(" "&amp;Search!$P$9,N741))),OR(Search!$P$10="",ISNUMBER(SEARCH(" "&amp;Search!$P$10,N741)))),ROW(),""))</f>
        <v/>
      </c>
      <c r="N741" s="0" t="str">
        <f aca="false">IF(D741="",""," "&amp;SUBSTITUTE(SUBSTITUTE(SUBSTITUTE(SUBSTITUTE(SUBSTITUTE(SUBSTITUTE(SUBSTITUTE(B741&amp;" "&amp;C741&amp;" "&amp;D741&amp;" "&amp;E741&amp;" "&amp;F741&amp;" "&amp;G741&amp;" "&amp;H741&amp;" "&amp;'15 System Rates S&amp;I'!R52,"("," "),")"," "),"/"," "),"-"," "),","," "),";"," "),":"," ")&amp;" ")</f>
        <v> SI 048 Louvers &amp; Screens Aluminium fixed louvers Z   aerofoil blades PC Local m2 aluminum alu louvre </v>
      </c>
    </row>
    <row r="742" customFormat="false" ht="22.35" hidden="false" customHeight="false" outlineLevel="0" collapsed="false">
      <c r="A742" s="56" t="str">
        <f aca="false">IF('15 System Rates S&amp;I'!$C$53="","","Finished Systems - Budget Supply &amp; Install Rates")</f>
        <v>Finished Systems - Budget Supply &amp; Install Rates</v>
      </c>
      <c r="B742" s="57" t="str">
        <f aca="false">IF('15 System Rates S&amp;I'!$C$53="","",'15 System Rates S&amp;I'!A53)</f>
        <v>SI-049</v>
      </c>
      <c r="C742" s="56" t="str">
        <f aca="false">IF('15 System Rates S&amp;I'!$C$53="","",'15 System Rates S&amp;I'!B53)</f>
        <v>Louvers &amp; Screens</v>
      </c>
      <c r="D742" s="56" t="str">
        <f aca="false">IF('15 System Rates S&amp;I'!$C$53="","",'15 System Rates S&amp;I'!C53)</f>
        <v>Aluminium operable louvers (motorized)</v>
      </c>
      <c r="E742" s="56" t="str">
        <f aca="false">IF('15 System Rates S&amp;I'!$C$53="","",'15 System Rates S&amp;I'!D53)</f>
        <v>Aerofoil blades</v>
      </c>
      <c r="F742" s="56" t="str">
        <f aca="false">IF('15 System Rates S&amp;I'!$C$53="","",'15 System Rates S&amp;I'!E53)</f>
        <v>PC</v>
      </c>
      <c r="G742" s="56" t="str">
        <f aca="false">IF('15 System Rates S&amp;I'!$C$53="","",'15 System Rates S&amp;I'!F53)</f>
        <v>Imported</v>
      </c>
      <c r="H742" s="57" t="str">
        <f aca="false">IF('15 System Rates S&amp;I'!$C$53="","",'15 System Rates S&amp;I'!G53)</f>
        <v>m2</v>
      </c>
      <c r="I742" s="58" t="n">
        <f aca="false">IF('15 System Rates S&amp;I'!$C$53="","",'15 System Rates S&amp;I'!J53)</f>
        <v>1200</v>
      </c>
      <c r="J742" s="58" t="n">
        <f aca="false">IF('15 System Rates S&amp;I'!$C$53="","",'15 System Rates S&amp;I'!K53)</f>
        <v>1440</v>
      </c>
      <c r="K742" s="58" t="n">
        <f aca="false">IF('15 System Rates S&amp;I'!$C$53="","",'15 System Rates S&amp;I'!L53)</f>
        <v>1512</v>
      </c>
      <c r="L742" s="57" t="str">
        <f aca="false">IF('15 System Rates S&amp;I'!$C$53="","",'15 System Rates S&amp;I'!M53)</f>
        <v>Indicative</v>
      </c>
      <c r="M742" s="59" t="str">
        <f aca="false">IF(D742="","",IF(AND(OR(Search!$C$6="All Categories",A742=Search!$C$6),OR(Search!$P$5="",ISNUMBER(SEARCH(" "&amp;Search!$P$5,N742))),OR(Search!$P$6="",ISNUMBER(SEARCH(" "&amp;Search!$P$6,N742))),OR(Search!$P$7="",ISNUMBER(SEARCH(" "&amp;Search!$P$7,N742))),OR(Search!$P$8="",ISNUMBER(SEARCH(" "&amp;Search!$P$8,N742))),OR(Search!$P$9="",ISNUMBER(SEARCH(" "&amp;Search!$P$9,N742))),OR(Search!$P$10="",ISNUMBER(SEARCH(" "&amp;Search!$P$10,N742)))),ROW(),""))</f>
        <v/>
      </c>
      <c r="N742" s="0" t="str">
        <f aca="false">IF(D742="",""," "&amp;SUBSTITUTE(SUBSTITUTE(SUBSTITUTE(SUBSTITUTE(SUBSTITUTE(SUBSTITUTE(SUBSTITUTE(B742&amp;" "&amp;C742&amp;" "&amp;D742&amp;" "&amp;E742&amp;" "&amp;F742&amp;" "&amp;G742&amp;" "&amp;H742&amp;" "&amp;'15 System Rates S&amp;I'!R53,"("," "),")"," "),"/"," "),"-"," "),","," "),";"," "),":"," ")&amp;" ")</f>
        <v> SI 049 Louvers &amp; Screens Aluminium operable louvers  motorized  Aerofoil blades PC Imported m2 aluminum alu louvre </v>
      </c>
    </row>
    <row r="743" customFormat="false" ht="22.35" hidden="false" customHeight="false" outlineLevel="0" collapsed="false">
      <c r="A743" s="56" t="str">
        <f aca="false">IF('15 System Rates S&amp;I'!$C$54="","","Finished Systems - Budget Supply &amp; Install Rates")</f>
        <v>Finished Systems - Budget Supply &amp; Install Rates</v>
      </c>
      <c r="B743" s="57" t="str">
        <f aca="false">IF('15 System Rates S&amp;I'!$C$54="","",'15 System Rates S&amp;I'!A54)</f>
        <v>SI-050</v>
      </c>
      <c r="C743" s="56" t="str">
        <f aca="false">IF('15 System Rates S&amp;I'!$C$54="","",'15 System Rates S&amp;I'!B54)</f>
        <v>Louvers &amp; Screens</v>
      </c>
      <c r="D743" s="56" t="str">
        <f aca="false">IF('15 System Rates S&amp;I'!$C$54="","",'15 System Rates S&amp;I'!C54)</f>
        <v>Sand-trap / weather louvers</v>
      </c>
      <c r="E743" s="56" t="str">
        <f aca="false">IF('15 System Rates S&amp;I'!$C$54="","",'15 System Rates S&amp;I'!D54)</f>
        <v>With bird / insect mesh</v>
      </c>
      <c r="F743" s="56" t="str">
        <f aca="false">IF('15 System Rates S&amp;I'!$C$54="","",'15 System Rates S&amp;I'!E54)</f>
        <v>PC</v>
      </c>
      <c r="G743" s="56" t="str">
        <f aca="false">IF('15 System Rates S&amp;I'!$C$54="","",'15 System Rates S&amp;I'!F54)</f>
        <v>Local</v>
      </c>
      <c r="H743" s="57" t="str">
        <f aca="false">IF('15 System Rates S&amp;I'!$C$54="","",'15 System Rates S&amp;I'!G54)</f>
        <v>m2</v>
      </c>
      <c r="I743" s="58" t="n">
        <f aca="false">IF('15 System Rates S&amp;I'!$C$54="","",'15 System Rates S&amp;I'!J54)</f>
        <v>550</v>
      </c>
      <c r="J743" s="58" t="n">
        <f aca="false">IF('15 System Rates S&amp;I'!$C$54="","",'15 System Rates S&amp;I'!K54)</f>
        <v>660</v>
      </c>
      <c r="K743" s="58" t="n">
        <f aca="false">IF('15 System Rates S&amp;I'!$C$54="","",'15 System Rates S&amp;I'!L54)</f>
        <v>693</v>
      </c>
      <c r="L743" s="57" t="str">
        <f aca="false">IF('15 System Rates S&amp;I'!$C$54="","",'15 System Rates S&amp;I'!M54)</f>
        <v>Indicative</v>
      </c>
      <c r="M743" s="59" t="str">
        <f aca="false">IF(D743="","",IF(AND(OR(Search!$C$6="All Categories",A743=Search!$C$6),OR(Search!$P$5="",ISNUMBER(SEARCH(" "&amp;Search!$P$5,N743))),OR(Search!$P$6="",ISNUMBER(SEARCH(" "&amp;Search!$P$6,N743))),OR(Search!$P$7="",ISNUMBER(SEARCH(" "&amp;Search!$P$7,N743))),OR(Search!$P$8="",ISNUMBER(SEARCH(" "&amp;Search!$P$8,N743))),OR(Search!$P$9="",ISNUMBER(SEARCH(" "&amp;Search!$P$9,N743))),OR(Search!$P$10="",ISNUMBER(SEARCH(" "&amp;Search!$P$10,N743)))),ROW(),""))</f>
        <v/>
      </c>
      <c r="N743" s="0" t="str">
        <f aca="false">IF(D743="",""," "&amp;SUBSTITUTE(SUBSTITUTE(SUBSTITUTE(SUBSTITUTE(SUBSTITUTE(SUBSTITUTE(SUBSTITUTE(B743&amp;" "&amp;C743&amp;" "&amp;D743&amp;" "&amp;E743&amp;" "&amp;F743&amp;" "&amp;G743&amp;" "&amp;H743&amp;" "&amp;'15 System Rates S&amp;I'!R54,"("," "),")"," "),"/"," "),"-"," "),","," "),";"," "),":"," ")&amp;" ")</f>
        <v> SI 050 Louvers &amp; Screens Sand trap   weather louvers With bird   insect mesh PC Local m2 louvre </v>
      </c>
    </row>
    <row r="744" customFormat="false" ht="22.35" hidden="false" customHeight="false" outlineLevel="0" collapsed="false">
      <c r="A744" s="56" t="str">
        <f aca="false">IF('15 System Rates S&amp;I'!$C$55="","","Finished Systems - Budget Supply &amp; Install Rates")</f>
        <v>Finished Systems - Budget Supply &amp; Install Rates</v>
      </c>
      <c r="B744" s="57" t="str">
        <f aca="false">IF('15 System Rates S&amp;I'!$C$55="","",'15 System Rates S&amp;I'!A55)</f>
        <v>SI-051</v>
      </c>
      <c r="C744" s="56" t="str">
        <f aca="false">IF('15 System Rates S&amp;I'!$C$55="","",'15 System Rates S&amp;I'!B55)</f>
        <v>Louvers &amp; Screens</v>
      </c>
      <c r="D744" s="56" t="str">
        <f aca="false">IF('15 System Rates S&amp;I'!$C$55="","",'15 System Rates S&amp;I'!C55)</f>
        <v>Decorative laser-cut screen</v>
      </c>
      <c r="E744" s="56" t="str">
        <f aca="false">IF('15 System Rates S&amp;I'!$C$55="","",'15 System Rates S&amp;I'!D55)</f>
        <v>3 mm aluminium</v>
      </c>
      <c r="F744" s="56" t="str">
        <f aca="false">IF('15 System Rates S&amp;I'!$C$55="","",'15 System Rates S&amp;I'!E55)</f>
        <v>PVDF</v>
      </c>
      <c r="G744" s="56" t="str">
        <f aca="false">IF('15 System Rates S&amp;I'!$C$55="","",'15 System Rates S&amp;I'!F55)</f>
        <v>Local</v>
      </c>
      <c r="H744" s="57" t="str">
        <f aca="false">IF('15 System Rates S&amp;I'!$C$55="","",'15 System Rates S&amp;I'!G55)</f>
        <v>m2</v>
      </c>
      <c r="I744" s="58" t="n">
        <f aca="false">IF('15 System Rates S&amp;I'!$C$55="","",'15 System Rates S&amp;I'!J55)</f>
        <v>650</v>
      </c>
      <c r="J744" s="58" t="n">
        <f aca="false">IF('15 System Rates S&amp;I'!$C$55="","",'15 System Rates S&amp;I'!K55)</f>
        <v>780</v>
      </c>
      <c r="K744" s="58" t="n">
        <f aca="false">IF('15 System Rates S&amp;I'!$C$55="","",'15 System Rates S&amp;I'!L55)</f>
        <v>819</v>
      </c>
      <c r="L744" s="57" t="str">
        <f aca="false">IF('15 System Rates S&amp;I'!$C$55="","",'15 System Rates S&amp;I'!M55)</f>
        <v>Indicative</v>
      </c>
      <c r="M744" s="59" t="str">
        <f aca="false">IF(D744="","",IF(AND(OR(Search!$C$6="All Categories",A744=Search!$C$6),OR(Search!$P$5="",ISNUMBER(SEARCH(" "&amp;Search!$P$5,N744))),OR(Search!$P$6="",ISNUMBER(SEARCH(" "&amp;Search!$P$6,N744))),OR(Search!$P$7="",ISNUMBER(SEARCH(" "&amp;Search!$P$7,N744))),OR(Search!$P$8="",ISNUMBER(SEARCH(" "&amp;Search!$P$8,N744))),OR(Search!$P$9="",ISNUMBER(SEARCH(" "&amp;Search!$P$9,N744))),OR(Search!$P$10="",ISNUMBER(SEARCH(" "&amp;Search!$P$10,N744)))),ROW(),""))</f>
        <v/>
      </c>
      <c r="N744" s="0" t="str">
        <f aca="false">IF(D744="",""," "&amp;SUBSTITUTE(SUBSTITUTE(SUBSTITUTE(SUBSTITUTE(SUBSTITUTE(SUBSTITUTE(SUBSTITUTE(B744&amp;" "&amp;C744&amp;" "&amp;D744&amp;" "&amp;E744&amp;" "&amp;F744&amp;" "&amp;G744&amp;" "&amp;H744&amp;" "&amp;'15 System Rates S&amp;I'!R55,"("," "),")"," "),"/"," "),"-"," "),","," "),";"," "),":"," ")&amp;" ")</f>
        <v> SI 051 Louvers &amp; Screens Decorative laser cut screen 3 mm aluminium PVDF Local m2 3mm aluminum alu louvre </v>
      </c>
    </row>
    <row r="745" customFormat="false" ht="22.35" hidden="false" customHeight="false" outlineLevel="0" collapsed="false">
      <c r="A745" s="56" t="str">
        <f aca="false">IF('15 System Rates S&amp;I'!$C$56="","","Finished Systems - Budget Supply &amp; Install Rates")</f>
        <v>Finished Systems - Budget Supply &amp; Install Rates</v>
      </c>
      <c r="B745" s="57" t="str">
        <f aca="false">IF('15 System Rates S&amp;I'!$C$56="","",'15 System Rates S&amp;I'!A56)</f>
        <v>SI-052</v>
      </c>
      <c r="C745" s="56" t="str">
        <f aca="false">IF('15 System Rates S&amp;I'!$C$56="","",'15 System Rates S&amp;I'!B56)</f>
        <v>MS &amp; SS Works</v>
      </c>
      <c r="D745" s="56" t="str">
        <f aca="false">IF('15 System Rates S&amp;I'!$C$56="","",'15 System Rates S&amp;I'!C56)</f>
        <v>MS structural steel - fabricated &amp; erected</v>
      </c>
      <c r="E745" s="56" t="str">
        <f aca="false">IF('15 System Rates S&amp;I'!$C$56="","",'15 System Rates S&amp;I'!D56)</f>
        <v>Painted, per kg</v>
      </c>
      <c r="F745" s="56" t="str">
        <f aca="false">IF('15 System Rates S&amp;I'!$C$56="","",'15 System Rates S&amp;I'!E56)</f>
        <v>Paint</v>
      </c>
      <c r="G745" s="56" t="str">
        <f aca="false">IF('15 System Rates S&amp;I'!$C$56="","",'15 System Rates S&amp;I'!F56)</f>
        <v>Local</v>
      </c>
      <c r="H745" s="57" t="str">
        <f aca="false">IF('15 System Rates S&amp;I'!$C$56="","",'15 System Rates S&amp;I'!G56)</f>
        <v>kg</v>
      </c>
      <c r="I745" s="58" t="n">
        <f aca="false">IF('15 System Rates S&amp;I'!$C$56="","",'15 System Rates S&amp;I'!J56)</f>
        <v>9.5</v>
      </c>
      <c r="J745" s="58" t="n">
        <f aca="false">IF('15 System Rates S&amp;I'!$C$56="","",'15 System Rates S&amp;I'!K56)</f>
        <v>11.4</v>
      </c>
      <c r="K745" s="58" t="n">
        <f aca="false">IF('15 System Rates S&amp;I'!$C$56="","",'15 System Rates S&amp;I'!L56)</f>
        <v>11.97</v>
      </c>
      <c r="L745" s="57" t="str">
        <f aca="false">IF('15 System Rates S&amp;I'!$C$56="","",'15 System Rates S&amp;I'!M56)</f>
        <v>Indicative</v>
      </c>
      <c r="M745" s="59" t="str">
        <f aca="false">IF(D745="","",IF(AND(OR(Search!$C$6="All Categories",A745=Search!$C$6),OR(Search!$P$5="",ISNUMBER(SEARCH(" "&amp;Search!$P$5,N745))),OR(Search!$P$6="",ISNUMBER(SEARCH(" "&amp;Search!$P$6,N745))),OR(Search!$P$7="",ISNUMBER(SEARCH(" "&amp;Search!$P$7,N745))),OR(Search!$P$8="",ISNUMBER(SEARCH(" "&amp;Search!$P$8,N745))),OR(Search!$P$9="",ISNUMBER(SEARCH(" "&amp;Search!$P$9,N745))),OR(Search!$P$10="",ISNUMBER(SEARCH(" "&amp;Search!$P$10,N745)))),ROW(),""))</f>
        <v/>
      </c>
      <c r="N745" s="0" t="str">
        <f aca="false">IF(D745="",""," "&amp;SUBSTITUTE(SUBSTITUTE(SUBSTITUTE(SUBSTITUTE(SUBSTITUTE(SUBSTITUTE(SUBSTITUTE(B745&amp;" "&amp;C745&amp;" "&amp;D745&amp;" "&amp;E745&amp;" "&amp;F745&amp;" "&amp;G745&amp;" "&amp;H745&amp;" "&amp;'15 System Rates S&amp;I'!R56,"("," "),")"," "),"/"," "),"-"," "),","," "),";"," "),":"," ")&amp;" ")</f>
        <v> SI 052 MS &amp; SS Works MS structural steel   fabricated &amp; erected Painted  per kg Paint Local kg stainless steel mild </v>
      </c>
    </row>
    <row r="746" customFormat="false" ht="22.35" hidden="false" customHeight="false" outlineLevel="0" collapsed="false">
      <c r="A746" s="56" t="str">
        <f aca="false">IF('15 System Rates S&amp;I'!$C$57="","","Finished Systems - Budget Supply &amp; Install Rates")</f>
        <v>Finished Systems - Budget Supply &amp; Install Rates</v>
      </c>
      <c r="B746" s="57" t="str">
        <f aca="false">IF('15 System Rates S&amp;I'!$C$57="","",'15 System Rates S&amp;I'!A57)</f>
        <v>SI-053</v>
      </c>
      <c r="C746" s="56" t="str">
        <f aca="false">IF('15 System Rates S&amp;I'!$C$57="","",'15 System Rates S&amp;I'!B57)</f>
        <v>MS &amp; SS Works</v>
      </c>
      <c r="D746" s="56" t="str">
        <f aca="false">IF('15 System Rates S&amp;I'!$C$57="","",'15 System Rates S&amp;I'!C57)</f>
        <v>MS structural steel - fabricated &amp; erected</v>
      </c>
      <c r="E746" s="56" t="str">
        <f aca="false">IF('15 System Rates S&amp;I'!$C$57="","",'15 System Rates S&amp;I'!D57)</f>
        <v>Hot-dip galvanized, per kg</v>
      </c>
      <c r="F746" s="56" t="str">
        <f aca="false">IF('15 System Rates S&amp;I'!$C$57="","",'15 System Rates S&amp;I'!E57)</f>
        <v>HDG</v>
      </c>
      <c r="G746" s="56" t="str">
        <f aca="false">IF('15 System Rates S&amp;I'!$C$57="","",'15 System Rates S&amp;I'!F57)</f>
        <v>Local</v>
      </c>
      <c r="H746" s="57" t="str">
        <f aca="false">IF('15 System Rates S&amp;I'!$C$57="","",'15 System Rates S&amp;I'!G57)</f>
        <v>kg</v>
      </c>
      <c r="I746" s="58" t="n">
        <f aca="false">IF('15 System Rates S&amp;I'!$C$57="","",'15 System Rates S&amp;I'!J57)</f>
        <v>11.5</v>
      </c>
      <c r="J746" s="58" t="n">
        <f aca="false">IF('15 System Rates S&amp;I'!$C$57="","",'15 System Rates S&amp;I'!K57)</f>
        <v>13.8</v>
      </c>
      <c r="K746" s="58" t="n">
        <f aca="false">IF('15 System Rates S&amp;I'!$C$57="","",'15 System Rates S&amp;I'!L57)</f>
        <v>14.49</v>
      </c>
      <c r="L746" s="57" t="str">
        <f aca="false">IF('15 System Rates S&amp;I'!$C$57="","",'15 System Rates S&amp;I'!M57)</f>
        <v>Indicative</v>
      </c>
      <c r="M746" s="59" t="str">
        <f aca="false">IF(D746="","",IF(AND(OR(Search!$C$6="All Categories",A746=Search!$C$6),OR(Search!$P$5="",ISNUMBER(SEARCH(" "&amp;Search!$P$5,N746))),OR(Search!$P$6="",ISNUMBER(SEARCH(" "&amp;Search!$P$6,N746))),OR(Search!$P$7="",ISNUMBER(SEARCH(" "&amp;Search!$P$7,N746))),OR(Search!$P$8="",ISNUMBER(SEARCH(" "&amp;Search!$P$8,N746))),OR(Search!$P$9="",ISNUMBER(SEARCH(" "&amp;Search!$P$9,N746))),OR(Search!$P$10="",ISNUMBER(SEARCH(" "&amp;Search!$P$10,N746)))),ROW(),""))</f>
        <v/>
      </c>
      <c r="N746" s="0" t="str">
        <f aca="false">IF(D746="",""," "&amp;SUBSTITUTE(SUBSTITUTE(SUBSTITUTE(SUBSTITUTE(SUBSTITUTE(SUBSTITUTE(SUBSTITUTE(B746&amp;" "&amp;C746&amp;" "&amp;D746&amp;" "&amp;E746&amp;" "&amp;F746&amp;" "&amp;G746&amp;" "&amp;H746&amp;" "&amp;'15 System Rates S&amp;I'!R57,"("," "),")"," "),"/"," "),"-"," "),","," "),";"," "),":"," ")&amp;" ")</f>
        <v> SI 053 MS &amp; SS Works MS structural steel   fabricated &amp; erected Hot dip galvanized  per kg HDG Local kg galvanised gi stainless steel mild </v>
      </c>
    </row>
    <row r="747" customFormat="false" ht="22.35" hidden="false" customHeight="false" outlineLevel="0" collapsed="false">
      <c r="A747" s="56" t="str">
        <f aca="false">IF('15 System Rates S&amp;I'!$C$58="","","Finished Systems - Budget Supply &amp; Install Rates")</f>
        <v>Finished Systems - Budget Supply &amp; Install Rates</v>
      </c>
      <c r="B747" s="57" t="str">
        <f aca="false">IF('15 System Rates S&amp;I'!$C$58="","",'15 System Rates S&amp;I'!A58)</f>
        <v>SI-054</v>
      </c>
      <c r="C747" s="56" t="str">
        <f aca="false">IF('15 System Rates S&amp;I'!$C$58="","",'15 System Rates S&amp;I'!B58)</f>
        <v>MS &amp; SS Works</v>
      </c>
      <c r="D747" s="56" t="str">
        <f aca="false">IF('15 System Rates S&amp;I'!$C$58="","",'15 System Rates S&amp;I'!C58)</f>
        <v>MS staircase (stringers + chequered treads)</v>
      </c>
      <c r="E747" s="56" t="str">
        <f aca="false">IF('15 System Rates S&amp;I'!$C$58="","",'15 System Rates S&amp;I'!D58)</f>
        <v>Per riser</v>
      </c>
      <c r="F747" s="56" t="str">
        <f aca="false">IF('15 System Rates S&amp;I'!$C$58="","",'15 System Rates S&amp;I'!E58)</f>
        <v>Paint</v>
      </c>
      <c r="G747" s="56" t="str">
        <f aca="false">IF('15 System Rates S&amp;I'!$C$58="","",'15 System Rates S&amp;I'!F58)</f>
        <v>Local</v>
      </c>
      <c r="H747" s="57" t="str">
        <f aca="false">IF('15 System Rates S&amp;I'!$C$58="","",'15 System Rates S&amp;I'!G58)</f>
        <v>nos</v>
      </c>
      <c r="I747" s="58" t="n">
        <f aca="false">IF('15 System Rates S&amp;I'!$C$58="","",'15 System Rates S&amp;I'!J58)</f>
        <v>650</v>
      </c>
      <c r="J747" s="58" t="n">
        <f aca="false">IF('15 System Rates S&amp;I'!$C$58="","",'15 System Rates S&amp;I'!K58)</f>
        <v>780</v>
      </c>
      <c r="K747" s="58" t="n">
        <f aca="false">IF('15 System Rates S&amp;I'!$C$58="","",'15 System Rates S&amp;I'!L58)</f>
        <v>819</v>
      </c>
      <c r="L747" s="57" t="str">
        <f aca="false">IF('15 System Rates S&amp;I'!$C$58="","",'15 System Rates S&amp;I'!M58)</f>
        <v>Indicative</v>
      </c>
      <c r="M747" s="59" t="str">
        <f aca="false">IF(D747="","",IF(AND(OR(Search!$C$6="All Categories",A747=Search!$C$6),OR(Search!$P$5="",ISNUMBER(SEARCH(" "&amp;Search!$P$5,N747))),OR(Search!$P$6="",ISNUMBER(SEARCH(" "&amp;Search!$P$6,N747))),OR(Search!$P$7="",ISNUMBER(SEARCH(" "&amp;Search!$P$7,N747))),OR(Search!$P$8="",ISNUMBER(SEARCH(" "&amp;Search!$P$8,N747))),OR(Search!$P$9="",ISNUMBER(SEARCH(" "&amp;Search!$P$9,N747))),OR(Search!$P$10="",ISNUMBER(SEARCH(" "&amp;Search!$P$10,N747)))),ROW(),""))</f>
        <v/>
      </c>
      <c r="N747" s="0" t="str">
        <f aca="false">IF(D747="",""," "&amp;SUBSTITUTE(SUBSTITUTE(SUBSTITUTE(SUBSTITUTE(SUBSTITUTE(SUBSTITUTE(SUBSTITUTE(B747&amp;" "&amp;C747&amp;" "&amp;D747&amp;" "&amp;E747&amp;" "&amp;F747&amp;" "&amp;G747&amp;" "&amp;H747&amp;" "&amp;'15 System Rates S&amp;I'!R58,"("," "),")"," "),"/"," "),"-"," "),","," "),";"," "),":"," ")&amp;" ")</f>
        <v> SI 054 MS &amp; SS Works MS staircase  stringers + chequered treads  Per riser Paint Local nos checker anti slip stainless steel mild </v>
      </c>
    </row>
    <row r="748" customFormat="false" ht="22.35" hidden="false" customHeight="false" outlineLevel="0" collapsed="false">
      <c r="A748" s="56" t="str">
        <f aca="false">IF('15 System Rates S&amp;I'!$C$59="","","Finished Systems - Budget Supply &amp; Install Rates")</f>
        <v>Finished Systems - Budget Supply &amp; Install Rates</v>
      </c>
      <c r="B748" s="57" t="str">
        <f aca="false">IF('15 System Rates S&amp;I'!$C$59="","",'15 System Rates S&amp;I'!A59)</f>
        <v>SI-055</v>
      </c>
      <c r="C748" s="56" t="str">
        <f aca="false">IF('15 System Rates S&amp;I'!$C$59="","",'15 System Rates S&amp;I'!B59)</f>
        <v>MS &amp; SS Works</v>
      </c>
      <c r="D748" s="56" t="str">
        <f aca="false">IF('15 System Rates S&amp;I'!$C$59="","",'15 System Rates S&amp;I'!C59)</f>
        <v>SS fabrication - general</v>
      </c>
      <c r="E748" s="56" t="str">
        <f aca="false">IF('15 System Rates S&amp;I'!$C$59="","",'15 System Rates S&amp;I'!D59)</f>
        <v>SS 304, per kg</v>
      </c>
      <c r="F748" s="56" t="str">
        <f aca="false">IF('15 System Rates S&amp;I'!$C$59="","",'15 System Rates S&amp;I'!E59)</f>
        <v>Hairline</v>
      </c>
      <c r="G748" s="56" t="str">
        <f aca="false">IF('15 System Rates S&amp;I'!$C$59="","",'15 System Rates S&amp;I'!F59)</f>
        <v>Local</v>
      </c>
      <c r="H748" s="57" t="str">
        <f aca="false">IF('15 System Rates S&amp;I'!$C$59="","",'15 System Rates S&amp;I'!G59)</f>
        <v>kg</v>
      </c>
      <c r="I748" s="58" t="n">
        <f aca="false">IF('15 System Rates S&amp;I'!$C$59="","",'15 System Rates S&amp;I'!J59)</f>
        <v>55</v>
      </c>
      <c r="J748" s="58" t="n">
        <f aca="false">IF('15 System Rates S&amp;I'!$C$59="","",'15 System Rates S&amp;I'!K59)</f>
        <v>66</v>
      </c>
      <c r="K748" s="58" t="n">
        <f aca="false">IF('15 System Rates S&amp;I'!$C$59="","",'15 System Rates S&amp;I'!L59)</f>
        <v>69.3</v>
      </c>
      <c r="L748" s="57" t="str">
        <f aca="false">IF('15 System Rates S&amp;I'!$C$59="","",'15 System Rates S&amp;I'!M59)</f>
        <v>Indicative</v>
      </c>
      <c r="M748" s="59" t="str">
        <f aca="false">IF(D748="","",IF(AND(OR(Search!$C$6="All Categories",A748=Search!$C$6),OR(Search!$P$5="",ISNUMBER(SEARCH(" "&amp;Search!$P$5,N748))),OR(Search!$P$6="",ISNUMBER(SEARCH(" "&amp;Search!$P$6,N748))),OR(Search!$P$7="",ISNUMBER(SEARCH(" "&amp;Search!$P$7,N748))),OR(Search!$P$8="",ISNUMBER(SEARCH(" "&amp;Search!$P$8,N748))),OR(Search!$P$9="",ISNUMBER(SEARCH(" "&amp;Search!$P$9,N748))),OR(Search!$P$10="",ISNUMBER(SEARCH(" "&amp;Search!$P$10,N748)))),ROW(),""))</f>
        <v/>
      </c>
      <c r="N748" s="0" t="str">
        <f aca="false">IF(D748="",""," "&amp;SUBSTITUTE(SUBSTITUTE(SUBSTITUTE(SUBSTITUTE(SUBSTITUTE(SUBSTITUTE(SUBSTITUTE(B748&amp;" "&amp;C748&amp;" "&amp;D748&amp;" "&amp;E748&amp;" "&amp;F748&amp;" "&amp;G748&amp;" "&amp;H748&amp;" "&amp;'15 System Rates S&amp;I'!R59,"("," "),")"," "),"/"," "),"-"," "),","," "),";"," "),":"," ")&amp;" ")</f>
        <v> SI 055 MS &amp; SS Works SS fabrication   general SS 304  per kg Hairline Local kg ss304 sus304 satin brushed stainless steel mild </v>
      </c>
    </row>
    <row r="749" customFormat="false" ht="22.35" hidden="false" customHeight="false" outlineLevel="0" collapsed="false">
      <c r="A749" s="56" t="str">
        <f aca="false">IF('15 System Rates S&amp;I'!$C$60="","","Finished Systems - Budget Supply &amp; Install Rates")</f>
        <v>Finished Systems - Budget Supply &amp; Install Rates</v>
      </c>
      <c r="B749" s="57" t="str">
        <f aca="false">IF('15 System Rates S&amp;I'!$C$60="","",'15 System Rates S&amp;I'!A60)</f>
        <v>SI-056</v>
      </c>
      <c r="C749" s="56" t="str">
        <f aca="false">IF('15 System Rates S&amp;I'!$C$60="","",'15 System Rates S&amp;I'!B60)</f>
        <v>MS &amp; SS Works</v>
      </c>
      <c r="D749" s="56" t="str">
        <f aca="false">IF('15 System Rates S&amp;I'!$C$60="","",'15 System Rates S&amp;I'!C60)</f>
        <v>SS cladding (column / wall)</v>
      </c>
      <c r="E749" s="56" t="str">
        <f aca="false">IF('15 System Rates S&amp;I'!$C$60="","",'15 System Rates S&amp;I'!D60)</f>
        <v>1.2 mm SS 304 on sub-frame</v>
      </c>
      <c r="F749" s="56" t="str">
        <f aca="false">IF('15 System Rates S&amp;I'!$C$60="","",'15 System Rates S&amp;I'!E60)</f>
        <v>Hairline</v>
      </c>
      <c r="G749" s="56" t="str">
        <f aca="false">IF('15 System Rates S&amp;I'!$C$60="","",'15 System Rates S&amp;I'!F60)</f>
        <v>Local</v>
      </c>
      <c r="H749" s="57" t="str">
        <f aca="false">IF('15 System Rates S&amp;I'!$C$60="","",'15 System Rates S&amp;I'!G60)</f>
        <v>m2</v>
      </c>
      <c r="I749" s="58" t="n">
        <f aca="false">IF('15 System Rates S&amp;I'!$C$60="","",'15 System Rates S&amp;I'!J60)</f>
        <v>650</v>
      </c>
      <c r="J749" s="58" t="n">
        <f aca="false">IF('15 System Rates S&amp;I'!$C$60="","",'15 System Rates S&amp;I'!K60)</f>
        <v>780</v>
      </c>
      <c r="K749" s="58" t="n">
        <f aca="false">IF('15 System Rates S&amp;I'!$C$60="","",'15 System Rates S&amp;I'!L60)</f>
        <v>819</v>
      </c>
      <c r="L749" s="57" t="str">
        <f aca="false">IF('15 System Rates S&amp;I'!$C$60="","",'15 System Rates S&amp;I'!M60)</f>
        <v>Indicative</v>
      </c>
      <c r="M749" s="59" t="str">
        <f aca="false">IF(D749="","",IF(AND(OR(Search!$C$6="All Categories",A749=Search!$C$6),OR(Search!$P$5="",ISNUMBER(SEARCH(" "&amp;Search!$P$5,N749))),OR(Search!$P$6="",ISNUMBER(SEARCH(" "&amp;Search!$P$6,N749))),OR(Search!$P$7="",ISNUMBER(SEARCH(" "&amp;Search!$P$7,N749))),OR(Search!$P$8="",ISNUMBER(SEARCH(" "&amp;Search!$P$8,N749))),OR(Search!$P$9="",ISNUMBER(SEARCH(" "&amp;Search!$P$9,N749))),OR(Search!$P$10="",ISNUMBER(SEARCH(" "&amp;Search!$P$10,N749)))),ROW(),""))</f>
        <v/>
      </c>
      <c r="N749" s="0" t="str">
        <f aca="false">IF(D749="",""," "&amp;SUBSTITUTE(SUBSTITUTE(SUBSTITUTE(SUBSTITUTE(SUBSTITUTE(SUBSTITUTE(SUBSTITUTE(B749&amp;" "&amp;C749&amp;" "&amp;D749&amp;" "&amp;E749&amp;" "&amp;F749&amp;" "&amp;G749&amp;" "&amp;H749&amp;" "&amp;'15 System Rates S&amp;I'!R60,"("," "),")"," "),"/"," "),"-"," "),","," "),";"," "),":"," ")&amp;" ")</f>
        <v> SI 056 MS &amp; SS Works SS cladding  column   wall  1.2 mm SS 304 on sub frame Hairline Local m2 1.2mm ss304 sus304 satin brushed stainless steel mild </v>
      </c>
    </row>
    <row r="750" customFormat="false" ht="15" hidden="false" customHeight="false" outlineLevel="0" collapsed="false">
      <c r="A750" s="56" t="str">
        <f aca="false">IF('15 System Rates S&amp;I'!$C$61="","","Finished Systems - Budget Supply &amp; Install Rates")</f>
        <v/>
      </c>
      <c r="B750" s="57" t="str">
        <f aca="false">IF('15 System Rates S&amp;I'!$C$61="","",'15 System Rates S&amp;I'!A61)</f>
        <v/>
      </c>
      <c r="C750" s="56" t="str">
        <f aca="false">IF('15 System Rates S&amp;I'!$C$61="","",'15 System Rates S&amp;I'!B61)</f>
        <v/>
      </c>
      <c r="D750" s="56" t="str">
        <f aca="false">IF('15 System Rates S&amp;I'!$C$61="","",'15 System Rates S&amp;I'!C61)</f>
        <v/>
      </c>
      <c r="E750" s="56" t="str">
        <f aca="false">IF('15 System Rates S&amp;I'!$C$61="","",'15 System Rates S&amp;I'!D61)</f>
        <v/>
      </c>
      <c r="F750" s="56" t="str">
        <f aca="false">IF('15 System Rates S&amp;I'!$C$61="","",'15 System Rates S&amp;I'!E61)</f>
        <v/>
      </c>
      <c r="G750" s="56" t="str">
        <f aca="false">IF('15 System Rates S&amp;I'!$C$61="","",'15 System Rates S&amp;I'!F61)</f>
        <v/>
      </c>
      <c r="H750" s="57" t="str">
        <f aca="false">IF('15 System Rates S&amp;I'!$C$61="","",'15 System Rates S&amp;I'!G61)</f>
        <v/>
      </c>
      <c r="I750" s="58" t="str">
        <f aca="false">IF('15 System Rates S&amp;I'!$C$61="","",'15 System Rates S&amp;I'!J61)</f>
        <v/>
      </c>
      <c r="J750" s="58" t="str">
        <f aca="false">IF('15 System Rates S&amp;I'!$C$61="","",'15 System Rates S&amp;I'!K61)</f>
        <v/>
      </c>
      <c r="K750" s="58" t="str">
        <f aca="false">IF('15 System Rates S&amp;I'!$C$61="","",'15 System Rates S&amp;I'!L61)</f>
        <v/>
      </c>
      <c r="L750" s="57" t="str">
        <f aca="false">IF('15 System Rates S&amp;I'!$C$61="","",'15 System Rates S&amp;I'!M61)</f>
        <v/>
      </c>
      <c r="M750" s="59" t="str">
        <f aca="false">IF(D750="","",IF(AND(OR(Search!$C$6="All Categories",A750=Search!$C$6),OR(Search!$P$5="",ISNUMBER(SEARCH(" "&amp;Search!$P$5,N750))),OR(Search!$P$6="",ISNUMBER(SEARCH(" "&amp;Search!$P$6,N750))),OR(Search!$P$7="",ISNUMBER(SEARCH(" "&amp;Search!$P$7,N750))),OR(Search!$P$8="",ISNUMBER(SEARCH(" "&amp;Search!$P$8,N750))),OR(Search!$P$9="",ISNUMBER(SEARCH(" "&amp;Search!$P$9,N750))),OR(Search!$P$10="",ISNUMBER(SEARCH(" "&amp;Search!$P$10,N750)))),ROW(),""))</f>
        <v/>
      </c>
      <c r="N750" s="0" t="str">
        <f aca="false">IF(D750="",""," "&amp;SUBSTITUTE(SUBSTITUTE(SUBSTITUTE(SUBSTITUTE(SUBSTITUTE(SUBSTITUTE(SUBSTITUTE(B750&amp;" "&amp;C750&amp;" "&amp;D750&amp;" "&amp;E750&amp;" "&amp;F750&amp;" "&amp;G750&amp;" "&amp;H750&amp;" "&amp;'15 System Rates S&amp;I'!R61,"("," "),")"," "),"/"," "),"-"," "),","," "),";"," "),":"," ")&amp;" ")</f>
        <v/>
      </c>
    </row>
    <row r="751" customFormat="false" ht="15" hidden="false" customHeight="false" outlineLevel="0" collapsed="false">
      <c r="A751" s="56" t="str">
        <f aca="false">IF('15 System Rates S&amp;I'!$C$62="","","Finished Systems - Budget Supply &amp; Install Rates")</f>
        <v/>
      </c>
      <c r="B751" s="57" t="str">
        <f aca="false">IF('15 System Rates S&amp;I'!$C$62="","",'15 System Rates S&amp;I'!A62)</f>
        <v/>
      </c>
      <c r="C751" s="56" t="str">
        <f aca="false">IF('15 System Rates S&amp;I'!$C$62="","",'15 System Rates S&amp;I'!B62)</f>
        <v/>
      </c>
      <c r="D751" s="56" t="str">
        <f aca="false">IF('15 System Rates S&amp;I'!$C$62="","",'15 System Rates S&amp;I'!C62)</f>
        <v/>
      </c>
      <c r="E751" s="56" t="str">
        <f aca="false">IF('15 System Rates S&amp;I'!$C$62="","",'15 System Rates S&amp;I'!D62)</f>
        <v/>
      </c>
      <c r="F751" s="56" t="str">
        <f aca="false">IF('15 System Rates S&amp;I'!$C$62="","",'15 System Rates S&amp;I'!E62)</f>
        <v/>
      </c>
      <c r="G751" s="56" t="str">
        <f aca="false">IF('15 System Rates S&amp;I'!$C$62="","",'15 System Rates S&amp;I'!F62)</f>
        <v/>
      </c>
      <c r="H751" s="57" t="str">
        <f aca="false">IF('15 System Rates S&amp;I'!$C$62="","",'15 System Rates S&amp;I'!G62)</f>
        <v/>
      </c>
      <c r="I751" s="58" t="str">
        <f aca="false">IF('15 System Rates S&amp;I'!$C$62="","",'15 System Rates S&amp;I'!J62)</f>
        <v/>
      </c>
      <c r="J751" s="58" t="str">
        <f aca="false">IF('15 System Rates S&amp;I'!$C$62="","",'15 System Rates S&amp;I'!K62)</f>
        <v/>
      </c>
      <c r="K751" s="58" t="str">
        <f aca="false">IF('15 System Rates S&amp;I'!$C$62="","",'15 System Rates S&amp;I'!L62)</f>
        <v/>
      </c>
      <c r="L751" s="57" t="str">
        <f aca="false">IF('15 System Rates S&amp;I'!$C$62="","",'15 System Rates S&amp;I'!M62)</f>
        <v/>
      </c>
      <c r="M751" s="59" t="str">
        <f aca="false">IF(D751="","",IF(AND(OR(Search!$C$6="All Categories",A751=Search!$C$6),OR(Search!$P$5="",ISNUMBER(SEARCH(" "&amp;Search!$P$5,N751))),OR(Search!$P$6="",ISNUMBER(SEARCH(" "&amp;Search!$P$6,N751))),OR(Search!$P$7="",ISNUMBER(SEARCH(" "&amp;Search!$P$7,N751))),OR(Search!$P$8="",ISNUMBER(SEARCH(" "&amp;Search!$P$8,N751))),OR(Search!$P$9="",ISNUMBER(SEARCH(" "&amp;Search!$P$9,N751))),OR(Search!$P$10="",ISNUMBER(SEARCH(" "&amp;Search!$P$10,N751)))),ROW(),""))</f>
        <v/>
      </c>
      <c r="N751" s="0" t="str">
        <f aca="false">IF(D751="",""," "&amp;SUBSTITUTE(SUBSTITUTE(SUBSTITUTE(SUBSTITUTE(SUBSTITUTE(SUBSTITUTE(SUBSTITUTE(B751&amp;" "&amp;C751&amp;" "&amp;D751&amp;" "&amp;E751&amp;" "&amp;F751&amp;" "&amp;G751&amp;" "&amp;H751&amp;" "&amp;'15 System Rates S&amp;I'!R62,"("," "),")"," "),"/"," "),"-"," "),","," "),";"," "),":"," ")&amp;" ")</f>
        <v/>
      </c>
    </row>
    <row r="752" customFormat="false" ht="15" hidden="false" customHeight="false" outlineLevel="0" collapsed="false">
      <c r="A752" s="56" t="str">
        <f aca="false">IF('15 System Rates S&amp;I'!$C$63="","","Finished Systems - Budget Supply &amp; Install Rates")</f>
        <v/>
      </c>
      <c r="B752" s="57" t="str">
        <f aca="false">IF('15 System Rates S&amp;I'!$C$63="","",'15 System Rates S&amp;I'!A63)</f>
        <v/>
      </c>
      <c r="C752" s="56" t="str">
        <f aca="false">IF('15 System Rates S&amp;I'!$C$63="","",'15 System Rates S&amp;I'!B63)</f>
        <v/>
      </c>
      <c r="D752" s="56" t="str">
        <f aca="false">IF('15 System Rates S&amp;I'!$C$63="","",'15 System Rates S&amp;I'!C63)</f>
        <v/>
      </c>
      <c r="E752" s="56" t="str">
        <f aca="false">IF('15 System Rates S&amp;I'!$C$63="","",'15 System Rates S&amp;I'!D63)</f>
        <v/>
      </c>
      <c r="F752" s="56" t="str">
        <f aca="false">IF('15 System Rates S&amp;I'!$C$63="","",'15 System Rates S&amp;I'!E63)</f>
        <v/>
      </c>
      <c r="G752" s="56" t="str">
        <f aca="false">IF('15 System Rates S&amp;I'!$C$63="","",'15 System Rates S&amp;I'!F63)</f>
        <v/>
      </c>
      <c r="H752" s="57" t="str">
        <f aca="false">IF('15 System Rates S&amp;I'!$C$63="","",'15 System Rates S&amp;I'!G63)</f>
        <v/>
      </c>
      <c r="I752" s="58" t="str">
        <f aca="false">IF('15 System Rates S&amp;I'!$C$63="","",'15 System Rates S&amp;I'!J63)</f>
        <v/>
      </c>
      <c r="J752" s="58" t="str">
        <f aca="false">IF('15 System Rates S&amp;I'!$C$63="","",'15 System Rates S&amp;I'!K63)</f>
        <v/>
      </c>
      <c r="K752" s="58" t="str">
        <f aca="false">IF('15 System Rates S&amp;I'!$C$63="","",'15 System Rates S&amp;I'!L63)</f>
        <v/>
      </c>
      <c r="L752" s="57" t="str">
        <f aca="false">IF('15 System Rates S&amp;I'!$C$63="","",'15 System Rates S&amp;I'!M63)</f>
        <v/>
      </c>
      <c r="M752" s="59" t="str">
        <f aca="false">IF(D752="","",IF(AND(OR(Search!$C$6="All Categories",A752=Search!$C$6),OR(Search!$P$5="",ISNUMBER(SEARCH(" "&amp;Search!$P$5,N752))),OR(Search!$P$6="",ISNUMBER(SEARCH(" "&amp;Search!$P$6,N752))),OR(Search!$P$7="",ISNUMBER(SEARCH(" "&amp;Search!$P$7,N752))),OR(Search!$P$8="",ISNUMBER(SEARCH(" "&amp;Search!$P$8,N752))),OR(Search!$P$9="",ISNUMBER(SEARCH(" "&amp;Search!$P$9,N752))),OR(Search!$P$10="",ISNUMBER(SEARCH(" "&amp;Search!$P$10,N752)))),ROW(),""))</f>
        <v/>
      </c>
      <c r="N752" s="0" t="str">
        <f aca="false">IF(D752="",""," "&amp;SUBSTITUTE(SUBSTITUTE(SUBSTITUTE(SUBSTITUTE(SUBSTITUTE(SUBSTITUTE(SUBSTITUTE(B752&amp;" "&amp;C752&amp;" "&amp;D752&amp;" "&amp;E752&amp;" "&amp;F752&amp;" "&amp;G752&amp;" "&amp;H752&amp;" "&amp;'15 System Rates S&amp;I'!R63,"("," "),")"," "),"/"," "),"-"," "),","," "),";"," "),":"," ")&amp;" ")</f>
        <v/>
      </c>
    </row>
    <row r="753" customFormat="false" ht="15" hidden="false" customHeight="false" outlineLevel="0" collapsed="false">
      <c r="A753" s="56" t="str">
        <f aca="false">IF('15 System Rates S&amp;I'!$C$64="","","Finished Systems - Budget Supply &amp; Install Rates")</f>
        <v/>
      </c>
      <c r="B753" s="57" t="str">
        <f aca="false">IF('15 System Rates S&amp;I'!$C$64="","",'15 System Rates S&amp;I'!A64)</f>
        <v/>
      </c>
      <c r="C753" s="56" t="str">
        <f aca="false">IF('15 System Rates S&amp;I'!$C$64="","",'15 System Rates S&amp;I'!B64)</f>
        <v/>
      </c>
      <c r="D753" s="56" t="str">
        <f aca="false">IF('15 System Rates S&amp;I'!$C$64="","",'15 System Rates S&amp;I'!C64)</f>
        <v/>
      </c>
      <c r="E753" s="56" t="str">
        <f aca="false">IF('15 System Rates S&amp;I'!$C$64="","",'15 System Rates S&amp;I'!D64)</f>
        <v/>
      </c>
      <c r="F753" s="56" t="str">
        <f aca="false">IF('15 System Rates S&amp;I'!$C$64="","",'15 System Rates S&amp;I'!E64)</f>
        <v/>
      </c>
      <c r="G753" s="56" t="str">
        <f aca="false">IF('15 System Rates S&amp;I'!$C$64="","",'15 System Rates S&amp;I'!F64)</f>
        <v/>
      </c>
      <c r="H753" s="57" t="str">
        <f aca="false">IF('15 System Rates S&amp;I'!$C$64="","",'15 System Rates S&amp;I'!G64)</f>
        <v/>
      </c>
      <c r="I753" s="58" t="str">
        <f aca="false">IF('15 System Rates S&amp;I'!$C$64="","",'15 System Rates S&amp;I'!J64)</f>
        <v/>
      </c>
      <c r="J753" s="58" t="str">
        <f aca="false">IF('15 System Rates S&amp;I'!$C$64="","",'15 System Rates S&amp;I'!K64)</f>
        <v/>
      </c>
      <c r="K753" s="58" t="str">
        <f aca="false">IF('15 System Rates S&amp;I'!$C$64="","",'15 System Rates S&amp;I'!L64)</f>
        <v/>
      </c>
      <c r="L753" s="57" t="str">
        <f aca="false">IF('15 System Rates S&amp;I'!$C$64="","",'15 System Rates S&amp;I'!M64)</f>
        <v/>
      </c>
      <c r="M753" s="59" t="str">
        <f aca="false">IF(D753="","",IF(AND(OR(Search!$C$6="All Categories",A753=Search!$C$6),OR(Search!$P$5="",ISNUMBER(SEARCH(" "&amp;Search!$P$5,N753))),OR(Search!$P$6="",ISNUMBER(SEARCH(" "&amp;Search!$P$6,N753))),OR(Search!$P$7="",ISNUMBER(SEARCH(" "&amp;Search!$P$7,N753))),OR(Search!$P$8="",ISNUMBER(SEARCH(" "&amp;Search!$P$8,N753))),OR(Search!$P$9="",ISNUMBER(SEARCH(" "&amp;Search!$P$9,N753))),OR(Search!$P$10="",ISNUMBER(SEARCH(" "&amp;Search!$P$10,N753)))),ROW(),""))</f>
        <v/>
      </c>
      <c r="N753" s="0" t="str">
        <f aca="false">IF(D753="",""," "&amp;SUBSTITUTE(SUBSTITUTE(SUBSTITUTE(SUBSTITUTE(SUBSTITUTE(SUBSTITUTE(SUBSTITUTE(B753&amp;" "&amp;C753&amp;" "&amp;D753&amp;" "&amp;E753&amp;" "&amp;F753&amp;" "&amp;G753&amp;" "&amp;H753&amp;" "&amp;'15 System Rates S&amp;I'!R64,"("," "),")"," "),"/"," "),"-"," "),","," "),";"," "),":"," ")&amp;" ")</f>
        <v/>
      </c>
    </row>
    <row r="754" customFormat="false" ht="15" hidden="false" customHeight="false" outlineLevel="0" collapsed="false">
      <c r="A754" s="56" t="str">
        <f aca="false">IF('15 System Rates S&amp;I'!$C$65="","","Finished Systems - Budget Supply &amp; Install Rates")</f>
        <v/>
      </c>
      <c r="B754" s="57" t="str">
        <f aca="false">IF('15 System Rates S&amp;I'!$C$65="","",'15 System Rates S&amp;I'!A65)</f>
        <v/>
      </c>
      <c r="C754" s="56" t="str">
        <f aca="false">IF('15 System Rates S&amp;I'!$C$65="","",'15 System Rates S&amp;I'!B65)</f>
        <v/>
      </c>
      <c r="D754" s="56" t="str">
        <f aca="false">IF('15 System Rates S&amp;I'!$C$65="","",'15 System Rates S&amp;I'!C65)</f>
        <v/>
      </c>
      <c r="E754" s="56" t="str">
        <f aca="false">IF('15 System Rates S&amp;I'!$C$65="","",'15 System Rates S&amp;I'!D65)</f>
        <v/>
      </c>
      <c r="F754" s="56" t="str">
        <f aca="false">IF('15 System Rates S&amp;I'!$C$65="","",'15 System Rates S&amp;I'!E65)</f>
        <v/>
      </c>
      <c r="G754" s="56" t="str">
        <f aca="false">IF('15 System Rates S&amp;I'!$C$65="","",'15 System Rates S&amp;I'!F65)</f>
        <v/>
      </c>
      <c r="H754" s="57" t="str">
        <f aca="false">IF('15 System Rates S&amp;I'!$C$65="","",'15 System Rates S&amp;I'!G65)</f>
        <v/>
      </c>
      <c r="I754" s="58" t="str">
        <f aca="false">IF('15 System Rates S&amp;I'!$C$65="","",'15 System Rates S&amp;I'!J65)</f>
        <v/>
      </c>
      <c r="J754" s="58" t="str">
        <f aca="false">IF('15 System Rates S&amp;I'!$C$65="","",'15 System Rates S&amp;I'!K65)</f>
        <v/>
      </c>
      <c r="K754" s="58" t="str">
        <f aca="false">IF('15 System Rates S&amp;I'!$C$65="","",'15 System Rates S&amp;I'!L65)</f>
        <v/>
      </c>
      <c r="L754" s="57" t="str">
        <f aca="false">IF('15 System Rates S&amp;I'!$C$65="","",'15 System Rates S&amp;I'!M65)</f>
        <v/>
      </c>
      <c r="M754" s="59" t="str">
        <f aca="false">IF(D754="","",IF(AND(OR(Search!$C$6="All Categories",A754=Search!$C$6),OR(Search!$P$5="",ISNUMBER(SEARCH(" "&amp;Search!$P$5,N754))),OR(Search!$P$6="",ISNUMBER(SEARCH(" "&amp;Search!$P$6,N754))),OR(Search!$P$7="",ISNUMBER(SEARCH(" "&amp;Search!$P$7,N754))),OR(Search!$P$8="",ISNUMBER(SEARCH(" "&amp;Search!$P$8,N754))),OR(Search!$P$9="",ISNUMBER(SEARCH(" "&amp;Search!$P$9,N754))),OR(Search!$P$10="",ISNUMBER(SEARCH(" "&amp;Search!$P$10,N754)))),ROW(),""))</f>
        <v/>
      </c>
      <c r="N754" s="0" t="str">
        <f aca="false">IF(D754="",""," "&amp;SUBSTITUTE(SUBSTITUTE(SUBSTITUTE(SUBSTITUTE(SUBSTITUTE(SUBSTITUTE(SUBSTITUTE(B754&amp;" "&amp;C754&amp;" "&amp;D754&amp;" "&amp;E754&amp;" "&amp;F754&amp;" "&amp;G754&amp;" "&amp;H754&amp;" "&amp;'15 System Rates S&amp;I'!R65,"("," "),")"," "),"/"," "),"-"," "),","," "),";"," "),":"," ")&amp;" ")</f>
        <v/>
      </c>
    </row>
    <row r="755" customFormat="false" ht="15" hidden="false" customHeight="false" outlineLevel="0" collapsed="false">
      <c r="A755" s="56" t="str">
        <f aca="false">IF('15 System Rates S&amp;I'!$C$66="","","Finished Systems - Budget Supply &amp; Install Rates")</f>
        <v/>
      </c>
      <c r="B755" s="57" t="str">
        <f aca="false">IF('15 System Rates S&amp;I'!$C$66="","",'15 System Rates S&amp;I'!A66)</f>
        <v/>
      </c>
      <c r="C755" s="56" t="str">
        <f aca="false">IF('15 System Rates S&amp;I'!$C$66="","",'15 System Rates S&amp;I'!B66)</f>
        <v/>
      </c>
      <c r="D755" s="56" t="str">
        <f aca="false">IF('15 System Rates S&amp;I'!$C$66="","",'15 System Rates S&amp;I'!C66)</f>
        <v/>
      </c>
      <c r="E755" s="56" t="str">
        <f aca="false">IF('15 System Rates S&amp;I'!$C$66="","",'15 System Rates S&amp;I'!D66)</f>
        <v/>
      </c>
      <c r="F755" s="56" t="str">
        <f aca="false">IF('15 System Rates S&amp;I'!$C$66="","",'15 System Rates S&amp;I'!E66)</f>
        <v/>
      </c>
      <c r="G755" s="56" t="str">
        <f aca="false">IF('15 System Rates S&amp;I'!$C$66="","",'15 System Rates S&amp;I'!F66)</f>
        <v/>
      </c>
      <c r="H755" s="57" t="str">
        <f aca="false">IF('15 System Rates S&amp;I'!$C$66="","",'15 System Rates S&amp;I'!G66)</f>
        <v/>
      </c>
      <c r="I755" s="58" t="str">
        <f aca="false">IF('15 System Rates S&amp;I'!$C$66="","",'15 System Rates S&amp;I'!J66)</f>
        <v/>
      </c>
      <c r="J755" s="58" t="str">
        <f aca="false">IF('15 System Rates S&amp;I'!$C$66="","",'15 System Rates S&amp;I'!K66)</f>
        <v/>
      </c>
      <c r="K755" s="58" t="str">
        <f aca="false">IF('15 System Rates S&amp;I'!$C$66="","",'15 System Rates S&amp;I'!L66)</f>
        <v/>
      </c>
      <c r="L755" s="57" t="str">
        <f aca="false">IF('15 System Rates S&amp;I'!$C$66="","",'15 System Rates S&amp;I'!M66)</f>
        <v/>
      </c>
      <c r="M755" s="59" t="str">
        <f aca="false">IF(D755="","",IF(AND(OR(Search!$C$6="All Categories",A755=Search!$C$6),OR(Search!$P$5="",ISNUMBER(SEARCH(" "&amp;Search!$P$5,N755))),OR(Search!$P$6="",ISNUMBER(SEARCH(" "&amp;Search!$P$6,N755))),OR(Search!$P$7="",ISNUMBER(SEARCH(" "&amp;Search!$P$7,N755))),OR(Search!$P$8="",ISNUMBER(SEARCH(" "&amp;Search!$P$8,N755))),OR(Search!$P$9="",ISNUMBER(SEARCH(" "&amp;Search!$P$9,N755))),OR(Search!$P$10="",ISNUMBER(SEARCH(" "&amp;Search!$P$10,N755)))),ROW(),""))</f>
        <v/>
      </c>
      <c r="N755" s="0" t="str">
        <f aca="false">IF(D755="",""," "&amp;SUBSTITUTE(SUBSTITUTE(SUBSTITUTE(SUBSTITUTE(SUBSTITUTE(SUBSTITUTE(SUBSTITUTE(B755&amp;" "&amp;C755&amp;" "&amp;D755&amp;" "&amp;E755&amp;" "&amp;F755&amp;" "&amp;G755&amp;" "&amp;H755&amp;" "&amp;'15 System Rates S&amp;I'!R66,"("," "),")"," "),"/"," "),"-"," "),","," "),";"," "),":"," ")&amp;" ")</f>
        <v/>
      </c>
    </row>
    <row r="756" customFormat="false" ht="15" hidden="false" customHeight="false" outlineLevel="0" collapsed="false">
      <c r="A756" s="56" t="str">
        <f aca="false">IF('15 System Rates S&amp;I'!$C$67="","","Finished Systems - Budget Supply &amp; Install Rates")</f>
        <v/>
      </c>
      <c r="B756" s="57" t="str">
        <f aca="false">IF('15 System Rates S&amp;I'!$C$67="","",'15 System Rates S&amp;I'!A67)</f>
        <v/>
      </c>
      <c r="C756" s="56" t="str">
        <f aca="false">IF('15 System Rates S&amp;I'!$C$67="","",'15 System Rates S&amp;I'!B67)</f>
        <v/>
      </c>
      <c r="D756" s="56" t="str">
        <f aca="false">IF('15 System Rates S&amp;I'!$C$67="","",'15 System Rates S&amp;I'!C67)</f>
        <v/>
      </c>
      <c r="E756" s="56" t="str">
        <f aca="false">IF('15 System Rates S&amp;I'!$C$67="","",'15 System Rates S&amp;I'!D67)</f>
        <v/>
      </c>
      <c r="F756" s="56" t="str">
        <f aca="false">IF('15 System Rates S&amp;I'!$C$67="","",'15 System Rates S&amp;I'!E67)</f>
        <v/>
      </c>
      <c r="G756" s="56" t="str">
        <f aca="false">IF('15 System Rates S&amp;I'!$C$67="","",'15 System Rates S&amp;I'!F67)</f>
        <v/>
      </c>
      <c r="H756" s="57" t="str">
        <f aca="false">IF('15 System Rates S&amp;I'!$C$67="","",'15 System Rates S&amp;I'!G67)</f>
        <v/>
      </c>
      <c r="I756" s="58" t="str">
        <f aca="false">IF('15 System Rates S&amp;I'!$C$67="","",'15 System Rates S&amp;I'!J67)</f>
        <v/>
      </c>
      <c r="J756" s="58" t="str">
        <f aca="false">IF('15 System Rates S&amp;I'!$C$67="","",'15 System Rates S&amp;I'!K67)</f>
        <v/>
      </c>
      <c r="K756" s="58" t="str">
        <f aca="false">IF('15 System Rates S&amp;I'!$C$67="","",'15 System Rates S&amp;I'!L67)</f>
        <v/>
      </c>
      <c r="L756" s="57" t="str">
        <f aca="false">IF('15 System Rates S&amp;I'!$C$67="","",'15 System Rates S&amp;I'!M67)</f>
        <v/>
      </c>
      <c r="M756" s="59" t="str">
        <f aca="false">IF(D756="","",IF(AND(OR(Search!$C$6="All Categories",A756=Search!$C$6),OR(Search!$P$5="",ISNUMBER(SEARCH(" "&amp;Search!$P$5,N756))),OR(Search!$P$6="",ISNUMBER(SEARCH(" "&amp;Search!$P$6,N756))),OR(Search!$P$7="",ISNUMBER(SEARCH(" "&amp;Search!$P$7,N756))),OR(Search!$P$8="",ISNUMBER(SEARCH(" "&amp;Search!$P$8,N756))),OR(Search!$P$9="",ISNUMBER(SEARCH(" "&amp;Search!$P$9,N756))),OR(Search!$P$10="",ISNUMBER(SEARCH(" "&amp;Search!$P$10,N756)))),ROW(),""))</f>
        <v/>
      </c>
      <c r="N756" s="0" t="str">
        <f aca="false">IF(D756="",""," "&amp;SUBSTITUTE(SUBSTITUTE(SUBSTITUTE(SUBSTITUTE(SUBSTITUTE(SUBSTITUTE(SUBSTITUTE(B756&amp;" "&amp;C756&amp;" "&amp;D756&amp;" "&amp;E756&amp;" "&amp;F756&amp;" "&amp;G756&amp;" "&amp;H756&amp;" "&amp;'15 System Rates S&amp;I'!R67,"("," "),")"," "),"/"," "),"-"," "),","," "),";"," "),":"," ")&amp;" ")</f>
        <v/>
      </c>
    </row>
    <row r="757" customFormat="false" ht="15" hidden="false" customHeight="false" outlineLevel="0" collapsed="false">
      <c r="A757" s="56" t="str">
        <f aca="false">IF('15 System Rates S&amp;I'!$C$68="","","Finished Systems - Budget Supply &amp; Install Rates")</f>
        <v/>
      </c>
      <c r="B757" s="57" t="str">
        <f aca="false">IF('15 System Rates S&amp;I'!$C$68="","",'15 System Rates S&amp;I'!A68)</f>
        <v/>
      </c>
      <c r="C757" s="56" t="str">
        <f aca="false">IF('15 System Rates S&amp;I'!$C$68="","",'15 System Rates S&amp;I'!B68)</f>
        <v/>
      </c>
      <c r="D757" s="56" t="str">
        <f aca="false">IF('15 System Rates S&amp;I'!$C$68="","",'15 System Rates S&amp;I'!C68)</f>
        <v/>
      </c>
      <c r="E757" s="56" t="str">
        <f aca="false">IF('15 System Rates S&amp;I'!$C$68="","",'15 System Rates S&amp;I'!D68)</f>
        <v/>
      </c>
      <c r="F757" s="56" t="str">
        <f aca="false">IF('15 System Rates S&amp;I'!$C$68="","",'15 System Rates S&amp;I'!E68)</f>
        <v/>
      </c>
      <c r="G757" s="56" t="str">
        <f aca="false">IF('15 System Rates S&amp;I'!$C$68="","",'15 System Rates S&amp;I'!F68)</f>
        <v/>
      </c>
      <c r="H757" s="57" t="str">
        <f aca="false">IF('15 System Rates S&amp;I'!$C$68="","",'15 System Rates S&amp;I'!G68)</f>
        <v/>
      </c>
      <c r="I757" s="58" t="str">
        <f aca="false">IF('15 System Rates S&amp;I'!$C$68="","",'15 System Rates S&amp;I'!J68)</f>
        <v/>
      </c>
      <c r="J757" s="58" t="str">
        <f aca="false">IF('15 System Rates S&amp;I'!$C$68="","",'15 System Rates S&amp;I'!K68)</f>
        <v/>
      </c>
      <c r="K757" s="58" t="str">
        <f aca="false">IF('15 System Rates S&amp;I'!$C$68="","",'15 System Rates S&amp;I'!L68)</f>
        <v/>
      </c>
      <c r="L757" s="57" t="str">
        <f aca="false">IF('15 System Rates S&amp;I'!$C$68="","",'15 System Rates S&amp;I'!M68)</f>
        <v/>
      </c>
      <c r="M757" s="59" t="str">
        <f aca="false">IF(D757="","",IF(AND(OR(Search!$C$6="All Categories",A757=Search!$C$6),OR(Search!$P$5="",ISNUMBER(SEARCH(" "&amp;Search!$P$5,N757))),OR(Search!$P$6="",ISNUMBER(SEARCH(" "&amp;Search!$P$6,N757))),OR(Search!$P$7="",ISNUMBER(SEARCH(" "&amp;Search!$P$7,N757))),OR(Search!$P$8="",ISNUMBER(SEARCH(" "&amp;Search!$P$8,N757))),OR(Search!$P$9="",ISNUMBER(SEARCH(" "&amp;Search!$P$9,N757))),OR(Search!$P$10="",ISNUMBER(SEARCH(" "&amp;Search!$P$10,N757)))),ROW(),""))</f>
        <v/>
      </c>
      <c r="N757" s="0" t="str">
        <f aca="false">IF(D757="",""," "&amp;SUBSTITUTE(SUBSTITUTE(SUBSTITUTE(SUBSTITUTE(SUBSTITUTE(SUBSTITUTE(SUBSTITUTE(B757&amp;" "&amp;C757&amp;" "&amp;D757&amp;" "&amp;E757&amp;" "&amp;F757&amp;" "&amp;G757&amp;" "&amp;H757&amp;" "&amp;'15 System Rates S&amp;I'!R68,"("," "),")"," "),"/"," "),"-"," "),","," "),";"," "),":"," ")&amp;" ")</f>
        <v/>
      </c>
    </row>
    <row r="758" customFormat="false" ht="15" hidden="false" customHeight="false" outlineLevel="0" collapsed="false">
      <c r="A758" s="56" t="str">
        <f aca="false">IF('15 System Rates S&amp;I'!$C$69="","","Finished Systems - Budget Supply &amp; Install Rates")</f>
        <v/>
      </c>
      <c r="B758" s="57" t="str">
        <f aca="false">IF('15 System Rates S&amp;I'!$C$69="","",'15 System Rates S&amp;I'!A69)</f>
        <v/>
      </c>
      <c r="C758" s="56" t="str">
        <f aca="false">IF('15 System Rates S&amp;I'!$C$69="","",'15 System Rates S&amp;I'!B69)</f>
        <v/>
      </c>
      <c r="D758" s="56" t="str">
        <f aca="false">IF('15 System Rates S&amp;I'!$C$69="","",'15 System Rates S&amp;I'!C69)</f>
        <v/>
      </c>
      <c r="E758" s="56" t="str">
        <f aca="false">IF('15 System Rates S&amp;I'!$C$69="","",'15 System Rates S&amp;I'!D69)</f>
        <v/>
      </c>
      <c r="F758" s="56" t="str">
        <f aca="false">IF('15 System Rates S&amp;I'!$C$69="","",'15 System Rates S&amp;I'!E69)</f>
        <v/>
      </c>
      <c r="G758" s="56" t="str">
        <f aca="false">IF('15 System Rates S&amp;I'!$C$69="","",'15 System Rates S&amp;I'!F69)</f>
        <v/>
      </c>
      <c r="H758" s="57" t="str">
        <f aca="false">IF('15 System Rates S&amp;I'!$C$69="","",'15 System Rates S&amp;I'!G69)</f>
        <v/>
      </c>
      <c r="I758" s="58" t="str">
        <f aca="false">IF('15 System Rates S&amp;I'!$C$69="","",'15 System Rates S&amp;I'!J69)</f>
        <v/>
      </c>
      <c r="J758" s="58" t="str">
        <f aca="false">IF('15 System Rates S&amp;I'!$C$69="","",'15 System Rates S&amp;I'!K69)</f>
        <v/>
      </c>
      <c r="K758" s="58" t="str">
        <f aca="false">IF('15 System Rates S&amp;I'!$C$69="","",'15 System Rates S&amp;I'!L69)</f>
        <v/>
      </c>
      <c r="L758" s="57" t="str">
        <f aca="false">IF('15 System Rates S&amp;I'!$C$69="","",'15 System Rates S&amp;I'!M69)</f>
        <v/>
      </c>
      <c r="M758" s="59" t="str">
        <f aca="false">IF(D758="","",IF(AND(OR(Search!$C$6="All Categories",A758=Search!$C$6),OR(Search!$P$5="",ISNUMBER(SEARCH(" "&amp;Search!$P$5,N758))),OR(Search!$P$6="",ISNUMBER(SEARCH(" "&amp;Search!$P$6,N758))),OR(Search!$P$7="",ISNUMBER(SEARCH(" "&amp;Search!$P$7,N758))),OR(Search!$P$8="",ISNUMBER(SEARCH(" "&amp;Search!$P$8,N758))),OR(Search!$P$9="",ISNUMBER(SEARCH(" "&amp;Search!$P$9,N758))),OR(Search!$P$10="",ISNUMBER(SEARCH(" "&amp;Search!$P$10,N758)))),ROW(),""))</f>
        <v/>
      </c>
      <c r="N758" s="0" t="str">
        <f aca="false">IF(D758="",""," "&amp;SUBSTITUTE(SUBSTITUTE(SUBSTITUTE(SUBSTITUTE(SUBSTITUTE(SUBSTITUTE(SUBSTITUTE(B758&amp;" "&amp;C758&amp;" "&amp;D758&amp;" "&amp;E758&amp;" "&amp;F758&amp;" "&amp;G758&amp;" "&amp;H758&amp;" "&amp;'15 System Rates S&amp;I'!R69,"("," "),")"," "),"/"," "),"-"," "),","," "),";"," "),":"," ")&amp;" ")</f>
        <v/>
      </c>
    </row>
    <row r="759" customFormat="false" ht="15" hidden="false" customHeight="false" outlineLevel="0" collapsed="false">
      <c r="A759" s="56" t="str">
        <f aca="false">IF('15 System Rates S&amp;I'!$C$70="","","Finished Systems - Budget Supply &amp; Install Rates")</f>
        <v/>
      </c>
      <c r="B759" s="57" t="str">
        <f aca="false">IF('15 System Rates S&amp;I'!$C$70="","",'15 System Rates S&amp;I'!A70)</f>
        <v/>
      </c>
      <c r="C759" s="56" t="str">
        <f aca="false">IF('15 System Rates S&amp;I'!$C$70="","",'15 System Rates S&amp;I'!B70)</f>
        <v/>
      </c>
      <c r="D759" s="56" t="str">
        <f aca="false">IF('15 System Rates S&amp;I'!$C$70="","",'15 System Rates S&amp;I'!C70)</f>
        <v/>
      </c>
      <c r="E759" s="56" t="str">
        <f aca="false">IF('15 System Rates S&amp;I'!$C$70="","",'15 System Rates S&amp;I'!D70)</f>
        <v/>
      </c>
      <c r="F759" s="56" t="str">
        <f aca="false">IF('15 System Rates S&amp;I'!$C$70="","",'15 System Rates S&amp;I'!E70)</f>
        <v/>
      </c>
      <c r="G759" s="56" t="str">
        <f aca="false">IF('15 System Rates S&amp;I'!$C$70="","",'15 System Rates S&amp;I'!F70)</f>
        <v/>
      </c>
      <c r="H759" s="57" t="str">
        <f aca="false">IF('15 System Rates S&amp;I'!$C$70="","",'15 System Rates S&amp;I'!G70)</f>
        <v/>
      </c>
      <c r="I759" s="58" t="str">
        <f aca="false">IF('15 System Rates S&amp;I'!$C$70="","",'15 System Rates S&amp;I'!J70)</f>
        <v/>
      </c>
      <c r="J759" s="58" t="str">
        <f aca="false">IF('15 System Rates S&amp;I'!$C$70="","",'15 System Rates S&amp;I'!K70)</f>
        <v/>
      </c>
      <c r="K759" s="58" t="str">
        <f aca="false">IF('15 System Rates S&amp;I'!$C$70="","",'15 System Rates S&amp;I'!L70)</f>
        <v/>
      </c>
      <c r="L759" s="57" t="str">
        <f aca="false">IF('15 System Rates S&amp;I'!$C$70="","",'15 System Rates S&amp;I'!M70)</f>
        <v/>
      </c>
      <c r="M759" s="59" t="str">
        <f aca="false">IF(D759="","",IF(AND(OR(Search!$C$6="All Categories",A759=Search!$C$6),OR(Search!$P$5="",ISNUMBER(SEARCH(" "&amp;Search!$P$5,N759))),OR(Search!$P$6="",ISNUMBER(SEARCH(" "&amp;Search!$P$6,N759))),OR(Search!$P$7="",ISNUMBER(SEARCH(" "&amp;Search!$P$7,N759))),OR(Search!$P$8="",ISNUMBER(SEARCH(" "&amp;Search!$P$8,N759))),OR(Search!$P$9="",ISNUMBER(SEARCH(" "&amp;Search!$P$9,N759))),OR(Search!$P$10="",ISNUMBER(SEARCH(" "&amp;Search!$P$10,N759)))),ROW(),""))</f>
        <v/>
      </c>
      <c r="N759" s="0" t="str">
        <f aca="false">IF(D759="",""," "&amp;SUBSTITUTE(SUBSTITUTE(SUBSTITUTE(SUBSTITUTE(SUBSTITUTE(SUBSTITUTE(SUBSTITUTE(B759&amp;" "&amp;C759&amp;" "&amp;D759&amp;" "&amp;E759&amp;" "&amp;F759&amp;" "&amp;G759&amp;" "&amp;H759&amp;" "&amp;'15 System Rates S&amp;I'!R70,"("," "),")"," "),"/"," "),"-"," "),","," "),";"," "),":"," ")&amp;" ")</f>
        <v/>
      </c>
    </row>
    <row r="760" customFormat="false" ht="15" hidden="false" customHeight="false" outlineLevel="0" collapsed="false">
      <c r="A760" s="56" t="str">
        <f aca="false">IF('15 System Rates S&amp;I'!$C$71="","","Finished Systems - Budget Supply &amp; Install Rates")</f>
        <v/>
      </c>
      <c r="B760" s="57" t="str">
        <f aca="false">IF('15 System Rates S&amp;I'!$C$71="","",'15 System Rates S&amp;I'!A71)</f>
        <v/>
      </c>
      <c r="C760" s="56" t="str">
        <f aca="false">IF('15 System Rates S&amp;I'!$C$71="","",'15 System Rates S&amp;I'!B71)</f>
        <v/>
      </c>
      <c r="D760" s="56" t="str">
        <f aca="false">IF('15 System Rates S&amp;I'!$C$71="","",'15 System Rates S&amp;I'!C71)</f>
        <v/>
      </c>
      <c r="E760" s="56" t="str">
        <f aca="false">IF('15 System Rates S&amp;I'!$C$71="","",'15 System Rates S&amp;I'!D71)</f>
        <v/>
      </c>
      <c r="F760" s="56" t="str">
        <f aca="false">IF('15 System Rates S&amp;I'!$C$71="","",'15 System Rates S&amp;I'!E71)</f>
        <v/>
      </c>
      <c r="G760" s="56" t="str">
        <f aca="false">IF('15 System Rates S&amp;I'!$C$71="","",'15 System Rates S&amp;I'!F71)</f>
        <v/>
      </c>
      <c r="H760" s="57" t="str">
        <f aca="false">IF('15 System Rates S&amp;I'!$C$71="","",'15 System Rates S&amp;I'!G71)</f>
        <v/>
      </c>
      <c r="I760" s="58" t="str">
        <f aca="false">IF('15 System Rates S&amp;I'!$C$71="","",'15 System Rates S&amp;I'!J71)</f>
        <v/>
      </c>
      <c r="J760" s="58" t="str">
        <f aca="false">IF('15 System Rates S&amp;I'!$C$71="","",'15 System Rates S&amp;I'!K71)</f>
        <v/>
      </c>
      <c r="K760" s="58" t="str">
        <f aca="false">IF('15 System Rates S&amp;I'!$C$71="","",'15 System Rates S&amp;I'!L71)</f>
        <v/>
      </c>
      <c r="L760" s="57" t="str">
        <f aca="false">IF('15 System Rates S&amp;I'!$C$71="","",'15 System Rates S&amp;I'!M71)</f>
        <v/>
      </c>
      <c r="M760" s="59" t="str">
        <f aca="false">IF(D760="","",IF(AND(OR(Search!$C$6="All Categories",A760=Search!$C$6),OR(Search!$P$5="",ISNUMBER(SEARCH(" "&amp;Search!$P$5,N760))),OR(Search!$P$6="",ISNUMBER(SEARCH(" "&amp;Search!$P$6,N760))),OR(Search!$P$7="",ISNUMBER(SEARCH(" "&amp;Search!$P$7,N760))),OR(Search!$P$8="",ISNUMBER(SEARCH(" "&amp;Search!$P$8,N760))),OR(Search!$P$9="",ISNUMBER(SEARCH(" "&amp;Search!$P$9,N760))),OR(Search!$P$10="",ISNUMBER(SEARCH(" "&amp;Search!$P$10,N760)))),ROW(),""))</f>
        <v/>
      </c>
      <c r="N760" s="0" t="str">
        <f aca="false">IF(D760="",""," "&amp;SUBSTITUTE(SUBSTITUTE(SUBSTITUTE(SUBSTITUTE(SUBSTITUTE(SUBSTITUTE(SUBSTITUTE(B760&amp;" "&amp;C760&amp;" "&amp;D760&amp;" "&amp;E760&amp;" "&amp;F760&amp;" "&amp;G760&amp;" "&amp;H760&amp;" "&amp;'15 System Rates S&amp;I'!R71,"("," "),")"," "),"/"," "),"-"," "),","," "),";"," "),":"," ")&amp;" ")</f>
        <v/>
      </c>
    </row>
    <row r="761" customFormat="false" ht="15" hidden="false" customHeight="false" outlineLevel="0" collapsed="false">
      <c r="A761" s="56" t="str">
        <f aca="false">IF('15 System Rates S&amp;I'!$C$72="","","Finished Systems - Budget Supply &amp; Install Rates")</f>
        <v/>
      </c>
      <c r="B761" s="57" t="str">
        <f aca="false">IF('15 System Rates S&amp;I'!$C$72="","",'15 System Rates S&amp;I'!A72)</f>
        <v/>
      </c>
      <c r="C761" s="56" t="str">
        <f aca="false">IF('15 System Rates S&amp;I'!$C$72="","",'15 System Rates S&amp;I'!B72)</f>
        <v/>
      </c>
      <c r="D761" s="56" t="str">
        <f aca="false">IF('15 System Rates S&amp;I'!$C$72="","",'15 System Rates S&amp;I'!C72)</f>
        <v/>
      </c>
      <c r="E761" s="56" t="str">
        <f aca="false">IF('15 System Rates S&amp;I'!$C$72="","",'15 System Rates S&amp;I'!D72)</f>
        <v/>
      </c>
      <c r="F761" s="56" t="str">
        <f aca="false">IF('15 System Rates S&amp;I'!$C$72="","",'15 System Rates S&amp;I'!E72)</f>
        <v/>
      </c>
      <c r="G761" s="56" t="str">
        <f aca="false">IF('15 System Rates S&amp;I'!$C$72="","",'15 System Rates S&amp;I'!F72)</f>
        <v/>
      </c>
      <c r="H761" s="57" t="str">
        <f aca="false">IF('15 System Rates S&amp;I'!$C$72="","",'15 System Rates S&amp;I'!G72)</f>
        <v/>
      </c>
      <c r="I761" s="58" t="str">
        <f aca="false">IF('15 System Rates S&amp;I'!$C$72="","",'15 System Rates S&amp;I'!J72)</f>
        <v/>
      </c>
      <c r="J761" s="58" t="str">
        <f aca="false">IF('15 System Rates S&amp;I'!$C$72="","",'15 System Rates S&amp;I'!K72)</f>
        <v/>
      </c>
      <c r="K761" s="58" t="str">
        <f aca="false">IF('15 System Rates S&amp;I'!$C$72="","",'15 System Rates S&amp;I'!L72)</f>
        <v/>
      </c>
      <c r="L761" s="57" t="str">
        <f aca="false">IF('15 System Rates S&amp;I'!$C$72="","",'15 System Rates S&amp;I'!M72)</f>
        <v/>
      </c>
      <c r="M761" s="59" t="str">
        <f aca="false">IF(D761="","",IF(AND(OR(Search!$C$6="All Categories",A761=Search!$C$6),OR(Search!$P$5="",ISNUMBER(SEARCH(" "&amp;Search!$P$5,N761))),OR(Search!$P$6="",ISNUMBER(SEARCH(" "&amp;Search!$P$6,N761))),OR(Search!$P$7="",ISNUMBER(SEARCH(" "&amp;Search!$P$7,N761))),OR(Search!$P$8="",ISNUMBER(SEARCH(" "&amp;Search!$P$8,N761))),OR(Search!$P$9="",ISNUMBER(SEARCH(" "&amp;Search!$P$9,N761))),OR(Search!$P$10="",ISNUMBER(SEARCH(" "&amp;Search!$P$10,N761)))),ROW(),""))</f>
        <v/>
      </c>
      <c r="N761" s="0" t="str">
        <f aca="false">IF(D761="",""," "&amp;SUBSTITUTE(SUBSTITUTE(SUBSTITUTE(SUBSTITUTE(SUBSTITUTE(SUBSTITUTE(SUBSTITUTE(B761&amp;" "&amp;C761&amp;" "&amp;D761&amp;" "&amp;E761&amp;" "&amp;F761&amp;" "&amp;G761&amp;" "&amp;H761&amp;" "&amp;'15 System Rates S&amp;I'!R72,"("," "),")"," "),"/"," "),"-"," "),","," "),";"," "),":"," ")&amp;" ")</f>
        <v/>
      </c>
    </row>
    <row r="762" customFormat="false" ht="15" hidden="false" customHeight="false" outlineLevel="0" collapsed="false">
      <c r="A762" s="56" t="str">
        <f aca="false">IF('15 System Rates S&amp;I'!$C$73="","","Finished Systems - Budget Supply &amp; Install Rates")</f>
        <v/>
      </c>
      <c r="B762" s="57" t="str">
        <f aca="false">IF('15 System Rates S&amp;I'!$C$73="","",'15 System Rates S&amp;I'!A73)</f>
        <v/>
      </c>
      <c r="C762" s="56" t="str">
        <f aca="false">IF('15 System Rates S&amp;I'!$C$73="","",'15 System Rates S&amp;I'!B73)</f>
        <v/>
      </c>
      <c r="D762" s="56" t="str">
        <f aca="false">IF('15 System Rates S&amp;I'!$C$73="","",'15 System Rates S&amp;I'!C73)</f>
        <v/>
      </c>
      <c r="E762" s="56" t="str">
        <f aca="false">IF('15 System Rates S&amp;I'!$C$73="","",'15 System Rates S&amp;I'!D73)</f>
        <v/>
      </c>
      <c r="F762" s="56" t="str">
        <f aca="false">IF('15 System Rates S&amp;I'!$C$73="","",'15 System Rates S&amp;I'!E73)</f>
        <v/>
      </c>
      <c r="G762" s="56" t="str">
        <f aca="false">IF('15 System Rates S&amp;I'!$C$73="","",'15 System Rates S&amp;I'!F73)</f>
        <v/>
      </c>
      <c r="H762" s="57" t="str">
        <f aca="false">IF('15 System Rates S&amp;I'!$C$73="","",'15 System Rates S&amp;I'!G73)</f>
        <v/>
      </c>
      <c r="I762" s="58" t="str">
        <f aca="false">IF('15 System Rates S&amp;I'!$C$73="","",'15 System Rates S&amp;I'!J73)</f>
        <v/>
      </c>
      <c r="J762" s="58" t="str">
        <f aca="false">IF('15 System Rates S&amp;I'!$C$73="","",'15 System Rates S&amp;I'!K73)</f>
        <v/>
      </c>
      <c r="K762" s="58" t="str">
        <f aca="false">IF('15 System Rates S&amp;I'!$C$73="","",'15 System Rates S&amp;I'!L73)</f>
        <v/>
      </c>
      <c r="L762" s="57" t="str">
        <f aca="false">IF('15 System Rates S&amp;I'!$C$73="","",'15 System Rates S&amp;I'!M73)</f>
        <v/>
      </c>
      <c r="M762" s="59" t="str">
        <f aca="false">IF(D762="","",IF(AND(OR(Search!$C$6="All Categories",A762=Search!$C$6),OR(Search!$P$5="",ISNUMBER(SEARCH(" "&amp;Search!$P$5,N762))),OR(Search!$P$6="",ISNUMBER(SEARCH(" "&amp;Search!$P$6,N762))),OR(Search!$P$7="",ISNUMBER(SEARCH(" "&amp;Search!$P$7,N762))),OR(Search!$P$8="",ISNUMBER(SEARCH(" "&amp;Search!$P$8,N762))),OR(Search!$P$9="",ISNUMBER(SEARCH(" "&amp;Search!$P$9,N762))),OR(Search!$P$10="",ISNUMBER(SEARCH(" "&amp;Search!$P$10,N762)))),ROW(),""))</f>
        <v/>
      </c>
      <c r="N762" s="0" t="str">
        <f aca="false">IF(D762="",""," "&amp;SUBSTITUTE(SUBSTITUTE(SUBSTITUTE(SUBSTITUTE(SUBSTITUTE(SUBSTITUTE(SUBSTITUTE(B762&amp;" "&amp;C762&amp;" "&amp;D762&amp;" "&amp;E762&amp;" "&amp;F762&amp;" "&amp;G762&amp;" "&amp;H762&amp;" "&amp;'15 System Rates S&amp;I'!R73,"("," "),")"," "),"/"," "),"-"," "),","," "),";"," "),":"," ")&amp;" ")</f>
        <v/>
      </c>
    </row>
    <row r="763" customFormat="false" ht="15" hidden="false" customHeight="false" outlineLevel="0" collapsed="false">
      <c r="A763" s="56" t="str">
        <f aca="false">IF('15 System Rates S&amp;I'!$C$74="","","Finished Systems - Budget Supply &amp; Install Rates")</f>
        <v/>
      </c>
      <c r="B763" s="57" t="str">
        <f aca="false">IF('15 System Rates S&amp;I'!$C$74="","",'15 System Rates S&amp;I'!A74)</f>
        <v/>
      </c>
      <c r="C763" s="56" t="str">
        <f aca="false">IF('15 System Rates S&amp;I'!$C$74="","",'15 System Rates S&amp;I'!B74)</f>
        <v/>
      </c>
      <c r="D763" s="56" t="str">
        <f aca="false">IF('15 System Rates S&amp;I'!$C$74="","",'15 System Rates S&amp;I'!C74)</f>
        <v/>
      </c>
      <c r="E763" s="56" t="str">
        <f aca="false">IF('15 System Rates S&amp;I'!$C$74="","",'15 System Rates S&amp;I'!D74)</f>
        <v/>
      </c>
      <c r="F763" s="56" t="str">
        <f aca="false">IF('15 System Rates S&amp;I'!$C$74="","",'15 System Rates S&amp;I'!E74)</f>
        <v/>
      </c>
      <c r="G763" s="56" t="str">
        <f aca="false">IF('15 System Rates S&amp;I'!$C$74="","",'15 System Rates S&amp;I'!F74)</f>
        <v/>
      </c>
      <c r="H763" s="57" t="str">
        <f aca="false">IF('15 System Rates S&amp;I'!$C$74="","",'15 System Rates S&amp;I'!G74)</f>
        <v/>
      </c>
      <c r="I763" s="58" t="str">
        <f aca="false">IF('15 System Rates S&amp;I'!$C$74="","",'15 System Rates S&amp;I'!J74)</f>
        <v/>
      </c>
      <c r="J763" s="58" t="str">
        <f aca="false">IF('15 System Rates S&amp;I'!$C$74="","",'15 System Rates S&amp;I'!K74)</f>
        <v/>
      </c>
      <c r="K763" s="58" t="str">
        <f aca="false">IF('15 System Rates S&amp;I'!$C$74="","",'15 System Rates S&amp;I'!L74)</f>
        <v/>
      </c>
      <c r="L763" s="57" t="str">
        <f aca="false">IF('15 System Rates S&amp;I'!$C$74="","",'15 System Rates S&amp;I'!M74)</f>
        <v/>
      </c>
      <c r="M763" s="59" t="str">
        <f aca="false">IF(D763="","",IF(AND(OR(Search!$C$6="All Categories",A763=Search!$C$6),OR(Search!$P$5="",ISNUMBER(SEARCH(" "&amp;Search!$P$5,N763))),OR(Search!$P$6="",ISNUMBER(SEARCH(" "&amp;Search!$P$6,N763))),OR(Search!$P$7="",ISNUMBER(SEARCH(" "&amp;Search!$P$7,N763))),OR(Search!$P$8="",ISNUMBER(SEARCH(" "&amp;Search!$P$8,N763))),OR(Search!$P$9="",ISNUMBER(SEARCH(" "&amp;Search!$P$9,N763))),OR(Search!$P$10="",ISNUMBER(SEARCH(" "&amp;Search!$P$10,N763)))),ROW(),""))</f>
        <v/>
      </c>
      <c r="N763" s="0" t="str">
        <f aca="false">IF(D763="",""," "&amp;SUBSTITUTE(SUBSTITUTE(SUBSTITUTE(SUBSTITUTE(SUBSTITUTE(SUBSTITUTE(SUBSTITUTE(B763&amp;" "&amp;C763&amp;" "&amp;D763&amp;" "&amp;E763&amp;" "&amp;F763&amp;" "&amp;G763&amp;" "&amp;H763&amp;" "&amp;'15 System Rates S&amp;I'!R74,"("," "),")"," "),"/"," "),"-"," "),","," "),";"," "),":"," ")&amp;" ")</f>
        <v/>
      </c>
    </row>
    <row r="764" customFormat="false" ht="15" hidden="false" customHeight="false" outlineLevel="0" collapsed="false">
      <c r="A764" s="56" t="str">
        <f aca="false">IF('15 System Rates S&amp;I'!$C$75="","","Finished Systems - Budget Supply &amp; Install Rates")</f>
        <v/>
      </c>
      <c r="B764" s="57" t="str">
        <f aca="false">IF('15 System Rates S&amp;I'!$C$75="","",'15 System Rates S&amp;I'!A75)</f>
        <v/>
      </c>
      <c r="C764" s="56" t="str">
        <f aca="false">IF('15 System Rates S&amp;I'!$C$75="","",'15 System Rates S&amp;I'!B75)</f>
        <v/>
      </c>
      <c r="D764" s="56" t="str">
        <f aca="false">IF('15 System Rates S&amp;I'!$C$75="","",'15 System Rates S&amp;I'!C75)</f>
        <v/>
      </c>
      <c r="E764" s="56" t="str">
        <f aca="false">IF('15 System Rates S&amp;I'!$C$75="","",'15 System Rates S&amp;I'!D75)</f>
        <v/>
      </c>
      <c r="F764" s="56" t="str">
        <f aca="false">IF('15 System Rates S&amp;I'!$C$75="","",'15 System Rates S&amp;I'!E75)</f>
        <v/>
      </c>
      <c r="G764" s="56" t="str">
        <f aca="false">IF('15 System Rates S&amp;I'!$C$75="","",'15 System Rates S&amp;I'!F75)</f>
        <v/>
      </c>
      <c r="H764" s="57" t="str">
        <f aca="false">IF('15 System Rates S&amp;I'!$C$75="","",'15 System Rates S&amp;I'!G75)</f>
        <v/>
      </c>
      <c r="I764" s="58" t="str">
        <f aca="false">IF('15 System Rates S&amp;I'!$C$75="","",'15 System Rates S&amp;I'!J75)</f>
        <v/>
      </c>
      <c r="J764" s="58" t="str">
        <f aca="false">IF('15 System Rates S&amp;I'!$C$75="","",'15 System Rates S&amp;I'!K75)</f>
        <v/>
      </c>
      <c r="K764" s="58" t="str">
        <f aca="false">IF('15 System Rates S&amp;I'!$C$75="","",'15 System Rates S&amp;I'!L75)</f>
        <v/>
      </c>
      <c r="L764" s="57" t="str">
        <f aca="false">IF('15 System Rates S&amp;I'!$C$75="","",'15 System Rates S&amp;I'!M75)</f>
        <v/>
      </c>
      <c r="M764" s="59" t="str">
        <f aca="false">IF(D764="","",IF(AND(OR(Search!$C$6="All Categories",A764=Search!$C$6),OR(Search!$P$5="",ISNUMBER(SEARCH(" "&amp;Search!$P$5,N764))),OR(Search!$P$6="",ISNUMBER(SEARCH(" "&amp;Search!$P$6,N764))),OR(Search!$P$7="",ISNUMBER(SEARCH(" "&amp;Search!$P$7,N764))),OR(Search!$P$8="",ISNUMBER(SEARCH(" "&amp;Search!$P$8,N764))),OR(Search!$P$9="",ISNUMBER(SEARCH(" "&amp;Search!$P$9,N764))),OR(Search!$P$10="",ISNUMBER(SEARCH(" "&amp;Search!$P$10,N764)))),ROW(),""))</f>
        <v/>
      </c>
      <c r="N764" s="0" t="str">
        <f aca="false">IF(D764="",""," "&amp;SUBSTITUTE(SUBSTITUTE(SUBSTITUTE(SUBSTITUTE(SUBSTITUTE(SUBSTITUTE(SUBSTITUTE(B764&amp;" "&amp;C764&amp;" "&amp;D764&amp;" "&amp;E764&amp;" "&amp;F764&amp;" "&amp;G764&amp;" "&amp;H764&amp;" "&amp;'15 System Rates S&amp;I'!R75,"("," "),")"," "),"/"," "),"-"," "),","," "),";"," "),":"," ")&amp;" ")</f>
        <v/>
      </c>
    </row>
  </sheetData>
  <autoFilter ref="A2:L764"/>
  <mergeCells count="1">
    <mergeCell ref="A1:L1"/>
  </mergeCells>
  <conditionalFormatting sqref="A3:L764">
    <cfRule type="expression" priority="2" aboveAverage="0" equalAverage="0" bottom="0" percent="0" rank="0" text="" dxfId="1">
      <formula>AND($D3&lt;&gt;"",MOD(ROW(),2)=0)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true"/>
  </sheetPr>
  <dimension ref="B2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24"/>
    <col collapsed="false" customWidth="true" hidden="false" outlineLevel="0" max="6" min="6" style="0" width="44"/>
  </cols>
  <sheetData>
    <row r="2" customFormat="false" ht="19.7" hidden="false" customHeight="false" outlineLevel="0" collapsed="false">
      <c r="B2" s="60" t="s">
        <v>123</v>
      </c>
    </row>
    <row r="3" customFormat="false" ht="15" hidden="false" customHeight="false" outlineLevel="0" collapsed="false">
      <c r="B3" s="48" t="s">
        <v>124</v>
      </c>
    </row>
    <row r="5" customFormat="false" ht="26.85" hidden="false" customHeight="false" outlineLevel="0" collapsed="false">
      <c r="B5" s="30" t="s">
        <v>125</v>
      </c>
      <c r="C5" s="30" t="s">
        <v>126</v>
      </c>
      <c r="D5" s="30" t="s">
        <v>115</v>
      </c>
      <c r="E5" s="30" t="s">
        <v>127</v>
      </c>
      <c r="F5" s="30" t="s">
        <v>128</v>
      </c>
    </row>
    <row r="6" customFormat="false" ht="15" hidden="false" customHeight="false" outlineLevel="0" collapsed="false">
      <c r="B6" s="13" t="s">
        <v>129</v>
      </c>
      <c r="C6" s="61" t="n">
        <v>0.05</v>
      </c>
      <c r="D6" s="12" t="s">
        <v>130</v>
      </c>
      <c r="E6" s="12" t="s">
        <v>131</v>
      </c>
      <c r="F6" s="13" t="s">
        <v>132</v>
      </c>
    </row>
    <row r="7" customFormat="false" ht="15" hidden="false" customHeight="false" outlineLevel="0" collapsed="false">
      <c r="B7" s="13" t="s">
        <v>133</v>
      </c>
      <c r="C7" s="61" t="n">
        <v>0.2</v>
      </c>
      <c r="D7" s="12" t="s">
        <v>130</v>
      </c>
      <c r="E7" s="12" t="s">
        <v>134</v>
      </c>
      <c r="F7" s="13" t="s">
        <v>135</v>
      </c>
    </row>
    <row r="8" customFormat="false" ht="15" hidden="false" customHeight="false" outlineLevel="0" collapsed="false">
      <c r="B8" s="13" t="s">
        <v>136</v>
      </c>
      <c r="C8" s="62" t="n">
        <v>15.5</v>
      </c>
      <c r="D8" s="12" t="s">
        <v>137</v>
      </c>
      <c r="E8" s="12" t="s">
        <v>138</v>
      </c>
      <c r="F8" s="13" t="s">
        <v>139</v>
      </c>
    </row>
    <row r="9" customFormat="false" ht="15" hidden="false" customHeight="false" outlineLevel="0" collapsed="false">
      <c r="B9" s="13" t="s">
        <v>140</v>
      </c>
      <c r="C9" s="62" t="n">
        <v>3</v>
      </c>
      <c r="D9" s="12" t="s">
        <v>137</v>
      </c>
      <c r="E9" s="12" t="s">
        <v>141</v>
      </c>
      <c r="F9" s="13" t="s">
        <v>142</v>
      </c>
    </row>
    <row r="10" customFormat="false" ht="15" hidden="false" customHeight="false" outlineLevel="0" collapsed="false">
      <c r="B10" s="13" t="s">
        <v>143</v>
      </c>
      <c r="C10" s="62" t="n">
        <v>5</v>
      </c>
      <c r="D10" s="12" t="s">
        <v>137</v>
      </c>
      <c r="E10" s="12" t="s">
        <v>144</v>
      </c>
      <c r="F10" s="13" t="s">
        <v>145</v>
      </c>
    </row>
    <row r="11" customFormat="false" ht="15" hidden="false" customHeight="false" outlineLevel="0" collapsed="false">
      <c r="B11" s="13" t="s">
        <v>146</v>
      </c>
      <c r="C11" s="62" t="n">
        <v>8.5</v>
      </c>
      <c r="D11" s="12" t="s">
        <v>137</v>
      </c>
      <c r="E11" s="12" t="s">
        <v>147</v>
      </c>
      <c r="F11" s="13" t="s">
        <v>148</v>
      </c>
    </row>
    <row r="12" customFormat="false" ht="15" hidden="false" customHeight="false" outlineLevel="0" collapsed="false">
      <c r="B12" s="13" t="s">
        <v>149</v>
      </c>
      <c r="C12" s="62" t="n">
        <v>6.5</v>
      </c>
      <c r="D12" s="12" t="s">
        <v>137</v>
      </c>
      <c r="E12" s="12" t="s">
        <v>150</v>
      </c>
      <c r="F12" s="13" t="s">
        <v>151</v>
      </c>
    </row>
    <row r="13" customFormat="false" ht="15" hidden="false" customHeight="false" outlineLevel="0" collapsed="false">
      <c r="B13" s="13" t="s">
        <v>152</v>
      </c>
      <c r="C13" s="62" t="n">
        <v>6</v>
      </c>
      <c r="D13" s="12" t="s">
        <v>137</v>
      </c>
      <c r="E13" s="12" t="s">
        <v>153</v>
      </c>
      <c r="F13" s="13" t="s">
        <v>154</v>
      </c>
    </row>
    <row r="14" customFormat="false" ht="15" hidden="false" customHeight="false" outlineLevel="0" collapsed="false">
      <c r="B14" s="13" t="s">
        <v>155</v>
      </c>
      <c r="C14" s="62" t="n">
        <v>3.6</v>
      </c>
      <c r="D14" s="12" t="s">
        <v>137</v>
      </c>
      <c r="E14" s="12" t="s">
        <v>156</v>
      </c>
      <c r="F14" s="13" t="s">
        <v>157</v>
      </c>
    </row>
    <row r="15" customFormat="false" ht="15" hidden="false" customHeight="false" outlineLevel="0" collapsed="false">
      <c r="B15" s="13" t="s">
        <v>158</v>
      </c>
      <c r="C15" s="62" t="n">
        <v>3.4</v>
      </c>
      <c r="D15" s="12" t="s">
        <v>137</v>
      </c>
      <c r="E15" s="12" t="s">
        <v>159</v>
      </c>
      <c r="F15" s="13" t="s">
        <v>160</v>
      </c>
    </row>
    <row r="16" customFormat="false" ht="15" hidden="false" customHeight="false" outlineLevel="0" collapsed="false">
      <c r="B16" s="13" t="s">
        <v>161</v>
      </c>
      <c r="C16" s="62" t="n">
        <v>4.2</v>
      </c>
      <c r="D16" s="12" t="s">
        <v>137</v>
      </c>
      <c r="E16" s="12" t="s">
        <v>162</v>
      </c>
      <c r="F16" s="13" t="s">
        <v>163</v>
      </c>
    </row>
    <row r="17" customFormat="false" ht="15" hidden="false" customHeight="false" outlineLevel="0" collapsed="false">
      <c r="B17" s="13" t="s">
        <v>164</v>
      </c>
      <c r="C17" s="62" t="n">
        <v>17</v>
      </c>
      <c r="D17" s="12" t="s">
        <v>137</v>
      </c>
      <c r="E17" s="12" t="s">
        <v>165</v>
      </c>
      <c r="F17" s="13" t="s">
        <v>166</v>
      </c>
    </row>
    <row r="18" customFormat="false" ht="15" hidden="false" customHeight="false" outlineLevel="0" collapsed="false">
      <c r="B18" s="13" t="s">
        <v>167</v>
      </c>
      <c r="C18" s="62" t="n">
        <v>24</v>
      </c>
      <c r="D18" s="12" t="s">
        <v>137</v>
      </c>
      <c r="E18" s="12" t="s">
        <v>168</v>
      </c>
      <c r="F18" s="13" t="s">
        <v>169</v>
      </c>
    </row>
    <row r="19" customFormat="false" ht="15" hidden="false" customHeight="false" outlineLevel="0" collapsed="false">
      <c r="B19" s="13" t="s">
        <v>170</v>
      </c>
      <c r="C19" s="62" t="n">
        <v>3</v>
      </c>
      <c r="D19" s="12" t="s">
        <v>137</v>
      </c>
      <c r="E19" s="12" t="s">
        <v>171</v>
      </c>
      <c r="F19" s="13" t="s">
        <v>172</v>
      </c>
    </row>
    <row r="21" customFormat="false" ht="15" hidden="false" customHeight="false" outlineLevel="0" collapsed="false">
      <c r="B21" s="13" t="s">
        <v>173</v>
      </c>
      <c r="C21" s="63" t="s">
        <v>174</v>
      </c>
    </row>
    <row r="22" customFormat="false" ht="15" hidden="false" customHeight="false" outlineLevel="0" collapsed="false">
      <c r="B22" s="13" t="s">
        <v>175</v>
      </c>
      <c r="C22" s="64" t="s">
        <v>176</v>
      </c>
    </row>
    <row r="24" customFormat="false" ht="15" hidden="false" customHeight="true" outlineLevel="0" collapsed="false">
      <c r="B24" s="43" t="s">
        <v>177</v>
      </c>
      <c r="C24" s="43"/>
      <c r="D24" s="43"/>
      <c r="E24" s="43"/>
      <c r="F24" s="43"/>
    </row>
    <row r="25" customFormat="false" ht="15" hidden="false" customHeight="false" outlineLevel="0" collapsed="false">
      <c r="B25" s="43"/>
      <c r="C25" s="43"/>
      <c r="D25" s="43"/>
      <c r="E25" s="43"/>
      <c r="F25" s="43"/>
    </row>
  </sheetData>
  <mergeCells count="1">
    <mergeCell ref="B24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true"/>
  </sheetPr>
  <dimension ref="A1:R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32"/>
    <col collapsed="false" customWidth="true" hidden="false" outlineLevel="0" max="5" min="5" style="0" width="20"/>
    <col collapsed="false" customWidth="true" hidden="false" outlineLevel="0" max="6" min="6" style="0" width="26"/>
    <col collapsed="false" customWidth="true" hidden="false" outlineLevel="0" max="7" min="7" style="0" width="7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1" min="10" style="0" width="13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20"/>
    <col collapsed="false" customWidth="true" hidden="false" outlineLevel="0" max="15" min="15" style="0" width="13"/>
    <col collapsed="false" customWidth="true" hidden="false" outlineLevel="0" max="16" min="16" style="0" width="12"/>
    <col collapsed="false" customWidth="true" hidden="false" outlineLevel="0" max="17" min="17" style="0" width="26"/>
    <col collapsed="false" customWidth="true" hidden="false" outlineLevel="0" max="18" min="18" style="0" width="34"/>
  </cols>
  <sheetData>
    <row r="1" customFormat="false" ht="30" hidden="false" customHeight="true" outlineLevel="0" collapsed="false">
      <c r="A1" s="65" t="s">
        <v>178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</row>
    <row r="2" customFormat="false" ht="15" hidden="false" customHeight="false" outlineLevel="0" collapsed="false">
      <c r="A2" s="66" t="s">
        <v>179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</row>
    <row r="3" customFormat="false" ht="15" hidden="false" customHeight="false" outlineLevel="0" collapsed="false">
      <c r="A3" s="7" t="str">
        <f aca="false">HYPERLINK("#Index!A1","&lt;&lt; Back to Index")</f>
        <v>&lt;&lt; Back to Index</v>
      </c>
      <c r="D3" s="67" t="s">
        <v>180</v>
      </c>
      <c r="E3" s="68" t="n">
        <f aca="false">COUNTA(C5:C72)</f>
        <v>53</v>
      </c>
      <c r="H3" s="69" t="s">
        <v>181</v>
      </c>
    </row>
    <row r="4" customFormat="false" ht="31.5" hidden="false" customHeight="true" outlineLevel="0" collapsed="false">
      <c r="A4" s="8" t="s">
        <v>110</v>
      </c>
      <c r="B4" s="8" t="s">
        <v>121</v>
      </c>
      <c r="C4" s="8" t="s">
        <v>111</v>
      </c>
      <c r="D4" s="8" t="s">
        <v>112</v>
      </c>
      <c r="E4" s="8" t="s">
        <v>113</v>
      </c>
      <c r="F4" s="8" t="s">
        <v>114</v>
      </c>
      <c r="G4" s="8" t="s">
        <v>115</v>
      </c>
      <c r="H4" s="8" t="s">
        <v>182</v>
      </c>
      <c r="I4" s="8" t="s">
        <v>183</v>
      </c>
      <c r="J4" s="8" t="s">
        <v>184</v>
      </c>
      <c r="K4" s="8" t="s">
        <v>185</v>
      </c>
      <c r="L4" s="8" t="s">
        <v>186</v>
      </c>
      <c r="M4" s="8" t="s">
        <v>119</v>
      </c>
      <c r="N4" s="8" t="s">
        <v>187</v>
      </c>
      <c r="O4" s="8" t="s">
        <v>188</v>
      </c>
      <c r="P4" s="8" t="s">
        <v>189</v>
      </c>
      <c r="Q4" s="8" t="s">
        <v>190</v>
      </c>
      <c r="R4" s="8" t="s">
        <v>191</v>
      </c>
    </row>
    <row r="5" customFormat="false" ht="15" hidden="false" customHeight="false" outlineLevel="0" collapsed="false">
      <c r="A5" s="70" t="s">
        <v>192</v>
      </c>
      <c r="B5" s="71" t="s">
        <v>193</v>
      </c>
      <c r="C5" s="72" t="s">
        <v>194</v>
      </c>
      <c r="D5" s="71" t="s">
        <v>195</v>
      </c>
      <c r="E5" s="71" t="s">
        <v>196</v>
      </c>
      <c r="F5" s="71" t="s">
        <v>197</v>
      </c>
      <c r="G5" s="73" t="s">
        <v>198</v>
      </c>
      <c r="H5" s="74" t="n">
        <f aca="false">AL_MILL</f>
        <v>15.5</v>
      </c>
      <c r="I5" s="75" t="n">
        <v>0.05</v>
      </c>
      <c r="J5" s="76" t="n">
        <f aca="false">IF(H5="","",ROUND(H5*(1+I5),2))</f>
        <v>16.28</v>
      </c>
      <c r="K5" s="76" t="n">
        <f aca="false">IF(J5="","",ROUND(J5*(1+OHP),2))</f>
        <v>19.54</v>
      </c>
      <c r="L5" s="76" t="n">
        <f aca="false">IF(K5="","",ROUND(K5*(1+VAT),2))</f>
        <v>20.52</v>
      </c>
      <c r="M5" s="73" t="s">
        <v>89</v>
      </c>
      <c r="N5" s="71"/>
      <c r="O5" s="73"/>
      <c r="P5" s="77"/>
      <c r="Q5" s="71"/>
      <c r="R5" s="78" t="s">
        <v>199</v>
      </c>
    </row>
    <row r="6" customFormat="false" ht="15" hidden="false" customHeight="false" outlineLevel="0" collapsed="false">
      <c r="A6" s="70" t="s">
        <v>200</v>
      </c>
      <c r="B6" s="71" t="s">
        <v>193</v>
      </c>
      <c r="C6" s="72" t="s">
        <v>194</v>
      </c>
      <c r="D6" s="71" t="s">
        <v>195</v>
      </c>
      <c r="E6" s="71" t="s">
        <v>201</v>
      </c>
      <c r="F6" s="71" t="s">
        <v>197</v>
      </c>
      <c r="G6" s="73" t="s">
        <v>198</v>
      </c>
      <c r="H6" s="74" t="n">
        <f aca="false">AL_MILL+AL_PC</f>
        <v>18.5</v>
      </c>
      <c r="I6" s="75" t="n">
        <v>0.05</v>
      </c>
      <c r="J6" s="76" t="n">
        <f aca="false">IF(H6="","",ROUND(H6*(1+I6),2))</f>
        <v>19.43</v>
      </c>
      <c r="K6" s="76" t="n">
        <f aca="false">IF(J6="","",ROUND(J6*(1+OHP),2))</f>
        <v>23.32</v>
      </c>
      <c r="L6" s="76" t="n">
        <f aca="false">IF(K6="","",ROUND(K6*(1+VAT),2))</f>
        <v>24.49</v>
      </c>
      <c r="M6" s="73" t="s">
        <v>89</v>
      </c>
      <c r="N6" s="71"/>
      <c r="O6" s="73"/>
      <c r="P6" s="77"/>
      <c r="Q6" s="71"/>
      <c r="R6" s="78" t="s">
        <v>202</v>
      </c>
    </row>
    <row r="7" customFormat="false" ht="15" hidden="false" customHeight="false" outlineLevel="0" collapsed="false">
      <c r="A7" s="70" t="s">
        <v>203</v>
      </c>
      <c r="B7" s="71" t="s">
        <v>193</v>
      </c>
      <c r="C7" s="72" t="s">
        <v>194</v>
      </c>
      <c r="D7" s="71" t="s">
        <v>195</v>
      </c>
      <c r="E7" s="71" t="s">
        <v>204</v>
      </c>
      <c r="F7" s="71" t="s">
        <v>197</v>
      </c>
      <c r="G7" s="73" t="s">
        <v>198</v>
      </c>
      <c r="H7" s="74" t="n">
        <f aca="false">AL_MILL+AL_ANOD</f>
        <v>20.5</v>
      </c>
      <c r="I7" s="75" t="n">
        <v>0.05</v>
      </c>
      <c r="J7" s="76" t="n">
        <f aca="false">IF(H7="","",ROUND(H7*(1+I7),2))</f>
        <v>21.53</v>
      </c>
      <c r="K7" s="76" t="n">
        <f aca="false">IF(J7="","",ROUND(J7*(1+OHP),2))</f>
        <v>25.84</v>
      </c>
      <c r="L7" s="76" t="n">
        <f aca="false">IF(K7="","",ROUND(K7*(1+VAT),2))</f>
        <v>27.13</v>
      </c>
      <c r="M7" s="73" t="s">
        <v>89</v>
      </c>
      <c r="N7" s="71"/>
      <c r="O7" s="73"/>
      <c r="P7" s="77"/>
      <c r="Q7" s="71"/>
      <c r="R7" s="78" t="s">
        <v>199</v>
      </c>
    </row>
    <row r="8" customFormat="false" ht="15" hidden="false" customHeight="false" outlineLevel="0" collapsed="false">
      <c r="A8" s="70" t="s">
        <v>205</v>
      </c>
      <c r="B8" s="71" t="s">
        <v>193</v>
      </c>
      <c r="C8" s="72" t="s">
        <v>194</v>
      </c>
      <c r="D8" s="71" t="s">
        <v>195</v>
      </c>
      <c r="E8" s="71" t="s">
        <v>206</v>
      </c>
      <c r="F8" s="71" t="s">
        <v>197</v>
      </c>
      <c r="G8" s="73" t="s">
        <v>198</v>
      </c>
      <c r="H8" s="74" t="n">
        <f aca="false">AL_MILL+AL_PVDF</f>
        <v>24</v>
      </c>
      <c r="I8" s="75" t="n">
        <v>0.05</v>
      </c>
      <c r="J8" s="76" t="n">
        <f aca="false">IF(H8="","",ROUND(H8*(1+I8),2))</f>
        <v>25.2</v>
      </c>
      <c r="K8" s="76" t="n">
        <f aca="false">IF(J8="","",ROUND(J8*(1+OHP),2))</f>
        <v>30.24</v>
      </c>
      <c r="L8" s="76" t="n">
        <f aca="false">IF(K8="","",ROUND(K8*(1+VAT),2))</f>
        <v>31.75</v>
      </c>
      <c r="M8" s="73" t="s">
        <v>89</v>
      </c>
      <c r="N8" s="71"/>
      <c r="O8" s="73"/>
      <c r="P8" s="77"/>
      <c r="Q8" s="71"/>
      <c r="R8" s="78" t="s">
        <v>199</v>
      </c>
    </row>
    <row r="9" customFormat="false" ht="15" hidden="false" customHeight="false" outlineLevel="0" collapsed="false">
      <c r="A9" s="70" t="s">
        <v>207</v>
      </c>
      <c r="B9" s="71" t="s">
        <v>193</v>
      </c>
      <c r="C9" s="72" t="s">
        <v>194</v>
      </c>
      <c r="D9" s="71" t="s">
        <v>195</v>
      </c>
      <c r="E9" s="71" t="s">
        <v>208</v>
      </c>
      <c r="F9" s="71" t="s">
        <v>197</v>
      </c>
      <c r="G9" s="73" t="s">
        <v>198</v>
      </c>
      <c r="H9" s="74" t="n">
        <f aca="false">AL_MILL+AL_PC+AL_WOOD</f>
        <v>25</v>
      </c>
      <c r="I9" s="75" t="n">
        <v>0.05</v>
      </c>
      <c r="J9" s="76" t="n">
        <f aca="false">IF(H9="","",ROUND(H9*(1+I9),2))</f>
        <v>26.25</v>
      </c>
      <c r="K9" s="76" t="n">
        <f aca="false">IF(J9="","",ROUND(J9*(1+OHP),2))</f>
        <v>31.5</v>
      </c>
      <c r="L9" s="76" t="n">
        <f aca="false">IF(K9="","",ROUND(K9*(1+VAT),2))</f>
        <v>33.08</v>
      </c>
      <c r="M9" s="73" t="s">
        <v>89</v>
      </c>
      <c r="N9" s="71"/>
      <c r="O9" s="73"/>
      <c r="P9" s="77"/>
      <c r="Q9" s="71"/>
      <c r="R9" s="78" t="s">
        <v>199</v>
      </c>
    </row>
    <row r="10" customFormat="false" ht="15" hidden="false" customHeight="false" outlineLevel="0" collapsed="false">
      <c r="A10" s="70" t="s">
        <v>209</v>
      </c>
      <c r="B10" s="71" t="s">
        <v>193</v>
      </c>
      <c r="C10" s="72" t="s">
        <v>210</v>
      </c>
      <c r="D10" s="71" t="s">
        <v>211</v>
      </c>
      <c r="E10" s="71" t="s">
        <v>212</v>
      </c>
      <c r="F10" s="71" t="s">
        <v>197</v>
      </c>
      <c r="G10" s="73" t="s">
        <v>198</v>
      </c>
      <c r="H10" s="74" t="n">
        <f aca="false">AL_MILL+AL_PC+AL_TB</f>
        <v>24.5</v>
      </c>
      <c r="I10" s="75" t="n">
        <v>0.05</v>
      </c>
      <c r="J10" s="76" t="n">
        <f aca="false">IF(H10="","",ROUND(H10*(1+I10),2))</f>
        <v>25.73</v>
      </c>
      <c r="K10" s="76" t="n">
        <f aca="false">IF(J10="","",ROUND(J10*(1+OHP),2))</f>
        <v>30.88</v>
      </c>
      <c r="L10" s="76" t="n">
        <f aca="false">IF(K10="","",ROUND(K10*(1+VAT),2))</f>
        <v>32.42</v>
      </c>
      <c r="M10" s="73" t="s">
        <v>89</v>
      </c>
      <c r="N10" s="71"/>
      <c r="O10" s="73"/>
      <c r="P10" s="77"/>
      <c r="Q10" s="71"/>
      <c r="R10" s="78" t="s">
        <v>202</v>
      </c>
    </row>
    <row r="11" customFormat="false" ht="19.4" hidden="false" customHeight="false" outlineLevel="0" collapsed="false">
      <c r="A11" s="70" t="s">
        <v>213</v>
      </c>
      <c r="B11" s="71" t="s">
        <v>214</v>
      </c>
      <c r="C11" s="72" t="s">
        <v>215</v>
      </c>
      <c r="D11" s="71" t="s">
        <v>216</v>
      </c>
      <c r="E11" s="71" t="s">
        <v>212</v>
      </c>
      <c r="F11" s="71" t="s">
        <v>217</v>
      </c>
      <c r="G11" s="73" t="s">
        <v>218</v>
      </c>
      <c r="H11" s="74" t="n">
        <f aca="false">ROUND(0.38*(AL_MILL+AL_PC),2)</f>
        <v>7.03</v>
      </c>
      <c r="I11" s="75" t="n">
        <v>0.05</v>
      </c>
      <c r="J11" s="76" t="n">
        <f aca="false">IF(H11="","",ROUND(H11*(1+I11),2))</f>
        <v>7.38</v>
      </c>
      <c r="K11" s="76" t="n">
        <f aca="false">IF(J11="","",ROUND(J11*(1+OHP),2))</f>
        <v>8.86</v>
      </c>
      <c r="L11" s="76" t="n">
        <f aca="false">IF(K11="","",ROUND(K11*(1+VAT),2))</f>
        <v>9.3</v>
      </c>
      <c r="M11" s="73" t="s">
        <v>89</v>
      </c>
      <c r="N11" s="71"/>
      <c r="O11" s="73"/>
      <c r="P11" s="77"/>
      <c r="Q11" s="71"/>
      <c r="R11" s="78" t="s">
        <v>219</v>
      </c>
    </row>
    <row r="12" customFormat="false" ht="19.4" hidden="false" customHeight="false" outlineLevel="0" collapsed="false">
      <c r="A12" s="70" t="s">
        <v>220</v>
      </c>
      <c r="B12" s="71" t="s">
        <v>214</v>
      </c>
      <c r="C12" s="72" t="s">
        <v>215</v>
      </c>
      <c r="D12" s="71" t="s">
        <v>221</v>
      </c>
      <c r="E12" s="71" t="s">
        <v>212</v>
      </c>
      <c r="F12" s="71" t="s">
        <v>217</v>
      </c>
      <c r="G12" s="73" t="s">
        <v>218</v>
      </c>
      <c r="H12" s="74" t="n">
        <f aca="false">ROUND(0.82*(AL_MILL+AL_PC),2)</f>
        <v>15.17</v>
      </c>
      <c r="I12" s="75" t="n">
        <v>0.05</v>
      </c>
      <c r="J12" s="76" t="n">
        <f aca="false">IF(H12="","",ROUND(H12*(1+I12),2))</f>
        <v>15.93</v>
      </c>
      <c r="K12" s="76" t="n">
        <f aca="false">IF(J12="","",ROUND(J12*(1+OHP),2))</f>
        <v>19.12</v>
      </c>
      <c r="L12" s="76" t="n">
        <f aca="false">IF(K12="","",ROUND(K12*(1+VAT),2))</f>
        <v>20.08</v>
      </c>
      <c r="M12" s="73" t="s">
        <v>89</v>
      </c>
      <c r="N12" s="71"/>
      <c r="O12" s="73"/>
      <c r="P12" s="77"/>
      <c r="Q12" s="71"/>
      <c r="R12" s="78" t="s">
        <v>222</v>
      </c>
    </row>
    <row r="13" customFormat="false" ht="19.4" hidden="false" customHeight="false" outlineLevel="0" collapsed="false">
      <c r="A13" s="70" t="s">
        <v>223</v>
      </c>
      <c r="B13" s="71" t="s">
        <v>214</v>
      </c>
      <c r="C13" s="72" t="s">
        <v>215</v>
      </c>
      <c r="D13" s="71" t="s">
        <v>224</v>
      </c>
      <c r="E13" s="71" t="s">
        <v>212</v>
      </c>
      <c r="F13" s="71" t="s">
        <v>217</v>
      </c>
      <c r="G13" s="73" t="s">
        <v>218</v>
      </c>
      <c r="H13" s="74" t="n">
        <f aca="false">ROUND(1.04*(AL_MILL+AL_PC),2)</f>
        <v>19.24</v>
      </c>
      <c r="I13" s="75" t="n">
        <v>0.05</v>
      </c>
      <c r="J13" s="76" t="n">
        <f aca="false">IF(H13="","",ROUND(H13*(1+I13),2))</f>
        <v>20.2</v>
      </c>
      <c r="K13" s="76" t="n">
        <f aca="false">IF(J13="","",ROUND(J13*(1+OHP),2))</f>
        <v>24.24</v>
      </c>
      <c r="L13" s="76" t="n">
        <f aca="false">IF(K13="","",ROUND(K13*(1+VAT),2))</f>
        <v>25.45</v>
      </c>
      <c r="M13" s="73" t="s">
        <v>89</v>
      </c>
      <c r="N13" s="71"/>
      <c r="O13" s="73"/>
      <c r="P13" s="77"/>
      <c r="Q13" s="71"/>
      <c r="R13" s="78" t="s">
        <v>225</v>
      </c>
    </row>
    <row r="14" customFormat="false" ht="19.4" hidden="false" customHeight="false" outlineLevel="0" collapsed="false">
      <c r="A14" s="70" t="s">
        <v>226</v>
      </c>
      <c r="B14" s="71" t="s">
        <v>214</v>
      </c>
      <c r="C14" s="72" t="s">
        <v>227</v>
      </c>
      <c r="D14" s="71" t="s">
        <v>228</v>
      </c>
      <c r="E14" s="71" t="s">
        <v>212</v>
      </c>
      <c r="F14" s="71" t="s">
        <v>217</v>
      </c>
      <c r="G14" s="73" t="s">
        <v>218</v>
      </c>
      <c r="H14" s="74" t="n">
        <f aca="false">ROUND(1.96*(AL_MILL+AL_PC),2)</f>
        <v>36.26</v>
      </c>
      <c r="I14" s="75" t="n">
        <v>0.05</v>
      </c>
      <c r="J14" s="76" t="n">
        <f aca="false">IF(H14="","",ROUND(H14*(1+I14),2))</f>
        <v>38.07</v>
      </c>
      <c r="K14" s="76" t="n">
        <f aca="false">IF(J14="","",ROUND(J14*(1+OHP),2))</f>
        <v>45.68</v>
      </c>
      <c r="L14" s="76" t="n">
        <f aca="false">IF(K14="","",ROUND(K14*(1+VAT),2))</f>
        <v>47.96</v>
      </c>
      <c r="M14" s="73" t="s">
        <v>89</v>
      </c>
      <c r="N14" s="71"/>
      <c r="O14" s="73"/>
      <c r="P14" s="77"/>
      <c r="Q14" s="71"/>
      <c r="R14" s="78" t="s">
        <v>229</v>
      </c>
    </row>
    <row r="15" customFormat="false" ht="19.4" hidden="false" customHeight="false" outlineLevel="0" collapsed="false">
      <c r="A15" s="70" t="s">
        <v>230</v>
      </c>
      <c r="B15" s="71" t="s">
        <v>214</v>
      </c>
      <c r="C15" s="72" t="s">
        <v>227</v>
      </c>
      <c r="D15" s="71" t="s">
        <v>231</v>
      </c>
      <c r="E15" s="71" t="s">
        <v>212</v>
      </c>
      <c r="F15" s="71" t="s">
        <v>217</v>
      </c>
      <c r="G15" s="73" t="s">
        <v>218</v>
      </c>
      <c r="H15" s="74" t="n">
        <f aca="false">ROUND(2.33*(AL_MILL+AL_PC),2)</f>
        <v>43.11</v>
      </c>
      <c r="I15" s="75" t="n">
        <v>0.05</v>
      </c>
      <c r="J15" s="76" t="n">
        <f aca="false">IF(H15="","",ROUND(H15*(1+I15),2))</f>
        <v>45.27</v>
      </c>
      <c r="K15" s="76" t="n">
        <f aca="false">IF(J15="","",ROUND(J15*(1+OHP),2))</f>
        <v>54.32</v>
      </c>
      <c r="L15" s="76" t="n">
        <f aca="false">IF(K15="","",ROUND(K15*(1+VAT),2))</f>
        <v>57.04</v>
      </c>
      <c r="M15" s="73" t="s">
        <v>89</v>
      </c>
      <c r="N15" s="71"/>
      <c r="O15" s="73"/>
      <c r="P15" s="77"/>
      <c r="Q15" s="71"/>
      <c r="R15" s="78" t="s">
        <v>232</v>
      </c>
    </row>
    <row r="16" customFormat="false" ht="19.4" hidden="false" customHeight="false" outlineLevel="0" collapsed="false">
      <c r="A16" s="70" t="s">
        <v>233</v>
      </c>
      <c r="B16" s="71" t="s">
        <v>214</v>
      </c>
      <c r="C16" s="72" t="s">
        <v>227</v>
      </c>
      <c r="D16" s="71" t="s">
        <v>234</v>
      </c>
      <c r="E16" s="71" t="s">
        <v>212</v>
      </c>
      <c r="F16" s="71" t="s">
        <v>217</v>
      </c>
      <c r="G16" s="73" t="s">
        <v>218</v>
      </c>
      <c r="H16" s="74" t="n">
        <f aca="false">ROUND(3.14*(AL_MILL+AL_PC),2)</f>
        <v>58.09</v>
      </c>
      <c r="I16" s="75" t="n">
        <v>0.05</v>
      </c>
      <c r="J16" s="76" t="n">
        <f aca="false">IF(H16="","",ROUND(H16*(1+I16),2))</f>
        <v>60.99</v>
      </c>
      <c r="K16" s="76" t="n">
        <f aca="false">IF(J16="","",ROUND(J16*(1+OHP),2))</f>
        <v>73.19</v>
      </c>
      <c r="L16" s="76" t="n">
        <f aca="false">IF(K16="","",ROUND(K16*(1+VAT),2))</f>
        <v>76.85</v>
      </c>
      <c r="M16" s="73" t="s">
        <v>89</v>
      </c>
      <c r="N16" s="71"/>
      <c r="O16" s="73"/>
      <c r="P16" s="77"/>
      <c r="Q16" s="71"/>
      <c r="R16" s="78" t="s">
        <v>235</v>
      </c>
    </row>
    <row r="17" customFormat="false" ht="19.4" hidden="false" customHeight="false" outlineLevel="0" collapsed="false">
      <c r="A17" s="70" t="s">
        <v>236</v>
      </c>
      <c r="B17" s="71" t="s">
        <v>214</v>
      </c>
      <c r="C17" s="72" t="s">
        <v>227</v>
      </c>
      <c r="D17" s="71" t="s">
        <v>237</v>
      </c>
      <c r="E17" s="71" t="s">
        <v>212</v>
      </c>
      <c r="F17" s="71" t="s">
        <v>217</v>
      </c>
      <c r="G17" s="73" t="s">
        <v>218</v>
      </c>
      <c r="H17" s="74" t="n">
        <f aca="false">ROUND(3.95*(AL_MILL+AL_PC),2)</f>
        <v>73.08</v>
      </c>
      <c r="I17" s="75" t="n">
        <v>0.05</v>
      </c>
      <c r="J17" s="76" t="n">
        <f aca="false">IF(H17="","",ROUND(H17*(1+I17),2))</f>
        <v>76.73</v>
      </c>
      <c r="K17" s="76" t="n">
        <f aca="false">IF(J17="","",ROUND(J17*(1+OHP),2))</f>
        <v>92.08</v>
      </c>
      <c r="L17" s="76" t="n">
        <f aca="false">IF(K17="","",ROUND(K17*(1+VAT),2))</f>
        <v>96.68</v>
      </c>
      <c r="M17" s="73" t="s">
        <v>89</v>
      </c>
      <c r="N17" s="71"/>
      <c r="O17" s="73"/>
      <c r="P17" s="77"/>
      <c r="Q17" s="71"/>
      <c r="R17" s="78" t="s">
        <v>238</v>
      </c>
    </row>
    <row r="18" customFormat="false" ht="19.4" hidden="false" customHeight="false" outlineLevel="0" collapsed="false">
      <c r="A18" s="70" t="s">
        <v>239</v>
      </c>
      <c r="B18" s="71" t="s">
        <v>214</v>
      </c>
      <c r="C18" s="72" t="s">
        <v>240</v>
      </c>
      <c r="D18" s="71" t="s">
        <v>241</v>
      </c>
      <c r="E18" s="71" t="s">
        <v>212</v>
      </c>
      <c r="F18" s="71" t="s">
        <v>217</v>
      </c>
      <c r="G18" s="73" t="s">
        <v>218</v>
      </c>
      <c r="H18" s="74" t="n">
        <f aca="false">ROUND(0.26*(AL_MILL+AL_PC),2)</f>
        <v>4.81</v>
      </c>
      <c r="I18" s="75" t="n">
        <v>0.05</v>
      </c>
      <c r="J18" s="76" t="n">
        <f aca="false">IF(H18="","",ROUND(H18*(1+I18),2))</f>
        <v>5.05</v>
      </c>
      <c r="K18" s="76" t="n">
        <f aca="false">IF(J18="","",ROUND(J18*(1+OHP),2))</f>
        <v>6.06</v>
      </c>
      <c r="L18" s="76" t="n">
        <f aca="false">IF(K18="","",ROUND(K18*(1+VAT),2))</f>
        <v>6.36</v>
      </c>
      <c r="M18" s="73" t="s">
        <v>89</v>
      </c>
      <c r="N18" s="71"/>
      <c r="O18" s="73"/>
      <c r="P18" s="77"/>
      <c r="Q18" s="71"/>
      <c r="R18" s="78" t="s">
        <v>242</v>
      </c>
    </row>
    <row r="19" customFormat="false" ht="19.4" hidden="false" customHeight="false" outlineLevel="0" collapsed="false">
      <c r="A19" s="70" t="s">
        <v>243</v>
      </c>
      <c r="B19" s="71" t="s">
        <v>214</v>
      </c>
      <c r="C19" s="72" t="s">
        <v>240</v>
      </c>
      <c r="D19" s="71" t="s">
        <v>244</v>
      </c>
      <c r="E19" s="71" t="s">
        <v>212</v>
      </c>
      <c r="F19" s="71" t="s">
        <v>217</v>
      </c>
      <c r="G19" s="73" t="s">
        <v>218</v>
      </c>
      <c r="H19" s="74" t="n">
        <f aca="false">ROUND(0.79*(AL_MILL+AL_PC),2)</f>
        <v>14.62</v>
      </c>
      <c r="I19" s="75" t="n">
        <v>0.05</v>
      </c>
      <c r="J19" s="76" t="n">
        <f aca="false">IF(H19="","",ROUND(H19*(1+I19),2))</f>
        <v>15.35</v>
      </c>
      <c r="K19" s="76" t="n">
        <f aca="false">IF(J19="","",ROUND(J19*(1+OHP),2))</f>
        <v>18.42</v>
      </c>
      <c r="L19" s="76" t="n">
        <f aca="false">IF(K19="","",ROUND(K19*(1+VAT),2))</f>
        <v>19.34</v>
      </c>
      <c r="M19" s="73" t="s">
        <v>89</v>
      </c>
      <c r="N19" s="71"/>
      <c r="O19" s="73"/>
      <c r="P19" s="77"/>
      <c r="Q19" s="71"/>
      <c r="R19" s="78" t="s">
        <v>245</v>
      </c>
    </row>
    <row r="20" customFormat="false" ht="15" hidden="false" customHeight="false" outlineLevel="0" collapsed="false">
      <c r="A20" s="70" t="s">
        <v>246</v>
      </c>
      <c r="B20" s="71" t="s">
        <v>214</v>
      </c>
      <c r="C20" s="72" t="s">
        <v>247</v>
      </c>
      <c r="D20" s="71" t="s">
        <v>248</v>
      </c>
      <c r="E20" s="71" t="s">
        <v>212</v>
      </c>
      <c r="F20" s="71" t="s">
        <v>217</v>
      </c>
      <c r="G20" s="73" t="s">
        <v>218</v>
      </c>
      <c r="H20" s="74" t="n">
        <f aca="false">ROUND(0.68*(AL_MILL+AL_PC),2)</f>
        <v>12.58</v>
      </c>
      <c r="I20" s="75" t="n">
        <v>0.05</v>
      </c>
      <c r="J20" s="76" t="n">
        <f aca="false">IF(H20="","",ROUND(H20*(1+I20),2))</f>
        <v>13.21</v>
      </c>
      <c r="K20" s="76" t="n">
        <f aca="false">IF(J20="","",ROUND(J20*(1+OHP),2))</f>
        <v>15.85</v>
      </c>
      <c r="L20" s="76" t="n">
        <f aca="false">IF(K20="","",ROUND(K20*(1+VAT),2))</f>
        <v>16.64</v>
      </c>
      <c r="M20" s="73" t="s">
        <v>89</v>
      </c>
      <c r="N20" s="71"/>
      <c r="O20" s="73"/>
      <c r="P20" s="77"/>
      <c r="Q20" s="71"/>
      <c r="R20" s="78" t="s">
        <v>249</v>
      </c>
    </row>
    <row r="21" customFormat="false" ht="15" hidden="false" customHeight="false" outlineLevel="0" collapsed="false">
      <c r="A21" s="70" t="s">
        <v>250</v>
      </c>
      <c r="B21" s="71" t="s">
        <v>214</v>
      </c>
      <c r="C21" s="72" t="s">
        <v>247</v>
      </c>
      <c r="D21" s="71" t="s">
        <v>251</v>
      </c>
      <c r="E21" s="71" t="s">
        <v>212</v>
      </c>
      <c r="F21" s="71" t="s">
        <v>217</v>
      </c>
      <c r="G21" s="73" t="s">
        <v>218</v>
      </c>
      <c r="H21" s="74" t="n">
        <f aca="false">ROUND(1.62*(AL_MILL+AL_PC),2)</f>
        <v>29.97</v>
      </c>
      <c r="I21" s="75" t="n">
        <v>0.05</v>
      </c>
      <c r="J21" s="76" t="n">
        <f aca="false">IF(H21="","",ROUND(H21*(1+I21),2))</f>
        <v>31.47</v>
      </c>
      <c r="K21" s="76" t="n">
        <f aca="false">IF(J21="","",ROUND(J21*(1+OHP),2))</f>
        <v>37.76</v>
      </c>
      <c r="L21" s="76" t="n">
        <f aca="false">IF(K21="","",ROUND(K21*(1+VAT),2))</f>
        <v>39.65</v>
      </c>
      <c r="M21" s="73" t="s">
        <v>89</v>
      </c>
      <c r="N21" s="71"/>
      <c r="O21" s="73"/>
      <c r="P21" s="77"/>
      <c r="Q21" s="71"/>
      <c r="R21" s="78" t="s">
        <v>252</v>
      </c>
    </row>
    <row r="22" customFormat="false" ht="23.85" hidden="false" customHeight="false" outlineLevel="0" collapsed="false">
      <c r="A22" s="70" t="s">
        <v>253</v>
      </c>
      <c r="B22" s="71" t="s">
        <v>214</v>
      </c>
      <c r="C22" s="72" t="s">
        <v>254</v>
      </c>
      <c r="D22" s="71" t="s">
        <v>255</v>
      </c>
      <c r="E22" s="71" t="s">
        <v>256</v>
      </c>
      <c r="F22" s="71" t="s">
        <v>217</v>
      </c>
      <c r="G22" s="73" t="s">
        <v>218</v>
      </c>
      <c r="H22" s="74" t="n">
        <f aca="false">ROUND(0.45*(AL_MILL+AL_PC),2)</f>
        <v>8.33</v>
      </c>
      <c r="I22" s="75" t="n">
        <v>0.05</v>
      </c>
      <c r="J22" s="76" t="n">
        <f aca="false">IF(H22="","",ROUND(H22*(1+I22),2))</f>
        <v>8.75</v>
      </c>
      <c r="K22" s="76" t="n">
        <f aca="false">IF(J22="","",ROUND(J22*(1+OHP),2))</f>
        <v>10.5</v>
      </c>
      <c r="L22" s="76" t="n">
        <f aca="false">IF(K22="","",ROUND(K22*(1+VAT),2))</f>
        <v>11.03</v>
      </c>
      <c r="M22" s="73" t="s">
        <v>89</v>
      </c>
      <c r="N22" s="71"/>
      <c r="O22" s="73"/>
      <c r="P22" s="77"/>
      <c r="Q22" s="71"/>
      <c r="R22" s="78" t="s">
        <v>257</v>
      </c>
    </row>
    <row r="23" customFormat="false" ht="23.85" hidden="false" customHeight="false" outlineLevel="0" collapsed="false">
      <c r="A23" s="70" t="s">
        <v>258</v>
      </c>
      <c r="B23" s="71" t="s">
        <v>214</v>
      </c>
      <c r="C23" s="72" t="s">
        <v>259</v>
      </c>
      <c r="D23" s="71" t="s">
        <v>260</v>
      </c>
      <c r="E23" s="71" t="s">
        <v>261</v>
      </c>
      <c r="F23" s="71" t="s">
        <v>217</v>
      </c>
      <c r="G23" s="73" t="s">
        <v>218</v>
      </c>
      <c r="H23" s="74" t="n">
        <f aca="false">ROUND(0.9*(AL_MILL+AL_PC),2)</f>
        <v>16.65</v>
      </c>
      <c r="I23" s="75" t="n">
        <v>0.05</v>
      </c>
      <c r="J23" s="76" t="n">
        <f aca="false">IF(H23="","",ROUND(H23*(1+I23),2))</f>
        <v>17.48</v>
      </c>
      <c r="K23" s="76" t="n">
        <f aca="false">IF(J23="","",ROUND(J23*(1+OHP),2))</f>
        <v>20.98</v>
      </c>
      <c r="L23" s="76" t="n">
        <f aca="false">IF(K23="","",ROUND(K23*(1+VAT),2))</f>
        <v>22.03</v>
      </c>
      <c r="M23" s="73" t="s">
        <v>89</v>
      </c>
      <c r="N23" s="71"/>
      <c r="O23" s="73"/>
      <c r="P23" s="77"/>
      <c r="Q23" s="71"/>
      <c r="R23" s="78" t="s">
        <v>262</v>
      </c>
    </row>
    <row r="24" customFormat="false" ht="15" hidden="false" customHeight="false" outlineLevel="0" collapsed="false">
      <c r="A24" s="70" t="s">
        <v>263</v>
      </c>
      <c r="B24" s="71" t="s">
        <v>264</v>
      </c>
      <c r="C24" s="72" t="s">
        <v>265</v>
      </c>
      <c r="D24" s="71" t="s">
        <v>266</v>
      </c>
      <c r="E24" s="71" t="s">
        <v>212</v>
      </c>
      <c r="F24" s="71" t="s">
        <v>197</v>
      </c>
      <c r="G24" s="73" t="s">
        <v>218</v>
      </c>
      <c r="H24" s="74" t="n">
        <f aca="false">ROUND(1.25*(AL_MILL+AL_PC),2)</f>
        <v>23.13</v>
      </c>
      <c r="I24" s="75" t="n">
        <v>0.05</v>
      </c>
      <c r="J24" s="76" t="n">
        <f aca="false">IF(H24="","",ROUND(H24*(1+I24),2))</f>
        <v>24.29</v>
      </c>
      <c r="K24" s="76" t="n">
        <f aca="false">IF(J24="","",ROUND(J24*(1+OHP),2))</f>
        <v>29.15</v>
      </c>
      <c r="L24" s="76" t="n">
        <f aca="false">IF(K24="","",ROUND(K24*(1+VAT),2))</f>
        <v>30.61</v>
      </c>
      <c r="M24" s="73" t="s">
        <v>89</v>
      </c>
      <c r="N24" s="71"/>
      <c r="O24" s="73"/>
      <c r="P24" s="77"/>
      <c r="Q24" s="71"/>
      <c r="R24" s="78" t="s">
        <v>267</v>
      </c>
    </row>
    <row r="25" customFormat="false" ht="15" hidden="false" customHeight="false" outlineLevel="0" collapsed="false">
      <c r="A25" s="70" t="s">
        <v>268</v>
      </c>
      <c r="B25" s="71" t="s">
        <v>264</v>
      </c>
      <c r="C25" s="72" t="s">
        <v>269</v>
      </c>
      <c r="D25" s="71" t="s">
        <v>270</v>
      </c>
      <c r="E25" s="71" t="s">
        <v>212</v>
      </c>
      <c r="F25" s="71" t="s">
        <v>197</v>
      </c>
      <c r="G25" s="73" t="s">
        <v>218</v>
      </c>
      <c r="H25" s="74" t="n">
        <f aca="false">ROUND(1.75*(AL_MILL+AL_PC),2)</f>
        <v>32.38</v>
      </c>
      <c r="I25" s="75" t="n">
        <v>0.05</v>
      </c>
      <c r="J25" s="76" t="n">
        <f aca="false">IF(H25="","",ROUND(H25*(1+I25),2))</f>
        <v>34</v>
      </c>
      <c r="K25" s="76" t="n">
        <f aca="false">IF(J25="","",ROUND(J25*(1+OHP),2))</f>
        <v>40.8</v>
      </c>
      <c r="L25" s="76" t="n">
        <f aca="false">IF(K25="","",ROUND(K25*(1+VAT),2))</f>
        <v>42.84</v>
      </c>
      <c r="M25" s="73" t="s">
        <v>89</v>
      </c>
      <c r="N25" s="71"/>
      <c r="O25" s="73"/>
      <c r="P25" s="77"/>
      <c r="Q25" s="71"/>
      <c r="R25" s="78" t="s">
        <v>267</v>
      </c>
    </row>
    <row r="26" customFormat="false" ht="15" hidden="false" customHeight="false" outlineLevel="0" collapsed="false">
      <c r="A26" s="70" t="s">
        <v>271</v>
      </c>
      <c r="B26" s="71" t="s">
        <v>264</v>
      </c>
      <c r="C26" s="72" t="s">
        <v>272</v>
      </c>
      <c r="D26" s="71" t="s">
        <v>273</v>
      </c>
      <c r="E26" s="71" t="s">
        <v>212</v>
      </c>
      <c r="F26" s="71" t="s">
        <v>197</v>
      </c>
      <c r="G26" s="73" t="s">
        <v>218</v>
      </c>
      <c r="H26" s="74" t="n">
        <f aca="false">ROUND(0.95*(AL_MILL+AL_PC),2)</f>
        <v>17.58</v>
      </c>
      <c r="I26" s="75" t="n">
        <v>0.05</v>
      </c>
      <c r="J26" s="76" t="n">
        <f aca="false">IF(H26="","",ROUND(H26*(1+I26),2))</f>
        <v>18.46</v>
      </c>
      <c r="K26" s="76" t="n">
        <f aca="false">IF(J26="","",ROUND(J26*(1+OHP),2))</f>
        <v>22.15</v>
      </c>
      <c r="L26" s="76" t="n">
        <f aca="false">IF(K26="","",ROUND(K26*(1+VAT),2))</f>
        <v>23.26</v>
      </c>
      <c r="M26" s="73" t="s">
        <v>89</v>
      </c>
      <c r="N26" s="71"/>
      <c r="O26" s="73"/>
      <c r="P26" s="77"/>
      <c r="Q26" s="71"/>
      <c r="R26" s="78" t="s">
        <v>267</v>
      </c>
    </row>
    <row r="27" customFormat="false" ht="15" hidden="false" customHeight="false" outlineLevel="0" collapsed="false">
      <c r="A27" s="70" t="s">
        <v>274</v>
      </c>
      <c r="B27" s="71" t="s">
        <v>264</v>
      </c>
      <c r="C27" s="72" t="s">
        <v>275</v>
      </c>
      <c r="D27" s="71" t="s">
        <v>276</v>
      </c>
      <c r="E27" s="71" t="s">
        <v>212</v>
      </c>
      <c r="F27" s="71" t="s">
        <v>197</v>
      </c>
      <c r="G27" s="73" t="s">
        <v>218</v>
      </c>
      <c r="H27" s="74" t="n">
        <f aca="false">ROUND(0.75*(AL_MILL+AL_PC),2)</f>
        <v>13.88</v>
      </c>
      <c r="I27" s="75" t="n">
        <v>0.05</v>
      </c>
      <c r="J27" s="76" t="n">
        <f aca="false">IF(H27="","",ROUND(H27*(1+I27),2))</f>
        <v>14.57</v>
      </c>
      <c r="K27" s="76" t="n">
        <f aca="false">IF(J27="","",ROUND(J27*(1+OHP),2))</f>
        <v>17.48</v>
      </c>
      <c r="L27" s="76" t="n">
        <f aca="false">IF(K27="","",ROUND(K27*(1+VAT),2))</f>
        <v>18.35</v>
      </c>
      <c r="M27" s="73" t="s">
        <v>89</v>
      </c>
      <c r="N27" s="71"/>
      <c r="O27" s="73"/>
      <c r="P27" s="77"/>
      <c r="Q27" s="71"/>
      <c r="R27" s="78" t="s">
        <v>267</v>
      </c>
    </row>
    <row r="28" customFormat="false" ht="15" hidden="false" customHeight="false" outlineLevel="0" collapsed="false">
      <c r="A28" s="70" t="s">
        <v>277</v>
      </c>
      <c r="B28" s="71" t="s">
        <v>264</v>
      </c>
      <c r="C28" s="72" t="s">
        <v>278</v>
      </c>
      <c r="D28" s="71" t="s">
        <v>279</v>
      </c>
      <c r="E28" s="71" t="s">
        <v>212</v>
      </c>
      <c r="F28" s="71" t="s">
        <v>197</v>
      </c>
      <c r="G28" s="73" t="s">
        <v>218</v>
      </c>
      <c r="H28" s="74" t="n">
        <f aca="false">ROUND(2.4*(AL_MILL+AL_PC+AL_TB),2)</f>
        <v>58.8</v>
      </c>
      <c r="I28" s="75" t="n">
        <v>0.05</v>
      </c>
      <c r="J28" s="76" t="n">
        <f aca="false">IF(H28="","",ROUND(H28*(1+I28),2))</f>
        <v>61.74</v>
      </c>
      <c r="K28" s="76" t="n">
        <f aca="false">IF(J28="","",ROUND(J28*(1+OHP),2))</f>
        <v>74.09</v>
      </c>
      <c r="L28" s="76" t="n">
        <f aca="false">IF(K28="","",ROUND(K28*(1+VAT),2))</f>
        <v>77.79</v>
      </c>
      <c r="M28" s="73" t="s">
        <v>89</v>
      </c>
      <c r="N28" s="71"/>
      <c r="O28" s="73"/>
      <c r="P28" s="77"/>
      <c r="Q28" s="71"/>
      <c r="R28" s="78" t="s">
        <v>267</v>
      </c>
    </row>
    <row r="29" customFormat="false" ht="15" hidden="false" customHeight="false" outlineLevel="0" collapsed="false">
      <c r="A29" s="70" t="s">
        <v>280</v>
      </c>
      <c r="B29" s="71" t="s">
        <v>264</v>
      </c>
      <c r="C29" s="72" t="s">
        <v>281</v>
      </c>
      <c r="D29" s="71" t="s">
        <v>282</v>
      </c>
      <c r="E29" s="71" t="s">
        <v>212</v>
      </c>
      <c r="F29" s="71" t="s">
        <v>197</v>
      </c>
      <c r="G29" s="73" t="s">
        <v>218</v>
      </c>
      <c r="H29" s="74" t="n">
        <f aca="false">ROUND(3.8*(AL_MILL+AL_PC+AL_TB),2)</f>
        <v>93.1</v>
      </c>
      <c r="I29" s="75" t="n">
        <v>0.05</v>
      </c>
      <c r="J29" s="76" t="n">
        <f aca="false">IF(H29="","",ROUND(H29*(1+I29),2))</f>
        <v>97.76</v>
      </c>
      <c r="K29" s="76" t="n">
        <f aca="false">IF(J29="","",ROUND(J29*(1+OHP),2))</f>
        <v>117.31</v>
      </c>
      <c r="L29" s="76" t="n">
        <f aca="false">IF(K29="","",ROUND(K29*(1+VAT),2))</f>
        <v>123.18</v>
      </c>
      <c r="M29" s="73" t="s">
        <v>89</v>
      </c>
      <c r="N29" s="71"/>
      <c r="O29" s="73"/>
      <c r="P29" s="77"/>
      <c r="Q29" s="71"/>
      <c r="R29" s="78" t="s">
        <v>267</v>
      </c>
    </row>
    <row r="30" customFormat="false" ht="23.85" hidden="false" customHeight="false" outlineLevel="0" collapsed="false">
      <c r="A30" s="70" t="s">
        <v>283</v>
      </c>
      <c r="B30" s="71" t="s">
        <v>284</v>
      </c>
      <c r="C30" s="72" t="s">
        <v>285</v>
      </c>
      <c r="D30" s="71" t="s">
        <v>273</v>
      </c>
      <c r="E30" s="71" t="s">
        <v>212</v>
      </c>
      <c r="F30" s="71" t="s">
        <v>197</v>
      </c>
      <c r="G30" s="73" t="s">
        <v>218</v>
      </c>
      <c r="H30" s="74" t="n">
        <f aca="false">ROUND(0.95*(AL_MILL+AL_PC),2)</f>
        <v>17.58</v>
      </c>
      <c r="I30" s="75" t="n">
        <v>0.05</v>
      </c>
      <c r="J30" s="76" t="n">
        <f aca="false">IF(H30="","",ROUND(H30*(1+I30),2))</f>
        <v>18.46</v>
      </c>
      <c r="K30" s="76" t="n">
        <f aca="false">IF(J30="","",ROUND(J30*(1+OHP),2))</f>
        <v>22.15</v>
      </c>
      <c r="L30" s="76" t="n">
        <f aca="false">IF(K30="","",ROUND(K30*(1+VAT),2))</f>
        <v>23.26</v>
      </c>
      <c r="M30" s="73" t="s">
        <v>89</v>
      </c>
      <c r="N30" s="71"/>
      <c r="O30" s="73"/>
      <c r="P30" s="77"/>
      <c r="Q30" s="71"/>
      <c r="R30" s="78" t="s">
        <v>267</v>
      </c>
    </row>
    <row r="31" customFormat="false" ht="23.85" hidden="false" customHeight="false" outlineLevel="0" collapsed="false">
      <c r="A31" s="70" t="s">
        <v>286</v>
      </c>
      <c r="B31" s="71" t="s">
        <v>284</v>
      </c>
      <c r="C31" s="72" t="s">
        <v>287</v>
      </c>
      <c r="D31" s="71" t="s">
        <v>288</v>
      </c>
      <c r="E31" s="71" t="s">
        <v>212</v>
      </c>
      <c r="F31" s="71" t="s">
        <v>197</v>
      </c>
      <c r="G31" s="73" t="s">
        <v>218</v>
      </c>
      <c r="H31" s="74" t="n">
        <f aca="false">ROUND(1.05*(AL_MILL+AL_PC),2)</f>
        <v>19.43</v>
      </c>
      <c r="I31" s="75" t="n">
        <v>0.05</v>
      </c>
      <c r="J31" s="76" t="n">
        <f aca="false">IF(H31="","",ROUND(H31*(1+I31),2))</f>
        <v>20.4</v>
      </c>
      <c r="K31" s="76" t="n">
        <f aca="false">IF(J31="","",ROUND(J31*(1+OHP),2))</f>
        <v>24.48</v>
      </c>
      <c r="L31" s="76" t="n">
        <f aca="false">IF(K31="","",ROUND(K31*(1+VAT),2))</f>
        <v>25.7</v>
      </c>
      <c r="M31" s="73" t="s">
        <v>89</v>
      </c>
      <c r="N31" s="71"/>
      <c r="O31" s="73"/>
      <c r="P31" s="77"/>
      <c r="Q31" s="71"/>
      <c r="R31" s="78" t="s">
        <v>267</v>
      </c>
    </row>
    <row r="32" customFormat="false" ht="23.85" hidden="false" customHeight="false" outlineLevel="0" collapsed="false">
      <c r="A32" s="70" t="s">
        <v>289</v>
      </c>
      <c r="B32" s="71" t="s">
        <v>284</v>
      </c>
      <c r="C32" s="72" t="s">
        <v>290</v>
      </c>
      <c r="D32" s="71" t="s">
        <v>291</v>
      </c>
      <c r="E32" s="71" t="s">
        <v>212</v>
      </c>
      <c r="F32" s="71" t="s">
        <v>197</v>
      </c>
      <c r="G32" s="73" t="s">
        <v>218</v>
      </c>
      <c r="H32" s="74" t="n">
        <f aca="false">ROUND(1.3*(AL_MILL+AL_PC),2)</f>
        <v>24.05</v>
      </c>
      <c r="I32" s="75" t="n">
        <v>0.05</v>
      </c>
      <c r="J32" s="76" t="n">
        <f aca="false">IF(H32="","",ROUND(H32*(1+I32),2))</f>
        <v>25.25</v>
      </c>
      <c r="K32" s="76" t="n">
        <f aca="false">IF(J32="","",ROUND(J32*(1+OHP),2))</f>
        <v>30.3</v>
      </c>
      <c r="L32" s="76" t="n">
        <f aca="false">IF(K32="","",ROUND(K32*(1+VAT),2))</f>
        <v>31.82</v>
      </c>
      <c r="M32" s="73" t="s">
        <v>89</v>
      </c>
      <c r="N32" s="71"/>
      <c r="O32" s="73"/>
      <c r="P32" s="77"/>
      <c r="Q32" s="71"/>
      <c r="R32" s="78" t="s">
        <v>267</v>
      </c>
    </row>
    <row r="33" customFormat="false" ht="23.85" hidden="false" customHeight="false" outlineLevel="0" collapsed="false">
      <c r="A33" s="70" t="s">
        <v>292</v>
      </c>
      <c r="B33" s="71" t="s">
        <v>284</v>
      </c>
      <c r="C33" s="72" t="s">
        <v>293</v>
      </c>
      <c r="D33" s="71" t="s">
        <v>294</v>
      </c>
      <c r="E33" s="71" t="s">
        <v>212</v>
      </c>
      <c r="F33" s="71" t="s">
        <v>197</v>
      </c>
      <c r="G33" s="73" t="s">
        <v>218</v>
      </c>
      <c r="H33" s="74" t="n">
        <f aca="false">ROUND(1.5*(AL_MILL+AL_PC+AL_TB),2)</f>
        <v>36.75</v>
      </c>
      <c r="I33" s="75" t="n">
        <v>0.05</v>
      </c>
      <c r="J33" s="76" t="n">
        <f aca="false">IF(H33="","",ROUND(H33*(1+I33),2))</f>
        <v>38.59</v>
      </c>
      <c r="K33" s="76" t="n">
        <f aca="false">IF(J33="","",ROUND(J33*(1+OHP),2))</f>
        <v>46.31</v>
      </c>
      <c r="L33" s="76" t="n">
        <f aca="false">IF(K33="","",ROUND(K33*(1+VAT),2))</f>
        <v>48.63</v>
      </c>
      <c r="M33" s="73" t="s">
        <v>89</v>
      </c>
      <c r="N33" s="71"/>
      <c r="O33" s="73"/>
      <c r="P33" s="77"/>
      <c r="Q33" s="71"/>
      <c r="R33" s="78" t="s">
        <v>267</v>
      </c>
    </row>
    <row r="34" customFormat="false" ht="23.85" hidden="false" customHeight="false" outlineLevel="0" collapsed="false">
      <c r="A34" s="70" t="s">
        <v>295</v>
      </c>
      <c r="B34" s="71" t="s">
        <v>284</v>
      </c>
      <c r="C34" s="72" t="s">
        <v>296</v>
      </c>
      <c r="D34" s="71" t="s">
        <v>297</v>
      </c>
      <c r="E34" s="71" t="s">
        <v>212</v>
      </c>
      <c r="F34" s="71" t="s">
        <v>197</v>
      </c>
      <c r="G34" s="73" t="s">
        <v>218</v>
      </c>
      <c r="H34" s="74" t="n">
        <f aca="false">ROUND(1.6*(AL_MILL+AL_PC),2)</f>
        <v>29.6</v>
      </c>
      <c r="I34" s="75" t="n">
        <v>0.05</v>
      </c>
      <c r="J34" s="76" t="n">
        <f aca="false">IF(H34="","",ROUND(H34*(1+I34),2))</f>
        <v>31.08</v>
      </c>
      <c r="K34" s="76" t="n">
        <f aca="false">IF(J34="","",ROUND(J34*(1+OHP),2))</f>
        <v>37.3</v>
      </c>
      <c r="L34" s="76" t="n">
        <f aca="false">IF(K34="","",ROUND(K34*(1+VAT),2))</f>
        <v>39.17</v>
      </c>
      <c r="M34" s="73" t="s">
        <v>89</v>
      </c>
      <c r="N34" s="71"/>
      <c r="O34" s="73"/>
      <c r="P34" s="77"/>
      <c r="Q34" s="71"/>
      <c r="R34" s="78" t="s">
        <v>267</v>
      </c>
    </row>
    <row r="35" customFormat="false" ht="23.85" hidden="false" customHeight="false" outlineLevel="0" collapsed="false">
      <c r="A35" s="70" t="s">
        <v>298</v>
      </c>
      <c r="B35" s="71" t="s">
        <v>284</v>
      </c>
      <c r="C35" s="72" t="s">
        <v>299</v>
      </c>
      <c r="D35" s="71" t="s">
        <v>300</v>
      </c>
      <c r="E35" s="71" t="s">
        <v>212</v>
      </c>
      <c r="F35" s="71" t="s">
        <v>197</v>
      </c>
      <c r="G35" s="73" t="s">
        <v>218</v>
      </c>
      <c r="H35" s="74" t="n">
        <f aca="false">ROUND(2.1*(AL_MILL+AL_PC),2)</f>
        <v>38.85</v>
      </c>
      <c r="I35" s="75" t="n">
        <v>0.05</v>
      </c>
      <c r="J35" s="76" t="n">
        <f aca="false">IF(H35="","",ROUND(H35*(1+I35),2))</f>
        <v>40.79</v>
      </c>
      <c r="K35" s="76" t="n">
        <f aca="false">IF(J35="","",ROUND(J35*(1+OHP),2))</f>
        <v>48.95</v>
      </c>
      <c r="L35" s="76" t="n">
        <f aca="false">IF(K35="","",ROUND(K35*(1+VAT),2))</f>
        <v>51.4</v>
      </c>
      <c r="M35" s="73" t="s">
        <v>89</v>
      </c>
      <c r="N35" s="71"/>
      <c r="O35" s="73"/>
      <c r="P35" s="77"/>
      <c r="Q35" s="71"/>
      <c r="R35" s="78" t="s">
        <v>267</v>
      </c>
    </row>
    <row r="36" customFormat="false" ht="23.85" hidden="false" customHeight="false" outlineLevel="0" collapsed="false">
      <c r="A36" s="70" t="s">
        <v>301</v>
      </c>
      <c r="B36" s="71" t="s">
        <v>284</v>
      </c>
      <c r="C36" s="72" t="s">
        <v>302</v>
      </c>
      <c r="D36" s="71" t="s">
        <v>303</v>
      </c>
      <c r="E36" s="71" t="s">
        <v>212</v>
      </c>
      <c r="F36" s="71" t="s">
        <v>197</v>
      </c>
      <c r="G36" s="73" t="s">
        <v>218</v>
      </c>
      <c r="H36" s="74" t="n">
        <f aca="false">ROUND(2.8*(AL_MILL+AL_PC),2)</f>
        <v>51.8</v>
      </c>
      <c r="I36" s="75" t="n">
        <v>0.05</v>
      </c>
      <c r="J36" s="76" t="n">
        <f aca="false">IF(H36="","",ROUND(H36*(1+I36),2))</f>
        <v>54.39</v>
      </c>
      <c r="K36" s="76" t="n">
        <f aca="false">IF(J36="","",ROUND(J36*(1+OHP),2))</f>
        <v>65.27</v>
      </c>
      <c r="L36" s="76" t="n">
        <f aca="false">IF(K36="","",ROUND(K36*(1+VAT),2))</f>
        <v>68.53</v>
      </c>
      <c r="M36" s="73" t="s">
        <v>89</v>
      </c>
      <c r="N36" s="71"/>
      <c r="O36" s="73"/>
      <c r="P36" s="77"/>
      <c r="Q36" s="71"/>
      <c r="R36" s="78" t="s">
        <v>267</v>
      </c>
    </row>
    <row r="37" customFormat="false" ht="23.85" hidden="false" customHeight="false" outlineLevel="0" collapsed="false">
      <c r="A37" s="70" t="s">
        <v>304</v>
      </c>
      <c r="B37" s="71" t="s">
        <v>284</v>
      </c>
      <c r="C37" s="72" t="s">
        <v>305</v>
      </c>
      <c r="D37" s="71" t="s">
        <v>306</v>
      </c>
      <c r="E37" s="71" t="s">
        <v>212</v>
      </c>
      <c r="F37" s="71" t="s">
        <v>197</v>
      </c>
      <c r="G37" s="73" t="s">
        <v>218</v>
      </c>
      <c r="H37" s="74" t="n">
        <f aca="false">ROUND(0.25*(AL_MILL+AL_PC),2)</f>
        <v>4.63</v>
      </c>
      <c r="I37" s="75" t="n">
        <v>0.05</v>
      </c>
      <c r="J37" s="76" t="n">
        <f aca="false">IF(H37="","",ROUND(H37*(1+I37),2))</f>
        <v>4.86</v>
      </c>
      <c r="K37" s="76" t="n">
        <f aca="false">IF(J37="","",ROUND(J37*(1+OHP),2))</f>
        <v>5.83</v>
      </c>
      <c r="L37" s="76" t="n">
        <f aca="false">IF(K37="","",ROUND(K37*(1+VAT),2))</f>
        <v>6.12</v>
      </c>
      <c r="M37" s="73" t="s">
        <v>89</v>
      </c>
      <c r="N37" s="71"/>
      <c r="O37" s="73"/>
      <c r="P37" s="77"/>
      <c r="Q37" s="71"/>
      <c r="R37" s="78" t="s">
        <v>267</v>
      </c>
    </row>
    <row r="38" customFormat="false" ht="15" hidden="false" customHeight="false" outlineLevel="0" collapsed="false">
      <c r="A38" s="70" t="s">
        <v>307</v>
      </c>
      <c r="B38" s="71" t="s">
        <v>308</v>
      </c>
      <c r="C38" s="72" t="s">
        <v>309</v>
      </c>
      <c r="D38" s="71" t="s">
        <v>310</v>
      </c>
      <c r="E38" s="71" t="s">
        <v>212</v>
      </c>
      <c r="F38" s="71" t="s">
        <v>197</v>
      </c>
      <c r="G38" s="73" t="s">
        <v>218</v>
      </c>
      <c r="H38" s="74" t="n">
        <f aca="false">ROUND(3.8*(AL_MILL+AL_PC),2)</f>
        <v>70.3</v>
      </c>
      <c r="I38" s="75" t="n">
        <v>0.05</v>
      </c>
      <c r="J38" s="76" t="n">
        <f aca="false">IF(H38="","",ROUND(H38*(1+I38),2))</f>
        <v>73.82</v>
      </c>
      <c r="K38" s="76" t="n">
        <f aca="false">IF(J38="","",ROUND(J38*(1+OHP),2))</f>
        <v>88.58</v>
      </c>
      <c r="L38" s="76" t="n">
        <f aca="false">IF(K38="","",ROUND(K38*(1+VAT),2))</f>
        <v>93.01</v>
      </c>
      <c r="M38" s="73" t="s">
        <v>89</v>
      </c>
      <c r="N38" s="71"/>
      <c r="O38" s="73"/>
      <c r="P38" s="77"/>
      <c r="Q38" s="71"/>
      <c r="R38" s="78" t="s">
        <v>311</v>
      </c>
    </row>
    <row r="39" customFormat="false" ht="15" hidden="false" customHeight="false" outlineLevel="0" collapsed="false">
      <c r="A39" s="70" t="s">
        <v>312</v>
      </c>
      <c r="B39" s="71" t="s">
        <v>308</v>
      </c>
      <c r="C39" s="72" t="s">
        <v>313</v>
      </c>
      <c r="D39" s="71" t="s">
        <v>314</v>
      </c>
      <c r="E39" s="71" t="s">
        <v>212</v>
      </c>
      <c r="F39" s="71" t="s">
        <v>197</v>
      </c>
      <c r="G39" s="73" t="s">
        <v>218</v>
      </c>
      <c r="H39" s="74" t="n">
        <f aca="false">ROUND(4.6*(AL_MILL+AL_PC),2)</f>
        <v>85.1</v>
      </c>
      <c r="I39" s="75" t="n">
        <v>0.05</v>
      </c>
      <c r="J39" s="76" t="n">
        <f aca="false">IF(H39="","",ROUND(H39*(1+I39),2))</f>
        <v>89.36</v>
      </c>
      <c r="K39" s="76" t="n">
        <f aca="false">IF(J39="","",ROUND(J39*(1+OHP),2))</f>
        <v>107.23</v>
      </c>
      <c r="L39" s="76" t="n">
        <f aca="false">IF(K39="","",ROUND(K39*(1+VAT),2))</f>
        <v>112.59</v>
      </c>
      <c r="M39" s="73" t="s">
        <v>89</v>
      </c>
      <c r="N39" s="71"/>
      <c r="O39" s="73"/>
      <c r="P39" s="77"/>
      <c r="Q39" s="71"/>
      <c r="R39" s="78" t="s">
        <v>315</v>
      </c>
    </row>
    <row r="40" customFormat="false" ht="15" hidden="false" customHeight="false" outlineLevel="0" collapsed="false">
      <c r="A40" s="70" t="s">
        <v>316</v>
      </c>
      <c r="B40" s="71" t="s">
        <v>308</v>
      </c>
      <c r="C40" s="72" t="s">
        <v>317</v>
      </c>
      <c r="D40" s="71" t="s">
        <v>318</v>
      </c>
      <c r="E40" s="71" t="s">
        <v>212</v>
      </c>
      <c r="F40" s="71" t="s">
        <v>197</v>
      </c>
      <c r="G40" s="73" t="s">
        <v>218</v>
      </c>
      <c r="H40" s="74" t="n">
        <f aca="false">ROUND(5.4*(AL_MILL+AL_PC),2)</f>
        <v>99.9</v>
      </c>
      <c r="I40" s="75" t="n">
        <v>0.05</v>
      </c>
      <c r="J40" s="76" t="n">
        <f aca="false">IF(H40="","",ROUND(H40*(1+I40),2))</f>
        <v>104.9</v>
      </c>
      <c r="K40" s="76" t="n">
        <f aca="false">IF(J40="","",ROUND(J40*(1+OHP),2))</f>
        <v>125.88</v>
      </c>
      <c r="L40" s="76" t="n">
        <f aca="false">IF(K40="","",ROUND(K40*(1+VAT),2))</f>
        <v>132.17</v>
      </c>
      <c r="M40" s="73" t="s">
        <v>89</v>
      </c>
      <c r="N40" s="71"/>
      <c r="O40" s="73"/>
      <c r="P40" s="77"/>
      <c r="Q40" s="71"/>
      <c r="R40" s="78" t="s">
        <v>319</v>
      </c>
    </row>
    <row r="41" customFormat="false" ht="15" hidden="false" customHeight="false" outlineLevel="0" collapsed="false">
      <c r="A41" s="70" t="s">
        <v>320</v>
      </c>
      <c r="B41" s="71" t="s">
        <v>308</v>
      </c>
      <c r="C41" s="72" t="s">
        <v>321</v>
      </c>
      <c r="D41" s="71" t="s">
        <v>279</v>
      </c>
      <c r="E41" s="71" t="s">
        <v>212</v>
      </c>
      <c r="F41" s="71" t="s">
        <v>197</v>
      </c>
      <c r="G41" s="73" t="s">
        <v>218</v>
      </c>
      <c r="H41" s="74" t="n">
        <f aca="false">ROUND(2.4*(AL_MILL+AL_PC),2)</f>
        <v>44.4</v>
      </c>
      <c r="I41" s="75" t="n">
        <v>0.05</v>
      </c>
      <c r="J41" s="76" t="n">
        <f aca="false">IF(H41="","",ROUND(H41*(1+I41),2))</f>
        <v>46.62</v>
      </c>
      <c r="K41" s="76" t="n">
        <f aca="false">IF(J41="","",ROUND(J41*(1+OHP),2))</f>
        <v>55.94</v>
      </c>
      <c r="L41" s="76" t="n">
        <f aca="false">IF(K41="","",ROUND(K41*(1+VAT),2))</f>
        <v>58.74</v>
      </c>
      <c r="M41" s="73" t="s">
        <v>89</v>
      </c>
      <c r="N41" s="71"/>
      <c r="O41" s="73"/>
      <c r="P41" s="77"/>
      <c r="Q41" s="71"/>
      <c r="R41" s="78" t="s">
        <v>322</v>
      </c>
    </row>
    <row r="42" customFormat="false" ht="15" hidden="false" customHeight="false" outlineLevel="0" collapsed="false">
      <c r="A42" s="70" t="s">
        <v>323</v>
      </c>
      <c r="B42" s="71" t="s">
        <v>308</v>
      </c>
      <c r="C42" s="72" t="s">
        <v>324</v>
      </c>
      <c r="D42" s="71" t="s">
        <v>325</v>
      </c>
      <c r="E42" s="71" t="s">
        <v>196</v>
      </c>
      <c r="F42" s="71" t="s">
        <v>197</v>
      </c>
      <c r="G42" s="73" t="s">
        <v>218</v>
      </c>
      <c r="H42" s="74" t="n">
        <f aca="false">ROUND(0.55*AL_MILL,2)</f>
        <v>8.53</v>
      </c>
      <c r="I42" s="75" t="n">
        <v>0.05</v>
      </c>
      <c r="J42" s="76" t="n">
        <f aca="false">IF(H42="","",ROUND(H42*(1+I42),2))</f>
        <v>8.96</v>
      </c>
      <c r="K42" s="76" t="n">
        <f aca="false">IF(J42="","",ROUND(J42*(1+OHP),2))</f>
        <v>10.75</v>
      </c>
      <c r="L42" s="76" t="n">
        <f aca="false">IF(K42="","",ROUND(K42*(1+VAT),2))</f>
        <v>11.29</v>
      </c>
      <c r="M42" s="73" t="s">
        <v>89</v>
      </c>
      <c r="N42" s="71"/>
      <c r="O42" s="73"/>
      <c r="P42" s="77"/>
      <c r="Q42" s="71"/>
      <c r="R42" s="78"/>
    </row>
    <row r="43" customFormat="false" ht="15" hidden="false" customHeight="false" outlineLevel="0" collapsed="false">
      <c r="A43" s="70" t="s">
        <v>326</v>
      </c>
      <c r="B43" s="71" t="s">
        <v>308</v>
      </c>
      <c r="C43" s="72" t="s">
        <v>327</v>
      </c>
      <c r="D43" s="71" t="s">
        <v>328</v>
      </c>
      <c r="E43" s="71" t="s">
        <v>329</v>
      </c>
      <c r="F43" s="71" t="s">
        <v>197</v>
      </c>
      <c r="G43" s="73" t="s">
        <v>218</v>
      </c>
      <c r="H43" s="74" t="n">
        <f aca="false">ROUND(0.45*(AL_MILL+AL_PC),2)</f>
        <v>8.33</v>
      </c>
      <c r="I43" s="75" t="n">
        <v>0.05</v>
      </c>
      <c r="J43" s="76" t="n">
        <f aca="false">IF(H43="","",ROUND(H43*(1+I43),2))</f>
        <v>8.75</v>
      </c>
      <c r="K43" s="76" t="n">
        <f aca="false">IF(J43="","",ROUND(J43*(1+OHP),2))</f>
        <v>10.5</v>
      </c>
      <c r="L43" s="76" t="n">
        <f aca="false">IF(K43="","",ROUND(K43*(1+VAT),2))</f>
        <v>11.03</v>
      </c>
      <c r="M43" s="73" t="s">
        <v>89</v>
      </c>
      <c r="N43" s="71"/>
      <c r="O43" s="73"/>
      <c r="P43" s="77"/>
      <c r="Q43" s="71"/>
      <c r="R43" s="78" t="s">
        <v>267</v>
      </c>
    </row>
    <row r="44" customFormat="false" ht="15" hidden="false" customHeight="false" outlineLevel="0" collapsed="false">
      <c r="A44" s="70" t="s">
        <v>330</v>
      </c>
      <c r="B44" s="71" t="s">
        <v>308</v>
      </c>
      <c r="C44" s="72" t="s">
        <v>331</v>
      </c>
      <c r="D44" s="71" t="s">
        <v>332</v>
      </c>
      <c r="E44" s="71" t="s">
        <v>333</v>
      </c>
      <c r="F44" s="71" t="s">
        <v>197</v>
      </c>
      <c r="G44" s="73" t="s">
        <v>218</v>
      </c>
      <c r="H44" s="74" t="n">
        <f aca="false">ROUND(4.8*(AL_MILL+AL_PVDF),2)</f>
        <v>115.2</v>
      </c>
      <c r="I44" s="75" t="n">
        <v>0.05</v>
      </c>
      <c r="J44" s="76" t="n">
        <f aca="false">IF(H44="","",ROUND(H44*(1+I44),2))</f>
        <v>120.96</v>
      </c>
      <c r="K44" s="76" t="n">
        <f aca="false">IF(J44="","",ROUND(J44*(1+OHP),2))</f>
        <v>145.15</v>
      </c>
      <c r="L44" s="76" t="n">
        <f aca="false">IF(K44="","",ROUND(K44*(1+VAT),2))</f>
        <v>152.41</v>
      </c>
      <c r="M44" s="73" t="s">
        <v>89</v>
      </c>
      <c r="N44" s="71"/>
      <c r="O44" s="73"/>
      <c r="P44" s="77"/>
      <c r="Q44" s="71"/>
      <c r="R44" s="78"/>
    </row>
    <row r="45" customFormat="false" ht="15" hidden="false" customHeight="false" outlineLevel="0" collapsed="false">
      <c r="A45" s="70" t="s">
        <v>334</v>
      </c>
      <c r="B45" s="71" t="s">
        <v>308</v>
      </c>
      <c r="C45" s="72" t="s">
        <v>335</v>
      </c>
      <c r="D45" s="71" t="s">
        <v>336</v>
      </c>
      <c r="E45" s="71" t="s">
        <v>196</v>
      </c>
      <c r="F45" s="71" t="s">
        <v>197</v>
      </c>
      <c r="G45" s="73" t="s">
        <v>218</v>
      </c>
      <c r="H45" s="74" t="n">
        <f aca="false">ROUND(0.85*AL_MILL,2)</f>
        <v>13.18</v>
      </c>
      <c r="I45" s="75" t="n">
        <v>0.05</v>
      </c>
      <c r="J45" s="76" t="n">
        <f aca="false">IF(H45="","",ROUND(H45*(1+I45),2))</f>
        <v>13.84</v>
      </c>
      <c r="K45" s="76" t="n">
        <f aca="false">IF(J45="","",ROUND(J45*(1+OHP),2))</f>
        <v>16.61</v>
      </c>
      <c r="L45" s="76" t="n">
        <f aca="false">IF(K45="","",ROUND(K45*(1+VAT),2))</f>
        <v>17.44</v>
      </c>
      <c r="M45" s="73" t="s">
        <v>89</v>
      </c>
      <c r="N45" s="71"/>
      <c r="O45" s="73"/>
      <c r="P45" s="77"/>
      <c r="Q45" s="71"/>
      <c r="R45" s="78"/>
    </row>
    <row r="46" customFormat="false" ht="23.85" hidden="false" customHeight="false" outlineLevel="0" collapsed="false">
      <c r="A46" s="70" t="s">
        <v>337</v>
      </c>
      <c r="B46" s="71" t="s">
        <v>338</v>
      </c>
      <c r="C46" s="72" t="s">
        <v>339</v>
      </c>
      <c r="D46" s="71" t="s">
        <v>340</v>
      </c>
      <c r="E46" s="71" t="s">
        <v>341</v>
      </c>
      <c r="F46" s="71" t="s">
        <v>217</v>
      </c>
      <c r="G46" s="73" t="s">
        <v>218</v>
      </c>
      <c r="H46" s="74" t="n">
        <f aca="false">ROUND(3.14*(AL_MILL+AL_PC),2)</f>
        <v>58.09</v>
      </c>
      <c r="I46" s="75" t="n">
        <v>0.05</v>
      </c>
      <c r="J46" s="76" t="n">
        <f aca="false">IF(H46="","",ROUND(H46*(1+I46),2))</f>
        <v>60.99</v>
      </c>
      <c r="K46" s="76" t="n">
        <f aca="false">IF(J46="","",ROUND(J46*(1+OHP),2))</f>
        <v>73.19</v>
      </c>
      <c r="L46" s="76" t="n">
        <f aca="false">IF(K46="","",ROUND(K46*(1+VAT),2))</f>
        <v>76.85</v>
      </c>
      <c r="M46" s="73" t="s">
        <v>89</v>
      </c>
      <c r="N46" s="71"/>
      <c r="O46" s="73"/>
      <c r="P46" s="77"/>
      <c r="Q46" s="71"/>
      <c r="R46" s="78" t="s">
        <v>342</v>
      </c>
    </row>
    <row r="47" customFormat="false" ht="23.85" hidden="false" customHeight="false" outlineLevel="0" collapsed="false">
      <c r="A47" s="70" t="s">
        <v>343</v>
      </c>
      <c r="B47" s="71" t="s">
        <v>338</v>
      </c>
      <c r="C47" s="72" t="s">
        <v>344</v>
      </c>
      <c r="D47" s="71" t="s">
        <v>228</v>
      </c>
      <c r="E47" s="71" t="s">
        <v>341</v>
      </c>
      <c r="F47" s="71" t="s">
        <v>217</v>
      </c>
      <c r="G47" s="73" t="s">
        <v>218</v>
      </c>
      <c r="H47" s="74" t="n">
        <f aca="false">ROUND(1.96*(AL_MILL+AL_PC),2)</f>
        <v>36.26</v>
      </c>
      <c r="I47" s="75" t="n">
        <v>0.05</v>
      </c>
      <c r="J47" s="76" t="n">
        <f aca="false">IF(H47="","",ROUND(H47*(1+I47),2))</f>
        <v>38.07</v>
      </c>
      <c r="K47" s="76" t="n">
        <f aca="false">IF(J47="","",ROUND(J47*(1+OHP),2))</f>
        <v>45.68</v>
      </c>
      <c r="L47" s="76" t="n">
        <f aca="false">IF(K47="","",ROUND(K47*(1+VAT),2))</f>
        <v>47.96</v>
      </c>
      <c r="M47" s="73" t="s">
        <v>89</v>
      </c>
      <c r="N47" s="71"/>
      <c r="O47" s="73"/>
      <c r="P47" s="77"/>
      <c r="Q47" s="71"/>
      <c r="R47" s="78" t="s">
        <v>345</v>
      </c>
    </row>
    <row r="48" customFormat="false" ht="15" hidden="false" customHeight="false" outlineLevel="0" collapsed="false">
      <c r="A48" s="70" t="s">
        <v>346</v>
      </c>
      <c r="B48" s="71" t="s">
        <v>338</v>
      </c>
      <c r="C48" s="72" t="s">
        <v>347</v>
      </c>
      <c r="D48" s="71" t="s">
        <v>348</v>
      </c>
      <c r="E48" s="71" t="s">
        <v>212</v>
      </c>
      <c r="F48" s="71" t="s">
        <v>349</v>
      </c>
      <c r="G48" s="73" t="s">
        <v>218</v>
      </c>
      <c r="H48" s="74" t="n">
        <f aca="false">ROUND(2.6*(AL_MILL+AL_PC),2)</f>
        <v>48.1</v>
      </c>
      <c r="I48" s="75" t="n">
        <v>0.05</v>
      </c>
      <c r="J48" s="76" t="n">
        <f aca="false">IF(H48="","",ROUND(H48*(1+I48),2))</f>
        <v>50.51</v>
      </c>
      <c r="K48" s="76" t="n">
        <f aca="false">IF(J48="","",ROUND(J48*(1+OHP),2))</f>
        <v>60.61</v>
      </c>
      <c r="L48" s="76" t="n">
        <f aca="false">IF(K48="","",ROUND(K48*(1+VAT),2))</f>
        <v>63.64</v>
      </c>
      <c r="M48" s="73" t="s">
        <v>89</v>
      </c>
      <c r="N48" s="71"/>
      <c r="O48" s="73"/>
      <c r="P48" s="77"/>
      <c r="Q48" s="71"/>
      <c r="R48" s="78" t="s">
        <v>350</v>
      </c>
    </row>
    <row r="49" customFormat="false" ht="15" hidden="false" customHeight="false" outlineLevel="0" collapsed="false">
      <c r="A49" s="70" t="s">
        <v>351</v>
      </c>
      <c r="B49" s="71" t="s">
        <v>338</v>
      </c>
      <c r="C49" s="72" t="s">
        <v>352</v>
      </c>
      <c r="D49" s="71" t="s">
        <v>336</v>
      </c>
      <c r="E49" s="71" t="s">
        <v>212</v>
      </c>
      <c r="F49" s="71" t="s">
        <v>217</v>
      </c>
      <c r="G49" s="73" t="s">
        <v>218</v>
      </c>
      <c r="H49" s="74" t="n">
        <f aca="false">ROUND(0.85*(AL_MILL+AL_PC),2)</f>
        <v>15.73</v>
      </c>
      <c r="I49" s="75" t="n">
        <v>0.05</v>
      </c>
      <c r="J49" s="76" t="n">
        <f aca="false">IF(H49="","",ROUND(H49*(1+I49),2))</f>
        <v>16.52</v>
      </c>
      <c r="K49" s="76" t="n">
        <f aca="false">IF(J49="","",ROUND(J49*(1+OHP),2))</f>
        <v>19.82</v>
      </c>
      <c r="L49" s="76" t="n">
        <f aca="false">IF(K49="","",ROUND(K49*(1+VAT),2))</f>
        <v>20.81</v>
      </c>
      <c r="M49" s="73" t="s">
        <v>89</v>
      </c>
      <c r="N49" s="71"/>
      <c r="O49" s="73"/>
      <c r="P49" s="77"/>
      <c r="Q49" s="71"/>
      <c r="R49" s="78" t="s">
        <v>353</v>
      </c>
    </row>
    <row r="50" customFormat="false" ht="15" hidden="false" customHeight="false" outlineLevel="0" collapsed="false">
      <c r="A50" s="70" t="s">
        <v>354</v>
      </c>
      <c r="B50" s="71" t="s">
        <v>338</v>
      </c>
      <c r="C50" s="72" t="s">
        <v>355</v>
      </c>
      <c r="D50" s="71" t="s">
        <v>356</v>
      </c>
      <c r="E50" s="71" t="s">
        <v>212</v>
      </c>
      <c r="F50" s="71" t="s">
        <v>217</v>
      </c>
      <c r="G50" s="73" t="s">
        <v>218</v>
      </c>
      <c r="H50" s="74" t="n">
        <f aca="false">ROUND(2.3*(AL_MILL+AL_PC),2)</f>
        <v>42.55</v>
      </c>
      <c r="I50" s="75" t="n">
        <v>0.05</v>
      </c>
      <c r="J50" s="76" t="n">
        <f aca="false">IF(H50="","",ROUND(H50*(1+I50),2))</f>
        <v>44.68</v>
      </c>
      <c r="K50" s="76" t="n">
        <f aca="false">IF(J50="","",ROUND(J50*(1+OHP),2))</f>
        <v>53.62</v>
      </c>
      <c r="L50" s="76" t="n">
        <f aca="false">IF(K50="","",ROUND(K50*(1+VAT),2))</f>
        <v>56.3</v>
      </c>
      <c r="M50" s="73" t="s">
        <v>89</v>
      </c>
      <c r="N50" s="71"/>
      <c r="O50" s="73"/>
      <c r="P50" s="77"/>
      <c r="Q50" s="71"/>
      <c r="R50" s="78" t="s">
        <v>357</v>
      </c>
    </row>
    <row r="51" customFormat="false" ht="15" hidden="false" customHeight="false" outlineLevel="0" collapsed="false">
      <c r="A51" s="70" t="s">
        <v>358</v>
      </c>
      <c r="B51" s="71" t="s">
        <v>338</v>
      </c>
      <c r="C51" s="72" t="s">
        <v>359</v>
      </c>
      <c r="D51" s="71" t="s">
        <v>360</v>
      </c>
      <c r="E51" s="71" t="s">
        <v>212</v>
      </c>
      <c r="F51" s="71" t="s">
        <v>197</v>
      </c>
      <c r="G51" s="73" t="s">
        <v>218</v>
      </c>
      <c r="H51" s="74" t="n">
        <f aca="false">ROUND(3.2*(AL_MILL+AL_PC),2)</f>
        <v>59.2</v>
      </c>
      <c r="I51" s="75" t="n">
        <v>0.05</v>
      </c>
      <c r="J51" s="76" t="n">
        <f aca="false">IF(H51="","",ROUND(H51*(1+I51),2))</f>
        <v>62.16</v>
      </c>
      <c r="K51" s="76" t="n">
        <f aca="false">IF(J51="","",ROUND(J51*(1+OHP),2))</f>
        <v>74.59</v>
      </c>
      <c r="L51" s="76" t="n">
        <f aca="false">IF(K51="","",ROUND(K51*(1+VAT),2))</f>
        <v>78.32</v>
      </c>
      <c r="M51" s="73" t="s">
        <v>89</v>
      </c>
      <c r="N51" s="71"/>
      <c r="O51" s="73"/>
      <c r="P51" s="77"/>
      <c r="Q51" s="71"/>
      <c r="R51" s="78" t="s">
        <v>350</v>
      </c>
    </row>
    <row r="52" customFormat="false" ht="23.85" hidden="false" customHeight="false" outlineLevel="0" collapsed="false">
      <c r="A52" s="70" t="s">
        <v>361</v>
      </c>
      <c r="B52" s="71" t="s">
        <v>362</v>
      </c>
      <c r="C52" s="72" t="s">
        <v>363</v>
      </c>
      <c r="D52" s="71" t="s">
        <v>364</v>
      </c>
      <c r="E52" s="71" t="s">
        <v>261</v>
      </c>
      <c r="F52" s="71" t="s">
        <v>349</v>
      </c>
      <c r="G52" s="73" t="s">
        <v>218</v>
      </c>
      <c r="H52" s="74" t="n">
        <f aca="false">ROUND(6.8*(AL_MILL+AL_PC),2)</f>
        <v>125.8</v>
      </c>
      <c r="I52" s="75" t="n">
        <v>0.05</v>
      </c>
      <c r="J52" s="76" t="n">
        <f aca="false">IF(H52="","",ROUND(H52*(1+I52),2))</f>
        <v>132.09</v>
      </c>
      <c r="K52" s="76" t="n">
        <f aca="false">IF(J52="","",ROUND(J52*(1+OHP),2))</f>
        <v>158.51</v>
      </c>
      <c r="L52" s="76" t="n">
        <f aca="false">IF(K52="","",ROUND(K52*(1+VAT),2))</f>
        <v>166.44</v>
      </c>
      <c r="M52" s="73" t="s">
        <v>89</v>
      </c>
      <c r="N52" s="71"/>
      <c r="O52" s="73"/>
      <c r="P52" s="77"/>
      <c r="Q52" s="71"/>
      <c r="R52" s="78" t="s">
        <v>365</v>
      </c>
    </row>
    <row r="53" customFormat="false" ht="15" hidden="false" customHeight="false" outlineLevel="0" collapsed="false">
      <c r="A53" s="70" t="s">
        <v>366</v>
      </c>
      <c r="B53" s="71" t="s">
        <v>362</v>
      </c>
      <c r="C53" s="72" t="s">
        <v>367</v>
      </c>
      <c r="D53" s="71" t="s">
        <v>368</v>
      </c>
      <c r="E53" s="71" t="s">
        <v>212</v>
      </c>
      <c r="F53" s="71" t="s">
        <v>217</v>
      </c>
      <c r="G53" s="73" t="s">
        <v>218</v>
      </c>
      <c r="H53" s="74" t="n">
        <f aca="false">ROUND(0.9*(AL_MILL+AL_PC),2)</f>
        <v>16.65</v>
      </c>
      <c r="I53" s="75" t="n">
        <v>0.05</v>
      </c>
      <c r="J53" s="76" t="n">
        <f aca="false">IF(H53="","",ROUND(H53*(1+I53),2))</f>
        <v>17.48</v>
      </c>
      <c r="K53" s="76" t="n">
        <f aca="false">IF(J53="","",ROUND(J53*(1+OHP),2))</f>
        <v>20.98</v>
      </c>
      <c r="L53" s="76" t="n">
        <f aca="false">IF(K53="","",ROUND(K53*(1+VAT),2))</f>
        <v>22.03</v>
      </c>
      <c r="M53" s="73" t="s">
        <v>89</v>
      </c>
      <c r="N53" s="71"/>
      <c r="O53" s="73"/>
      <c r="P53" s="77"/>
      <c r="Q53" s="71"/>
      <c r="R53" s="78" t="s">
        <v>369</v>
      </c>
    </row>
    <row r="54" customFormat="false" ht="19.4" hidden="false" customHeight="false" outlineLevel="0" collapsed="false">
      <c r="A54" s="70" t="s">
        <v>370</v>
      </c>
      <c r="B54" s="71" t="s">
        <v>362</v>
      </c>
      <c r="C54" s="72" t="s">
        <v>371</v>
      </c>
      <c r="D54" s="71" t="s">
        <v>372</v>
      </c>
      <c r="E54" s="71" t="s">
        <v>261</v>
      </c>
      <c r="F54" s="71" t="s">
        <v>217</v>
      </c>
      <c r="G54" s="73" t="s">
        <v>218</v>
      </c>
      <c r="H54" s="74" t="n">
        <f aca="false">ROUND(0.55*(AL_MILL+AL_PC),2)</f>
        <v>10.18</v>
      </c>
      <c r="I54" s="75" t="n">
        <v>0.05</v>
      </c>
      <c r="J54" s="76" t="n">
        <f aca="false">IF(H54="","",ROUND(H54*(1+I54),2))</f>
        <v>10.69</v>
      </c>
      <c r="K54" s="76" t="n">
        <f aca="false">IF(J54="","",ROUND(J54*(1+OHP),2))</f>
        <v>12.83</v>
      </c>
      <c r="L54" s="76" t="n">
        <f aca="false">IF(K54="","",ROUND(K54*(1+VAT),2))</f>
        <v>13.47</v>
      </c>
      <c r="M54" s="73" t="s">
        <v>89</v>
      </c>
      <c r="N54" s="71"/>
      <c r="O54" s="73"/>
      <c r="P54" s="77"/>
      <c r="Q54" s="71"/>
      <c r="R54" s="78" t="s">
        <v>373</v>
      </c>
    </row>
    <row r="55" customFormat="false" ht="15" hidden="false" customHeight="false" outlineLevel="0" collapsed="false">
      <c r="A55" s="70" t="s">
        <v>374</v>
      </c>
      <c r="B55" s="71" t="s">
        <v>375</v>
      </c>
      <c r="C55" s="72" t="s">
        <v>376</v>
      </c>
      <c r="D55" s="71" t="s">
        <v>377</v>
      </c>
      <c r="E55" s="71" t="s">
        <v>196</v>
      </c>
      <c r="F55" s="71" t="s">
        <v>349</v>
      </c>
      <c r="G55" s="73" t="s">
        <v>378</v>
      </c>
      <c r="H55" s="79" t="n">
        <v>48</v>
      </c>
      <c r="I55" s="75" t="n">
        <v>0.05</v>
      </c>
      <c r="J55" s="76" t="n">
        <f aca="false">IF(H55="","",ROUND(H55*(1+I55),2))</f>
        <v>50.4</v>
      </c>
      <c r="K55" s="76" t="n">
        <f aca="false">IF(J55="","",ROUND(J55*(1+OHP),2))</f>
        <v>60.48</v>
      </c>
      <c r="L55" s="76" t="n">
        <f aca="false">IF(K55="","",ROUND(K55*(1+VAT),2))</f>
        <v>63.5</v>
      </c>
      <c r="M55" s="73" t="s">
        <v>89</v>
      </c>
      <c r="N55" s="71"/>
      <c r="O55" s="73"/>
      <c r="P55" s="77"/>
      <c r="Q55" s="71"/>
      <c r="R55" s="78" t="s">
        <v>379</v>
      </c>
    </row>
    <row r="56" customFormat="false" ht="15" hidden="false" customHeight="false" outlineLevel="0" collapsed="false">
      <c r="A56" s="70" t="s">
        <v>380</v>
      </c>
      <c r="B56" s="71" t="s">
        <v>375</v>
      </c>
      <c r="C56" s="72" t="s">
        <v>376</v>
      </c>
      <c r="D56" s="71" t="s">
        <v>381</v>
      </c>
      <c r="E56" s="71" t="s">
        <v>196</v>
      </c>
      <c r="F56" s="71" t="s">
        <v>349</v>
      </c>
      <c r="G56" s="73" t="s">
        <v>378</v>
      </c>
      <c r="H56" s="79" t="n">
        <v>70</v>
      </c>
      <c r="I56" s="75" t="n">
        <v>0.05</v>
      </c>
      <c r="J56" s="76" t="n">
        <f aca="false">IF(H56="","",ROUND(H56*(1+I56),2))</f>
        <v>73.5</v>
      </c>
      <c r="K56" s="76" t="n">
        <f aca="false">IF(J56="","",ROUND(J56*(1+OHP),2))</f>
        <v>88.2</v>
      </c>
      <c r="L56" s="76" t="n">
        <f aca="false">IF(K56="","",ROUND(K56*(1+VAT),2))</f>
        <v>92.61</v>
      </c>
      <c r="M56" s="73" t="s">
        <v>89</v>
      </c>
      <c r="N56" s="71"/>
      <c r="O56" s="73"/>
      <c r="P56" s="77"/>
      <c r="Q56" s="71"/>
      <c r="R56" s="78" t="s">
        <v>382</v>
      </c>
    </row>
    <row r="57" customFormat="false" ht="15" hidden="false" customHeight="false" outlineLevel="0" collapsed="false">
      <c r="A57" s="70" t="s">
        <v>383</v>
      </c>
      <c r="B57" s="71" t="s">
        <v>375</v>
      </c>
      <c r="C57" s="72" t="s">
        <v>384</v>
      </c>
      <c r="D57" s="71" t="s">
        <v>385</v>
      </c>
      <c r="E57" s="71" t="s">
        <v>196</v>
      </c>
      <c r="F57" s="71" t="s">
        <v>349</v>
      </c>
      <c r="G57" s="73" t="s">
        <v>378</v>
      </c>
      <c r="H57" s="79" t="n">
        <v>85</v>
      </c>
      <c r="I57" s="75" t="n">
        <v>0.05</v>
      </c>
      <c r="J57" s="76" t="n">
        <f aca="false">IF(H57="","",ROUND(H57*(1+I57),2))</f>
        <v>89.25</v>
      </c>
      <c r="K57" s="76" t="n">
        <f aca="false">IF(J57="","",ROUND(J57*(1+OHP),2))</f>
        <v>107.1</v>
      </c>
      <c r="L57" s="76" t="n">
        <f aca="false">IF(K57="","",ROUND(K57*(1+VAT),2))</f>
        <v>112.46</v>
      </c>
      <c r="M57" s="73" t="s">
        <v>89</v>
      </c>
      <c r="N57" s="71"/>
      <c r="O57" s="73"/>
      <c r="P57" s="77"/>
      <c r="Q57" s="71"/>
      <c r="R57" s="78" t="s">
        <v>386</v>
      </c>
    </row>
    <row r="58" customFormat="false" ht="15" hidden="false" customHeight="false" outlineLevel="0" collapsed="false">
      <c r="A58" s="80" t="str">
        <f aca="false">IF(C58="","","AL-"&amp;TEXT(ROW()-4,"000"))</f>
        <v/>
      </c>
      <c r="B58" s="81"/>
      <c r="C58" s="81"/>
      <c r="D58" s="81"/>
      <c r="E58" s="81"/>
      <c r="F58" s="81"/>
      <c r="G58" s="82"/>
      <c r="H58" s="83"/>
      <c r="I58" s="84"/>
      <c r="J58" s="85" t="str">
        <f aca="false">IF(H58="","",ROUND(H58*(1+I58),2))</f>
        <v/>
      </c>
      <c r="K58" s="85" t="str">
        <f aca="false">IF(J58="","",ROUND(J58*(1+OHP),2))</f>
        <v/>
      </c>
      <c r="L58" s="85" t="str">
        <f aca="false">IF(K58="","",ROUND(K58*(1+VAT),2))</f>
        <v/>
      </c>
      <c r="M58" s="82"/>
      <c r="N58" s="81"/>
      <c r="O58" s="82"/>
      <c r="P58" s="86"/>
      <c r="Q58" s="81"/>
      <c r="R58" s="87"/>
    </row>
    <row r="59" customFormat="false" ht="15" hidden="false" customHeight="false" outlineLevel="0" collapsed="false">
      <c r="A59" s="80" t="str">
        <f aca="false">IF(C59="","","AL-"&amp;TEXT(ROW()-4,"000"))</f>
        <v/>
      </c>
      <c r="B59" s="81"/>
      <c r="C59" s="81"/>
      <c r="D59" s="81"/>
      <c r="E59" s="81"/>
      <c r="F59" s="81"/>
      <c r="G59" s="82"/>
      <c r="H59" s="83"/>
      <c r="I59" s="84"/>
      <c r="J59" s="85" t="str">
        <f aca="false">IF(H59="","",ROUND(H59*(1+I59),2))</f>
        <v/>
      </c>
      <c r="K59" s="85" t="str">
        <f aca="false">IF(J59="","",ROUND(J59*(1+OHP),2))</f>
        <v/>
      </c>
      <c r="L59" s="85" t="str">
        <f aca="false">IF(K59="","",ROUND(K59*(1+VAT),2))</f>
        <v/>
      </c>
      <c r="M59" s="82"/>
      <c r="N59" s="81"/>
      <c r="O59" s="82"/>
      <c r="P59" s="86"/>
      <c r="Q59" s="81"/>
      <c r="R59" s="87"/>
    </row>
    <row r="60" customFormat="false" ht="15" hidden="false" customHeight="false" outlineLevel="0" collapsed="false">
      <c r="A60" s="80" t="str">
        <f aca="false">IF(C60="","","AL-"&amp;TEXT(ROW()-4,"000"))</f>
        <v/>
      </c>
      <c r="B60" s="81"/>
      <c r="C60" s="81"/>
      <c r="D60" s="81"/>
      <c r="E60" s="81"/>
      <c r="F60" s="81"/>
      <c r="G60" s="82"/>
      <c r="H60" s="83"/>
      <c r="I60" s="84"/>
      <c r="J60" s="85" t="str">
        <f aca="false">IF(H60="","",ROUND(H60*(1+I60),2))</f>
        <v/>
      </c>
      <c r="K60" s="85" t="str">
        <f aca="false">IF(J60="","",ROUND(J60*(1+OHP),2))</f>
        <v/>
      </c>
      <c r="L60" s="85" t="str">
        <f aca="false">IF(K60="","",ROUND(K60*(1+VAT),2))</f>
        <v/>
      </c>
      <c r="M60" s="82"/>
      <c r="N60" s="81"/>
      <c r="O60" s="82"/>
      <c r="P60" s="86"/>
      <c r="Q60" s="81"/>
      <c r="R60" s="87"/>
    </row>
    <row r="61" customFormat="false" ht="15" hidden="false" customHeight="false" outlineLevel="0" collapsed="false">
      <c r="A61" s="80" t="str">
        <f aca="false">IF(C61="","","AL-"&amp;TEXT(ROW()-4,"000"))</f>
        <v/>
      </c>
      <c r="B61" s="81"/>
      <c r="C61" s="81"/>
      <c r="D61" s="81"/>
      <c r="E61" s="81"/>
      <c r="F61" s="81"/>
      <c r="G61" s="82"/>
      <c r="H61" s="83"/>
      <c r="I61" s="84"/>
      <c r="J61" s="85" t="str">
        <f aca="false">IF(H61="","",ROUND(H61*(1+I61),2))</f>
        <v/>
      </c>
      <c r="K61" s="85" t="str">
        <f aca="false">IF(J61="","",ROUND(J61*(1+OHP),2))</f>
        <v/>
      </c>
      <c r="L61" s="85" t="str">
        <f aca="false">IF(K61="","",ROUND(K61*(1+VAT),2))</f>
        <v/>
      </c>
      <c r="M61" s="82"/>
      <c r="N61" s="81"/>
      <c r="O61" s="82"/>
      <c r="P61" s="86"/>
      <c r="Q61" s="81"/>
      <c r="R61" s="87"/>
    </row>
    <row r="62" customFormat="false" ht="15" hidden="false" customHeight="false" outlineLevel="0" collapsed="false">
      <c r="A62" s="80" t="str">
        <f aca="false">IF(C62="","","AL-"&amp;TEXT(ROW()-4,"000"))</f>
        <v/>
      </c>
      <c r="B62" s="81"/>
      <c r="C62" s="81"/>
      <c r="D62" s="81"/>
      <c r="E62" s="81"/>
      <c r="F62" s="81"/>
      <c r="G62" s="82"/>
      <c r="H62" s="83"/>
      <c r="I62" s="84"/>
      <c r="J62" s="85" t="str">
        <f aca="false">IF(H62="","",ROUND(H62*(1+I62),2))</f>
        <v/>
      </c>
      <c r="K62" s="85" t="str">
        <f aca="false">IF(J62="","",ROUND(J62*(1+OHP),2))</f>
        <v/>
      </c>
      <c r="L62" s="85" t="str">
        <f aca="false">IF(K62="","",ROUND(K62*(1+VAT),2))</f>
        <v/>
      </c>
      <c r="M62" s="82"/>
      <c r="N62" s="81"/>
      <c r="O62" s="82"/>
      <c r="P62" s="86"/>
      <c r="Q62" s="81"/>
      <c r="R62" s="87"/>
    </row>
    <row r="63" customFormat="false" ht="15" hidden="false" customHeight="false" outlineLevel="0" collapsed="false">
      <c r="A63" s="80" t="str">
        <f aca="false">IF(C63="","","AL-"&amp;TEXT(ROW()-4,"000"))</f>
        <v/>
      </c>
      <c r="B63" s="81"/>
      <c r="C63" s="81"/>
      <c r="D63" s="81"/>
      <c r="E63" s="81"/>
      <c r="F63" s="81"/>
      <c r="G63" s="82"/>
      <c r="H63" s="83"/>
      <c r="I63" s="84"/>
      <c r="J63" s="85" t="str">
        <f aca="false">IF(H63="","",ROUND(H63*(1+I63),2))</f>
        <v/>
      </c>
      <c r="K63" s="85" t="str">
        <f aca="false">IF(J63="","",ROUND(J63*(1+OHP),2))</f>
        <v/>
      </c>
      <c r="L63" s="85" t="str">
        <f aca="false">IF(K63="","",ROUND(K63*(1+VAT),2))</f>
        <v/>
      </c>
      <c r="M63" s="82"/>
      <c r="N63" s="81"/>
      <c r="O63" s="82"/>
      <c r="P63" s="86"/>
      <c r="Q63" s="81"/>
      <c r="R63" s="87"/>
    </row>
    <row r="64" customFormat="false" ht="15" hidden="false" customHeight="false" outlineLevel="0" collapsed="false">
      <c r="A64" s="80" t="str">
        <f aca="false">IF(C64="","","AL-"&amp;TEXT(ROW()-4,"000"))</f>
        <v/>
      </c>
      <c r="B64" s="81"/>
      <c r="C64" s="81"/>
      <c r="D64" s="81"/>
      <c r="E64" s="81"/>
      <c r="F64" s="81"/>
      <c r="G64" s="82"/>
      <c r="H64" s="83"/>
      <c r="I64" s="84"/>
      <c r="J64" s="85" t="str">
        <f aca="false">IF(H64="","",ROUND(H64*(1+I64),2))</f>
        <v/>
      </c>
      <c r="K64" s="85" t="str">
        <f aca="false">IF(J64="","",ROUND(J64*(1+OHP),2))</f>
        <v/>
      </c>
      <c r="L64" s="85" t="str">
        <f aca="false">IF(K64="","",ROUND(K64*(1+VAT),2))</f>
        <v/>
      </c>
      <c r="M64" s="82"/>
      <c r="N64" s="81"/>
      <c r="O64" s="82"/>
      <c r="P64" s="86"/>
      <c r="Q64" s="81"/>
      <c r="R64" s="87"/>
    </row>
    <row r="65" customFormat="false" ht="15" hidden="false" customHeight="false" outlineLevel="0" collapsed="false">
      <c r="A65" s="80" t="str">
        <f aca="false">IF(C65="","","AL-"&amp;TEXT(ROW()-4,"000"))</f>
        <v/>
      </c>
      <c r="B65" s="81"/>
      <c r="C65" s="81"/>
      <c r="D65" s="81"/>
      <c r="E65" s="81"/>
      <c r="F65" s="81"/>
      <c r="G65" s="82"/>
      <c r="H65" s="83"/>
      <c r="I65" s="84"/>
      <c r="J65" s="85" t="str">
        <f aca="false">IF(H65="","",ROUND(H65*(1+I65),2))</f>
        <v/>
      </c>
      <c r="K65" s="85" t="str">
        <f aca="false">IF(J65="","",ROUND(J65*(1+OHP),2))</f>
        <v/>
      </c>
      <c r="L65" s="85" t="str">
        <f aca="false">IF(K65="","",ROUND(K65*(1+VAT),2))</f>
        <v/>
      </c>
      <c r="M65" s="82"/>
      <c r="N65" s="81"/>
      <c r="O65" s="82"/>
      <c r="P65" s="86"/>
      <c r="Q65" s="81"/>
      <c r="R65" s="87"/>
    </row>
    <row r="66" customFormat="false" ht="15" hidden="false" customHeight="false" outlineLevel="0" collapsed="false">
      <c r="A66" s="80" t="str">
        <f aca="false">IF(C66="","","AL-"&amp;TEXT(ROW()-4,"000"))</f>
        <v/>
      </c>
      <c r="B66" s="81"/>
      <c r="C66" s="81"/>
      <c r="D66" s="81"/>
      <c r="E66" s="81"/>
      <c r="F66" s="81"/>
      <c r="G66" s="82"/>
      <c r="H66" s="83"/>
      <c r="I66" s="84"/>
      <c r="J66" s="85" t="str">
        <f aca="false">IF(H66="","",ROUND(H66*(1+I66),2))</f>
        <v/>
      </c>
      <c r="K66" s="85" t="str">
        <f aca="false">IF(J66="","",ROUND(J66*(1+OHP),2))</f>
        <v/>
      </c>
      <c r="L66" s="85" t="str">
        <f aca="false">IF(K66="","",ROUND(K66*(1+VAT),2))</f>
        <v/>
      </c>
      <c r="M66" s="82"/>
      <c r="N66" s="81"/>
      <c r="O66" s="82"/>
      <c r="P66" s="86"/>
      <c r="Q66" s="81"/>
      <c r="R66" s="87"/>
    </row>
    <row r="67" customFormat="false" ht="15" hidden="false" customHeight="false" outlineLevel="0" collapsed="false">
      <c r="A67" s="80" t="str">
        <f aca="false">IF(C67="","","AL-"&amp;TEXT(ROW()-4,"000"))</f>
        <v/>
      </c>
      <c r="B67" s="81"/>
      <c r="C67" s="81"/>
      <c r="D67" s="81"/>
      <c r="E67" s="81"/>
      <c r="F67" s="81"/>
      <c r="G67" s="82"/>
      <c r="H67" s="83"/>
      <c r="I67" s="84"/>
      <c r="J67" s="85" t="str">
        <f aca="false">IF(H67="","",ROUND(H67*(1+I67),2))</f>
        <v/>
      </c>
      <c r="K67" s="85" t="str">
        <f aca="false">IF(J67="","",ROUND(J67*(1+OHP),2))</f>
        <v/>
      </c>
      <c r="L67" s="85" t="str">
        <f aca="false">IF(K67="","",ROUND(K67*(1+VAT),2))</f>
        <v/>
      </c>
      <c r="M67" s="82"/>
      <c r="N67" s="81"/>
      <c r="O67" s="82"/>
      <c r="P67" s="86"/>
      <c r="Q67" s="81"/>
      <c r="R67" s="87"/>
    </row>
    <row r="68" customFormat="false" ht="15" hidden="false" customHeight="false" outlineLevel="0" collapsed="false">
      <c r="A68" s="80" t="str">
        <f aca="false">IF(C68="","","AL-"&amp;TEXT(ROW()-4,"000"))</f>
        <v/>
      </c>
      <c r="B68" s="81"/>
      <c r="C68" s="81"/>
      <c r="D68" s="81"/>
      <c r="E68" s="81"/>
      <c r="F68" s="81"/>
      <c r="G68" s="82"/>
      <c r="H68" s="83"/>
      <c r="I68" s="84"/>
      <c r="J68" s="85" t="str">
        <f aca="false">IF(H68="","",ROUND(H68*(1+I68),2))</f>
        <v/>
      </c>
      <c r="K68" s="85" t="str">
        <f aca="false">IF(J68="","",ROUND(J68*(1+OHP),2))</f>
        <v/>
      </c>
      <c r="L68" s="85" t="str">
        <f aca="false">IF(K68="","",ROUND(K68*(1+VAT),2))</f>
        <v/>
      </c>
      <c r="M68" s="82"/>
      <c r="N68" s="81"/>
      <c r="O68" s="82"/>
      <c r="P68" s="86"/>
      <c r="Q68" s="81"/>
      <c r="R68" s="87"/>
    </row>
    <row r="69" customFormat="false" ht="15" hidden="false" customHeight="false" outlineLevel="0" collapsed="false">
      <c r="A69" s="80" t="str">
        <f aca="false">IF(C69="","","AL-"&amp;TEXT(ROW()-4,"000"))</f>
        <v/>
      </c>
      <c r="B69" s="81"/>
      <c r="C69" s="81"/>
      <c r="D69" s="81"/>
      <c r="E69" s="81"/>
      <c r="F69" s="81"/>
      <c r="G69" s="82"/>
      <c r="H69" s="83"/>
      <c r="I69" s="84"/>
      <c r="J69" s="85" t="str">
        <f aca="false">IF(H69="","",ROUND(H69*(1+I69),2))</f>
        <v/>
      </c>
      <c r="K69" s="85" t="str">
        <f aca="false">IF(J69="","",ROUND(J69*(1+OHP),2))</f>
        <v/>
      </c>
      <c r="L69" s="85" t="str">
        <f aca="false">IF(K69="","",ROUND(K69*(1+VAT),2))</f>
        <v/>
      </c>
      <c r="M69" s="82"/>
      <c r="N69" s="81"/>
      <c r="O69" s="82"/>
      <c r="P69" s="86"/>
      <c r="Q69" s="81"/>
      <c r="R69" s="87"/>
    </row>
    <row r="70" customFormat="false" ht="15" hidden="false" customHeight="false" outlineLevel="0" collapsed="false">
      <c r="A70" s="80" t="str">
        <f aca="false">IF(C70="","","AL-"&amp;TEXT(ROW()-4,"000"))</f>
        <v/>
      </c>
      <c r="B70" s="81"/>
      <c r="C70" s="81"/>
      <c r="D70" s="81"/>
      <c r="E70" s="81"/>
      <c r="F70" s="81"/>
      <c r="G70" s="82"/>
      <c r="H70" s="83"/>
      <c r="I70" s="84"/>
      <c r="J70" s="85" t="str">
        <f aca="false">IF(H70="","",ROUND(H70*(1+I70),2))</f>
        <v/>
      </c>
      <c r="K70" s="85" t="str">
        <f aca="false">IF(J70="","",ROUND(J70*(1+OHP),2))</f>
        <v/>
      </c>
      <c r="L70" s="85" t="str">
        <f aca="false">IF(K70="","",ROUND(K70*(1+VAT),2))</f>
        <v/>
      </c>
      <c r="M70" s="82"/>
      <c r="N70" s="81"/>
      <c r="O70" s="82"/>
      <c r="P70" s="86"/>
      <c r="Q70" s="81"/>
      <c r="R70" s="87"/>
    </row>
    <row r="71" customFormat="false" ht="15" hidden="false" customHeight="false" outlineLevel="0" collapsed="false">
      <c r="A71" s="80" t="str">
        <f aca="false">IF(C71="","","AL-"&amp;TEXT(ROW()-4,"000"))</f>
        <v/>
      </c>
      <c r="B71" s="81"/>
      <c r="C71" s="81"/>
      <c r="D71" s="81"/>
      <c r="E71" s="81"/>
      <c r="F71" s="81"/>
      <c r="G71" s="82"/>
      <c r="H71" s="83"/>
      <c r="I71" s="84"/>
      <c r="J71" s="85" t="str">
        <f aca="false">IF(H71="","",ROUND(H71*(1+I71),2))</f>
        <v/>
      </c>
      <c r="K71" s="85" t="str">
        <f aca="false">IF(J71="","",ROUND(J71*(1+OHP),2))</f>
        <v/>
      </c>
      <c r="L71" s="85" t="str">
        <f aca="false">IF(K71="","",ROUND(K71*(1+VAT),2))</f>
        <v/>
      </c>
      <c r="M71" s="82"/>
      <c r="N71" s="81"/>
      <c r="O71" s="82"/>
      <c r="P71" s="86"/>
      <c r="Q71" s="81"/>
      <c r="R71" s="87"/>
    </row>
    <row r="72" customFormat="false" ht="15" hidden="false" customHeight="false" outlineLevel="0" collapsed="false">
      <c r="A72" s="80" t="str">
        <f aca="false">IF(C72="","","AL-"&amp;TEXT(ROW()-4,"000"))</f>
        <v/>
      </c>
      <c r="B72" s="81"/>
      <c r="C72" s="81"/>
      <c r="D72" s="81"/>
      <c r="E72" s="81"/>
      <c r="F72" s="81"/>
      <c r="G72" s="82"/>
      <c r="H72" s="83"/>
      <c r="I72" s="84"/>
      <c r="J72" s="85" t="str">
        <f aca="false">IF(H72="","",ROUND(H72*(1+I72),2))</f>
        <v/>
      </c>
      <c r="K72" s="85" t="str">
        <f aca="false">IF(J72="","",ROUND(J72*(1+OHP),2))</f>
        <v/>
      </c>
      <c r="L72" s="85" t="str">
        <f aca="false">IF(K72="","",ROUND(K72*(1+VAT),2))</f>
        <v/>
      </c>
      <c r="M72" s="82"/>
      <c r="N72" s="81"/>
      <c r="O72" s="82"/>
      <c r="P72" s="86"/>
      <c r="Q72" s="81"/>
      <c r="R72" s="87"/>
    </row>
  </sheetData>
  <autoFilter ref="A4:R72"/>
  <mergeCells count="2">
    <mergeCell ref="A1:R1"/>
    <mergeCell ref="A2:R2"/>
  </mergeCells>
  <conditionalFormatting sqref="A5:R72">
    <cfRule type="expression" priority="2" aboveAverage="0" equalAverage="0" bottom="0" percent="0" rank="0" text="" dxfId="1">
      <formula>AND($C5&lt;&gt;"",MOD(ROW(),2)=0,$M5&lt;&gt;"Obsolete")</formula>
    </cfRule>
    <cfRule type="expression" priority="3" aboveAverage="0" equalAverage="0" bottom="0" percent="0" rank="0" text="" dxfId="12">
      <formula>$M5="Obsolete"</formula>
    </cfRule>
  </conditionalFormatting>
  <conditionalFormatting sqref="M5:M72">
    <cfRule type="expression" priority="4" aboveAverage="0" equalAverage="0" bottom="0" percent="0" rank="0" text="" dxfId="13">
      <formula>$M5="Indicative"</formula>
    </cfRule>
    <cfRule type="expression" priority="5" aboveAverage="0" equalAverage="0" bottom="0" percent="0" rank="0" text="" dxfId="14">
      <formula>$M5="Quoted"</formula>
    </cfRule>
    <cfRule type="expression" priority="6" aboveAverage="0" equalAverage="0" bottom="0" percent="0" rank="0" text="" dxfId="15">
      <formula>$M5="Verified"</formula>
    </cfRule>
    <cfRule type="expression" priority="7" aboveAverage="0" equalAverage="0" bottom="0" percent="0" rank="0" text="" dxfId="16">
      <formula>$M5="Obsolete"</formula>
    </cfRule>
  </conditionalFormatting>
  <dataValidations count="2">
    <dataValidation allowBlank="true" error="Enter wastage as a percentage, e.g. 5%" errorStyle="stop" operator="between" showDropDown="false" showErrorMessage="false" showInputMessage="false" sqref="I5:I72" type="decimal">
      <formula1>0</formula1>
      <formula2>1</formula2>
    </dataValidation>
    <dataValidation allowBlank="true" errorStyle="stop" operator="between" showDropDown="false" showErrorMessage="false" showInputMessage="false" sqref="M5:M72" type="list">
      <formula1>"Indicative,Quoted,Verified,Obsolete"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&amp;L&amp;8Aluminium Profiles Systems&amp;C&amp;8Page &amp;P of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BC2E6"/>
    <pageSetUpPr fitToPage="true"/>
  </sheetPr>
  <dimension ref="A1:R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32"/>
    <col collapsed="false" customWidth="true" hidden="false" outlineLevel="0" max="5" min="5" style="0" width="20"/>
    <col collapsed="false" customWidth="true" hidden="false" outlineLevel="0" max="6" min="6" style="0" width="26"/>
    <col collapsed="false" customWidth="true" hidden="false" outlineLevel="0" max="7" min="7" style="0" width="7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1" min="10" style="0" width="13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20"/>
    <col collapsed="false" customWidth="true" hidden="false" outlineLevel="0" max="15" min="15" style="0" width="13"/>
    <col collapsed="false" customWidth="true" hidden="false" outlineLevel="0" max="16" min="16" style="0" width="12"/>
    <col collapsed="false" customWidth="true" hidden="false" outlineLevel="0" max="17" min="17" style="0" width="26"/>
    <col collapsed="false" customWidth="true" hidden="false" outlineLevel="0" max="18" min="18" style="0" width="34"/>
  </cols>
  <sheetData>
    <row r="1" customFormat="false" ht="30" hidden="false" customHeight="true" outlineLevel="0" collapsed="false">
      <c r="A1" s="65" t="s">
        <v>387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</row>
    <row r="2" customFormat="false" ht="15" hidden="false" customHeight="false" outlineLevel="0" collapsed="false">
      <c r="A2" s="88" t="s">
        <v>388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</row>
    <row r="3" customFormat="false" ht="15" hidden="false" customHeight="false" outlineLevel="0" collapsed="false">
      <c r="A3" s="7" t="str">
        <f aca="false">HYPERLINK("#Index!A1","&lt;&lt; Back to Index")</f>
        <v>&lt;&lt; Back to Index</v>
      </c>
      <c r="D3" s="67" t="s">
        <v>180</v>
      </c>
      <c r="E3" s="68" t="n">
        <f aca="false">COUNTA(C5:C73)</f>
        <v>54</v>
      </c>
      <c r="H3" s="69" t="s">
        <v>181</v>
      </c>
    </row>
    <row r="4" customFormat="false" ht="31.5" hidden="false" customHeight="true" outlineLevel="0" collapsed="false">
      <c r="A4" s="8" t="s">
        <v>110</v>
      </c>
      <c r="B4" s="8" t="s">
        <v>121</v>
      </c>
      <c r="C4" s="8" t="s">
        <v>111</v>
      </c>
      <c r="D4" s="8" t="s">
        <v>112</v>
      </c>
      <c r="E4" s="8" t="s">
        <v>113</v>
      </c>
      <c r="F4" s="8" t="s">
        <v>114</v>
      </c>
      <c r="G4" s="8" t="s">
        <v>115</v>
      </c>
      <c r="H4" s="8" t="s">
        <v>182</v>
      </c>
      <c r="I4" s="8" t="s">
        <v>183</v>
      </c>
      <c r="J4" s="8" t="s">
        <v>184</v>
      </c>
      <c r="K4" s="8" t="s">
        <v>185</v>
      </c>
      <c r="L4" s="8" t="s">
        <v>186</v>
      </c>
      <c r="M4" s="8" t="s">
        <v>119</v>
      </c>
      <c r="N4" s="8" t="s">
        <v>187</v>
      </c>
      <c r="O4" s="8" t="s">
        <v>188</v>
      </c>
      <c r="P4" s="8" t="s">
        <v>189</v>
      </c>
      <c r="Q4" s="8" t="s">
        <v>190</v>
      </c>
      <c r="R4" s="8" t="s">
        <v>191</v>
      </c>
    </row>
    <row r="5" customFormat="false" ht="15" hidden="false" customHeight="false" outlineLevel="0" collapsed="false">
      <c r="A5" s="70" t="s">
        <v>389</v>
      </c>
      <c r="B5" s="71" t="s">
        <v>390</v>
      </c>
      <c r="C5" s="72" t="s">
        <v>391</v>
      </c>
      <c r="D5" s="71" t="s">
        <v>392</v>
      </c>
      <c r="E5" s="71" t="s">
        <v>393</v>
      </c>
      <c r="F5" s="71" t="s">
        <v>394</v>
      </c>
      <c r="G5" s="73" t="s">
        <v>378</v>
      </c>
      <c r="H5" s="79" t="n">
        <v>30</v>
      </c>
      <c r="I5" s="75" t="n">
        <v>0.05</v>
      </c>
      <c r="J5" s="76" t="n">
        <f aca="false">IF(H5="","",ROUND(H5*(1+I5),2))</f>
        <v>31.5</v>
      </c>
      <c r="K5" s="76" t="n">
        <f aca="false">IF(J5="","",ROUND(J5*(1+OHP),2))</f>
        <v>37.8</v>
      </c>
      <c r="L5" s="76" t="n">
        <f aca="false">IF(K5="","",ROUND(K5*(1+VAT),2))</f>
        <v>39.69</v>
      </c>
      <c r="M5" s="73" t="s">
        <v>89</v>
      </c>
      <c r="N5" s="71"/>
      <c r="O5" s="73"/>
      <c r="P5" s="77"/>
      <c r="Q5" s="71"/>
      <c r="R5" s="78" t="s">
        <v>395</v>
      </c>
    </row>
    <row r="6" customFormat="false" ht="15" hidden="false" customHeight="false" outlineLevel="0" collapsed="false">
      <c r="A6" s="70" t="s">
        <v>396</v>
      </c>
      <c r="B6" s="71" t="s">
        <v>390</v>
      </c>
      <c r="C6" s="72" t="s">
        <v>391</v>
      </c>
      <c r="D6" s="71" t="s">
        <v>397</v>
      </c>
      <c r="E6" s="71" t="s">
        <v>393</v>
      </c>
      <c r="F6" s="71" t="s">
        <v>394</v>
      </c>
      <c r="G6" s="73" t="s">
        <v>378</v>
      </c>
      <c r="H6" s="79" t="n">
        <v>40</v>
      </c>
      <c r="I6" s="75" t="n">
        <v>0.05</v>
      </c>
      <c r="J6" s="76" t="n">
        <f aca="false">IF(H6="","",ROUND(H6*(1+I6),2))</f>
        <v>42</v>
      </c>
      <c r="K6" s="76" t="n">
        <f aca="false">IF(J6="","",ROUND(J6*(1+OHP),2))</f>
        <v>50.4</v>
      </c>
      <c r="L6" s="76" t="n">
        <f aca="false">IF(K6="","",ROUND(K6*(1+VAT),2))</f>
        <v>52.92</v>
      </c>
      <c r="M6" s="73" t="s">
        <v>89</v>
      </c>
      <c r="N6" s="71"/>
      <c r="O6" s="73"/>
      <c r="P6" s="77"/>
      <c r="Q6" s="71"/>
      <c r="R6" s="78" t="s">
        <v>398</v>
      </c>
    </row>
    <row r="7" customFormat="false" ht="15" hidden="false" customHeight="false" outlineLevel="0" collapsed="false">
      <c r="A7" s="70" t="s">
        <v>399</v>
      </c>
      <c r="B7" s="71" t="s">
        <v>390</v>
      </c>
      <c r="C7" s="72" t="s">
        <v>391</v>
      </c>
      <c r="D7" s="71" t="s">
        <v>400</v>
      </c>
      <c r="E7" s="71" t="s">
        <v>393</v>
      </c>
      <c r="F7" s="71" t="s">
        <v>394</v>
      </c>
      <c r="G7" s="73" t="s">
        <v>378</v>
      </c>
      <c r="H7" s="79" t="n">
        <v>55</v>
      </c>
      <c r="I7" s="75" t="n">
        <v>0.05</v>
      </c>
      <c r="J7" s="76" t="n">
        <f aca="false">IF(H7="","",ROUND(H7*(1+I7),2))</f>
        <v>57.75</v>
      </c>
      <c r="K7" s="76" t="n">
        <f aca="false">IF(J7="","",ROUND(J7*(1+OHP),2))</f>
        <v>69.3</v>
      </c>
      <c r="L7" s="76" t="n">
        <f aca="false">IF(K7="","",ROUND(K7*(1+VAT),2))</f>
        <v>72.77</v>
      </c>
      <c r="M7" s="73" t="s">
        <v>89</v>
      </c>
      <c r="N7" s="71"/>
      <c r="O7" s="73"/>
      <c r="P7" s="77"/>
      <c r="Q7" s="71"/>
      <c r="R7" s="78" t="s">
        <v>401</v>
      </c>
    </row>
    <row r="8" customFormat="false" ht="15" hidden="false" customHeight="false" outlineLevel="0" collapsed="false">
      <c r="A8" s="70" t="s">
        <v>402</v>
      </c>
      <c r="B8" s="71" t="s">
        <v>390</v>
      </c>
      <c r="C8" s="72" t="s">
        <v>391</v>
      </c>
      <c r="D8" s="71" t="s">
        <v>403</v>
      </c>
      <c r="E8" s="71" t="s">
        <v>393</v>
      </c>
      <c r="F8" s="71" t="s">
        <v>394</v>
      </c>
      <c r="G8" s="73" t="s">
        <v>378</v>
      </c>
      <c r="H8" s="79" t="n">
        <v>70</v>
      </c>
      <c r="I8" s="75" t="n">
        <v>0.05</v>
      </c>
      <c r="J8" s="76" t="n">
        <f aca="false">IF(H8="","",ROUND(H8*(1+I8),2))</f>
        <v>73.5</v>
      </c>
      <c r="K8" s="76" t="n">
        <f aca="false">IF(J8="","",ROUND(J8*(1+OHP),2))</f>
        <v>88.2</v>
      </c>
      <c r="L8" s="76" t="n">
        <f aca="false">IF(K8="","",ROUND(K8*(1+VAT),2))</f>
        <v>92.61</v>
      </c>
      <c r="M8" s="73" t="s">
        <v>89</v>
      </c>
      <c r="N8" s="71"/>
      <c r="O8" s="73"/>
      <c r="P8" s="77"/>
      <c r="Q8" s="71"/>
      <c r="R8" s="78" t="s">
        <v>404</v>
      </c>
    </row>
    <row r="9" customFormat="false" ht="15" hidden="false" customHeight="false" outlineLevel="0" collapsed="false">
      <c r="A9" s="70" t="s">
        <v>405</v>
      </c>
      <c r="B9" s="71" t="s">
        <v>390</v>
      </c>
      <c r="C9" s="72" t="s">
        <v>391</v>
      </c>
      <c r="D9" s="71" t="s">
        <v>406</v>
      </c>
      <c r="E9" s="71" t="s">
        <v>393</v>
      </c>
      <c r="F9" s="71" t="s">
        <v>394</v>
      </c>
      <c r="G9" s="73" t="s">
        <v>378</v>
      </c>
      <c r="H9" s="79" t="n">
        <v>88</v>
      </c>
      <c r="I9" s="75" t="n">
        <v>0.05</v>
      </c>
      <c r="J9" s="76" t="n">
        <f aca="false">IF(H9="","",ROUND(H9*(1+I9),2))</f>
        <v>92.4</v>
      </c>
      <c r="K9" s="76" t="n">
        <f aca="false">IF(J9="","",ROUND(J9*(1+OHP),2))</f>
        <v>110.88</v>
      </c>
      <c r="L9" s="76" t="n">
        <f aca="false">IF(K9="","",ROUND(K9*(1+VAT),2))</f>
        <v>116.42</v>
      </c>
      <c r="M9" s="73" t="s">
        <v>89</v>
      </c>
      <c r="N9" s="71"/>
      <c r="O9" s="73"/>
      <c r="P9" s="77"/>
      <c r="Q9" s="71"/>
      <c r="R9" s="78" t="s">
        <v>407</v>
      </c>
    </row>
    <row r="10" customFormat="false" ht="15" hidden="false" customHeight="false" outlineLevel="0" collapsed="false">
      <c r="A10" s="70" t="s">
        <v>408</v>
      </c>
      <c r="B10" s="71" t="s">
        <v>390</v>
      </c>
      <c r="C10" s="72" t="s">
        <v>409</v>
      </c>
      <c r="D10" s="71" t="s">
        <v>397</v>
      </c>
      <c r="E10" s="71" t="s">
        <v>410</v>
      </c>
      <c r="F10" s="71" t="s">
        <v>394</v>
      </c>
      <c r="G10" s="73" t="s">
        <v>378</v>
      </c>
      <c r="H10" s="79" t="n">
        <v>55</v>
      </c>
      <c r="I10" s="75" t="n">
        <v>0.05</v>
      </c>
      <c r="J10" s="76" t="n">
        <f aca="false">IF(H10="","",ROUND(H10*(1+I10),2))</f>
        <v>57.75</v>
      </c>
      <c r="K10" s="76" t="n">
        <f aca="false">IF(J10="","",ROUND(J10*(1+OHP),2))</f>
        <v>69.3</v>
      </c>
      <c r="L10" s="76" t="n">
        <f aca="false">IF(K10="","",ROUND(K10*(1+VAT),2))</f>
        <v>72.77</v>
      </c>
      <c r="M10" s="73" t="s">
        <v>89</v>
      </c>
      <c r="N10" s="71"/>
      <c r="O10" s="73"/>
      <c r="P10" s="77"/>
      <c r="Q10" s="71"/>
      <c r="R10" s="78" t="s">
        <v>398</v>
      </c>
    </row>
    <row r="11" customFormat="false" ht="15" hidden="false" customHeight="false" outlineLevel="0" collapsed="false">
      <c r="A11" s="70" t="s">
        <v>411</v>
      </c>
      <c r="B11" s="71" t="s">
        <v>390</v>
      </c>
      <c r="C11" s="72" t="s">
        <v>412</v>
      </c>
      <c r="D11" s="71" t="s">
        <v>397</v>
      </c>
      <c r="E11" s="71" t="s">
        <v>413</v>
      </c>
      <c r="F11" s="71" t="s">
        <v>394</v>
      </c>
      <c r="G11" s="73" t="s">
        <v>378</v>
      </c>
      <c r="H11" s="79" t="n">
        <v>75</v>
      </c>
      <c r="I11" s="75" t="n">
        <v>0.05</v>
      </c>
      <c r="J11" s="76" t="n">
        <f aca="false">IF(H11="","",ROUND(H11*(1+I11),2))</f>
        <v>78.75</v>
      </c>
      <c r="K11" s="76" t="n">
        <f aca="false">IF(J11="","",ROUND(J11*(1+OHP),2))</f>
        <v>94.5</v>
      </c>
      <c r="L11" s="76" t="n">
        <f aca="false">IF(K11="","",ROUND(K11*(1+VAT),2))</f>
        <v>99.23</v>
      </c>
      <c r="M11" s="73" t="s">
        <v>89</v>
      </c>
      <c r="N11" s="71"/>
      <c r="O11" s="73"/>
      <c r="P11" s="77"/>
      <c r="Q11" s="71"/>
      <c r="R11" s="78" t="s">
        <v>398</v>
      </c>
    </row>
    <row r="12" customFormat="false" ht="15" hidden="false" customHeight="false" outlineLevel="0" collapsed="false">
      <c r="A12" s="70" t="s">
        <v>414</v>
      </c>
      <c r="B12" s="71" t="s">
        <v>415</v>
      </c>
      <c r="C12" s="72" t="s">
        <v>416</v>
      </c>
      <c r="D12" s="71" t="s">
        <v>417</v>
      </c>
      <c r="E12" s="71" t="s">
        <v>393</v>
      </c>
      <c r="F12" s="71" t="s">
        <v>418</v>
      </c>
      <c r="G12" s="73" t="s">
        <v>378</v>
      </c>
      <c r="H12" s="79" t="n">
        <v>75</v>
      </c>
      <c r="I12" s="75" t="n">
        <v>0.05</v>
      </c>
      <c r="J12" s="76" t="n">
        <f aca="false">IF(H12="","",ROUND(H12*(1+I12),2))</f>
        <v>78.75</v>
      </c>
      <c r="K12" s="76" t="n">
        <f aca="false">IF(J12="","",ROUND(J12*(1+OHP),2))</f>
        <v>94.5</v>
      </c>
      <c r="L12" s="76" t="n">
        <f aca="false">IF(K12="","",ROUND(K12*(1+VAT),2))</f>
        <v>99.23</v>
      </c>
      <c r="M12" s="73" t="s">
        <v>89</v>
      </c>
      <c r="N12" s="71"/>
      <c r="O12" s="73"/>
      <c r="P12" s="77"/>
      <c r="Q12" s="71"/>
      <c r="R12" s="78" t="s">
        <v>419</v>
      </c>
    </row>
    <row r="13" customFormat="false" ht="15" hidden="false" customHeight="false" outlineLevel="0" collapsed="false">
      <c r="A13" s="70" t="s">
        <v>420</v>
      </c>
      <c r="B13" s="71" t="s">
        <v>415</v>
      </c>
      <c r="C13" s="72" t="s">
        <v>416</v>
      </c>
      <c r="D13" s="71" t="s">
        <v>421</v>
      </c>
      <c r="E13" s="71" t="s">
        <v>393</v>
      </c>
      <c r="F13" s="71" t="s">
        <v>418</v>
      </c>
      <c r="G13" s="73" t="s">
        <v>378</v>
      </c>
      <c r="H13" s="79" t="n">
        <v>95</v>
      </c>
      <c r="I13" s="75" t="n">
        <v>0.05</v>
      </c>
      <c r="J13" s="76" t="n">
        <f aca="false">IF(H13="","",ROUND(H13*(1+I13),2))</f>
        <v>99.75</v>
      </c>
      <c r="K13" s="76" t="n">
        <f aca="false">IF(J13="","",ROUND(J13*(1+OHP),2))</f>
        <v>119.7</v>
      </c>
      <c r="L13" s="76" t="n">
        <f aca="false">IF(K13="","",ROUND(K13*(1+VAT),2))</f>
        <v>125.69</v>
      </c>
      <c r="M13" s="73" t="s">
        <v>89</v>
      </c>
      <c r="N13" s="71"/>
      <c r="O13" s="73"/>
      <c r="P13" s="77"/>
      <c r="Q13" s="71"/>
      <c r="R13" s="78" t="s">
        <v>422</v>
      </c>
    </row>
    <row r="14" customFormat="false" ht="15" hidden="false" customHeight="false" outlineLevel="0" collapsed="false">
      <c r="A14" s="70" t="s">
        <v>423</v>
      </c>
      <c r="B14" s="71" t="s">
        <v>415</v>
      </c>
      <c r="C14" s="72" t="s">
        <v>416</v>
      </c>
      <c r="D14" s="71" t="s">
        <v>424</v>
      </c>
      <c r="E14" s="71" t="s">
        <v>393</v>
      </c>
      <c r="F14" s="71" t="s">
        <v>418</v>
      </c>
      <c r="G14" s="73" t="s">
        <v>378</v>
      </c>
      <c r="H14" s="79" t="n">
        <v>120</v>
      </c>
      <c r="I14" s="75" t="n">
        <v>0.05</v>
      </c>
      <c r="J14" s="76" t="n">
        <f aca="false">IF(H14="","",ROUND(H14*(1+I14),2))</f>
        <v>126</v>
      </c>
      <c r="K14" s="76" t="n">
        <f aca="false">IF(J14="","",ROUND(J14*(1+OHP),2))</f>
        <v>151.2</v>
      </c>
      <c r="L14" s="76" t="n">
        <f aca="false">IF(K14="","",ROUND(K14*(1+VAT),2))</f>
        <v>158.76</v>
      </c>
      <c r="M14" s="73" t="s">
        <v>89</v>
      </c>
      <c r="N14" s="71"/>
      <c r="O14" s="73"/>
      <c r="P14" s="77"/>
      <c r="Q14" s="71"/>
      <c r="R14" s="78" t="s">
        <v>425</v>
      </c>
    </row>
    <row r="15" customFormat="false" ht="15" hidden="false" customHeight="false" outlineLevel="0" collapsed="false">
      <c r="A15" s="70" t="s">
        <v>426</v>
      </c>
      <c r="B15" s="71" t="s">
        <v>415</v>
      </c>
      <c r="C15" s="72" t="s">
        <v>416</v>
      </c>
      <c r="D15" s="71" t="s">
        <v>427</v>
      </c>
      <c r="E15" s="71" t="s">
        <v>393</v>
      </c>
      <c r="F15" s="71" t="s">
        <v>418</v>
      </c>
      <c r="G15" s="73" t="s">
        <v>378</v>
      </c>
      <c r="H15" s="79" t="n">
        <v>150</v>
      </c>
      <c r="I15" s="75" t="n">
        <v>0.05</v>
      </c>
      <c r="J15" s="76" t="n">
        <f aca="false">IF(H15="","",ROUND(H15*(1+I15),2))</f>
        <v>157.5</v>
      </c>
      <c r="K15" s="76" t="n">
        <f aca="false">IF(J15="","",ROUND(J15*(1+OHP),2))</f>
        <v>189</v>
      </c>
      <c r="L15" s="76" t="n">
        <f aca="false">IF(K15="","",ROUND(K15*(1+VAT),2))</f>
        <v>198.45</v>
      </c>
      <c r="M15" s="73" t="s">
        <v>89</v>
      </c>
      <c r="N15" s="71"/>
      <c r="O15" s="73"/>
      <c r="P15" s="77"/>
      <c r="Q15" s="71"/>
      <c r="R15" s="78" t="s">
        <v>428</v>
      </c>
    </row>
    <row r="16" customFormat="false" ht="15" hidden="false" customHeight="false" outlineLevel="0" collapsed="false">
      <c r="A16" s="70" t="s">
        <v>429</v>
      </c>
      <c r="B16" s="71" t="s">
        <v>415</v>
      </c>
      <c r="C16" s="72" t="s">
        <v>416</v>
      </c>
      <c r="D16" s="71" t="s">
        <v>430</v>
      </c>
      <c r="E16" s="71" t="s">
        <v>393</v>
      </c>
      <c r="F16" s="71" t="s">
        <v>418</v>
      </c>
      <c r="G16" s="73" t="s">
        <v>378</v>
      </c>
      <c r="H16" s="79" t="n">
        <v>260</v>
      </c>
      <c r="I16" s="75" t="n">
        <v>0.05</v>
      </c>
      <c r="J16" s="76" t="n">
        <f aca="false">IF(H16="","",ROUND(H16*(1+I16),2))</f>
        <v>273</v>
      </c>
      <c r="K16" s="76" t="n">
        <f aca="false">IF(J16="","",ROUND(J16*(1+OHP),2))</f>
        <v>327.6</v>
      </c>
      <c r="L16" s="76" t="n">
        <f aca="false">IF(K16="","",ROUND(K16*(1+VAT),2))</f>
        <v>343.98</v>
      </c>
      <c r="M16" s="73" t="s">
        <v>89</v>
      </c>
      <c r="N16" s="71"/>
      <c r="O16" s="73"/>
      <c r="P16" s="77"/>
      <c r="Q16" s="71"/>
      <c r="R16" s="78" t="s">
        <v>431</v>
      </c>
    </row>
    <row r="17" customFormat="false" ht="15" hidden="false" customHeight="false" outlineLevel="0" collapsed="false">
      <c r="A17" s="70" t="s">
        <v>432</v>
      </c>
      <c r="B17" s="71" t="s">
        <v>415</v>
      </c>
      <c r="C17" s="72" t="s">
        <v>416</v>
      </c>
      <c r="D17" s="71" t="s">
        <v>433</v>
      </c>
      <c r="E17" s="71" t="s">
        <v>393</v>
      </c>
      <c r="F17" s="71" t="s">
        <v>418</v>
      </c>
      <c r="G17" s="73" t="s">
        <v>378</v>
      </c>
      <c r="H17" s="79" t="n">
        <v>420</v>
      </c>
      <c r="I17" s="75" t="n">
        <v>0.05</v>
      </c>
      <c r="J17" s="76" t="n">
        <f aca="false">IF(H17="","",ROUND(H17*(1+I17),2))</f>
        <v>441</v>
      </c>
      <c r="K17" s="76" t="n">
        <f aca="false">IF(J17="","",ROUND(J17*(1+OHP),2))</f>
        <v>529.2</v>
      </c>
      <c r="L17" s="76" t="n">
        <f aca="false">IF(K17="","",ROUND(K17*(1+VAT),2))</f>
        <v>555.66</v>
      </c>
      <c r="M17" s="73" t="s">
        <v>89</v>
      </c>
      <c r="N17" s="71"/>
      <c r="O17" s="73"/>
      <c r="P17" s="77"/>
      <c r="Q17" s="71"/>
      <c r="R17" s="78" t="s">
        <v>434</v>
      </c>
    </row>
    <row r="18" customFormat="false" ht="15" hidden="false" customHeight="false" outlineLevel="0" collapsed="false">
      <c r="A18" s="70" t="s">
        <v>435</v>
      </c>
      <c r="B18" s="71" t="s">
        <v>415</v>
      </c>
      <c r="C18" s="72" t="s">
        <v>436</v>
      </c>
      <c r="D18" s="71" t="s">
        <v>403</v>
      </c>
      <c r="E18" s="71" t="s">
        <v>437</v>
      </c>
      <c r="F18" s="71" t="s">
        <v>418</v>
      </c>
      <c r="G18" s="73" t="s">
        <v>378</v>
      </c>
      <c r="H18" s="79" t="n">
        <v>145</v>
      </c>
      <c r="I18" s="75" t="n">
        <v>0.05</v>
      </c>
      <c r="J18" s="76" t="n">
        <f aca="false">IF(H18="","",ROUND(H18*(1+I18),2))</f>
        <v>152.25</v>
      </c>
      <c r="K18" s="76" t="n">
        <f aca="false">IF(J18="","",ROUND(J18*(1+OHP),2))</f>
        <v>182.7</v>
      </c>
      <c r="L18" s="76" t="n">
        <f aca="false">IF(K18="","",ROUND(K18*(1+VAT),2))</f>
        <v>191.84</v>
      </c>
      <c r="M18" s="73" t="s">
        <v>89</v>
      </c>
      <c r="N18" s="71"/>
      <c r="O18" s="73"/>
      <c r="P18" s="77"/>
      <c r="Q18" s="71"/>
      <c r="R18" s="78" t="s">
        <v>425</v>
      </c>
    </row>
    <row r="19" customFormat="false" ht="15" hidden="false" customHeight="false" outlineLevel="0" collapsed="false">
      <c r="A19" s="70" t="s">
        <v>438</v>
      </c>
      <c r="B19" s="71" t="s">
        <v>415</v>
      </c>
      <c r="C19" s="72" t="s">
        <v>439</v>
      </c>
      <c r="D19" s="71" t="s">
        <v>403</v>
      </c>
      <c r="E19" s="71" t="s">
        <v>440</v>
      </c>
      <c r="F19" s="71" t="s">
        <v>418</v>
      </c>
      <c r="G19" s="73" t="s">
        <v>378</v>
      </c>
      <c r="H19" s="79" t="n">
        <v>210</v>
      </c>
      <c r="I19" s="75" t="n">
        <v>0.05</v>
      </c>
      <c r="J19" s="76" t="n">
        <f aca="false">IF(H19="","",ROUND(H19*(1+I19),2))</f>
        <v>220.5</v>
      </c>
      <c r="K19" s="76" t="n">
        <f aca="false">IF(J19="","",ROUND(J19*(1+OHP),2))</f>
        <v>264.6</v>
      </c>
      <c r="L19" s="76" t="n">
        <f aca="false">IF(K19="","",ROUND(K19*(1+VAT),2))</f>
        <v>277.83</v>
      </c>
      <c r="M19" s="73" t="s">
        <v>89</v>
      </c>
      <c r="N19" s="71"/>
      <c r="O19" s="73"/>
      <c r="P19" s="77"/>
      <c r="Q19" s="71"/>
      <c r="R19" s="78" t="s">
        <v>441</v>
      </c>
    </row>
    <row r="20" customFormat="false" ht="15" hidden="false" customHeight="false" outlineLevel="0" collapsed="false">
      <c r="A20" s="70" t="s">
        <v>442</v>
      </c>
      <c r="B20" s="71" t="s">
        <v>415</v>
      </c>
      <c r="C20" s="72" t="s">
        <v>439</v>
      </c>
      <c r="D20" s="71" t="s">
        <v>406</v>
      </c>
      <c r="E20" s="71" t="s">
        <v>440</v>
      </c>
      <c r="F20" s="71" t="s">
        <v>418</v>
      </c>
      <c r="G20" s="73" t="s">
        <v>378</v>
      </c>
      <c r="H20" s="79" t="n">
        <v>260</v>
      </c>
      <c r="I20" s="75" t="n">
        <v>0.05</v>
      </c>
      <c r="J20" s="76" t="n">
        <f aca="false">IF(H20="","",ROUND(H20*(1+I20),2))</f>
        <v>273</v>
      </c>
      <c r="K20" s="76" t="n">
        <f aca="false">IF(J20="","",ROUND(J20*(1+OHP),2))</f>
        <v>327.6</v>
      </c>
      <c r="L20" s="76" t="n">
        <f aca="false">IF(K20="","",ROUND(K20*(1+VAT),2))</f>
        <v>343.98</v>
      </c>
      <c r="M20" s="73" t="s">
        <v>89</v>
      </c>
      <c r="N20" s="71"/>
      <c r="O20" s="73"/>
      <c r="P20" s="77"/>
      <c r="Q20" s="71"/>
      <c r="R20" s="78" t="s">
        <v>443</v>
      </c>
    </row>
    <row r="21" customFormat="false" ht="19.4" hidden="false" customHeight="false" outlineLevel="0" collapsed="false">
      <c r="A21" s="70" t="s">
        <v>444</v>
      </c>
      <c r="B21" s="71" t="s">
        <v>415</v>
      </c>
      <c r="C21" s="72" t="s">
        <v>445</v>
      </c>
      <c r="D21" s="71" t="s">
        <v>403</v>
      </c>
      <c r="E21" s="71" t="s">
        <v>446</v>
      </c>
      <c r="F21" s="71" t="s">
        <v>418</v>
      </c>
      <c r="G21" s="73" t="s">
        <v>378</v>
      </c>
      <c r="H21" s="79" t="n">
        <v>170</v>
      </c>
      <c r="I21" s="75" t="n">
        <v>0.05</v>
      </c>
      <c r="J21" s="76" t="n">
        <f aca="false">IF(H21="","",ROUND(H21*(1+I21),2))</f>
        <v>178.5</v>
      </c>
      <c r="K21" s="76" t="n">
        <f aca="false">IF(J21="","",ROUND(J21*(1+OHP),2))</f>
        <v>214.2</v>
      </c>
      <c r="L21" s="76" t="n">
        <f aca="false">IF(K21="","",ROUND(K21*(1+VAT),2))</f>
        <v>224.91</v>
      </c>
      <c r="M21" s="73" t="s">
        <v>89</v>
      </c>
      <c r="N21" s="71"/>
      <c r="O21" s="73"/>
      <c r="P21" s="77"/>
      <c r="Q21" s="71"/>
      <c r="R21" s="78" t="s">
        <v>447</v>
      </c>
    </row>
    <row r="22" customFormat="false" ht="19.4" hidden="false" customHeight="false" outlineLevel="0" collapsed="false">
      <c r="A22" s="70" t="s">
        <v>448</v>
      </c>
      <c r="B22" s="71" t="s">
        <v>415</v>
      </c>
      <c r="C22" s="72" t="s">
        <v>445</v>
      </c>
      <c r="D22" s="71" t="s">
        <v>406</v>
      </c>
      <c r="E22" s="71" t="s">
        <v>446</v>
      </c>
      <c r="F22" s="71" t="s">
        <v>418</v>
      </c>
      <c r="G22" s="73" t="s">
        <v>378</v>
      </c>
      <c r="H22" s="79" t="n">
        <v>205</v>
      </c>
      <c r="I22" s="75" t="n">
        <v>0.05</v>
      </c>
      <c r="J22" s="76" t="n">
        <f aca="false">IF(H22="","",ROUND(H22*(1+I22),2))</f>
        <v>215.25</v>
      </c>
      <c r="K22" s="76" t="n">
        <f aca="false">IF(J22="","",ROUND(J22*(1+OHP),2))</f>
        <v>258.3</v>
      </c>
      <c r="L22" s="76" t="n">
        <f aca="false">IF(K22="","",ROUND(K22*(1+VAT),2))</f>
        <v>271.22</v>
      </c>
      <c r="M22" s="73" t="s">
        <v>89</v>
      </c>
      <c r="N22" s="71"/>
      <c r="O22" s="73"/>
      <c r="P22" s="77"/>
      <c r="Q22" s="71"/>
      <c r="R22" s="78" t="s">
        <v>449</v>
      </c>
    </row>
    <row r="23" customFormat="false" ht="15" hidden="false" customHeight="false" outlineLevel="0" collapsed="false">
      <c r="A23" s="70" t="s">
        <v>450</v>
      </c>
      <c r="B23" s="71" t="s">
        <v>415</v>
      </c>
      <c r="C23" s="72" t="s">
        <v>451</v>
      </c>
      <c r="D23" s="71" t="s">
        <v>400</v>
      </c>
      <c r="E23" s="71" t="s">
        <v>452</v>
      </c>
      <c r="F23" s="71" t="s">
        <v>453</v>
      </c>
      <c r="G23" s="73" t="s">
        <v>378</v>
      </c>
      <c r="H23" s="79" t="n">
        <v>230</v>
      </c>
      <c r="I23" s="75" t="n">
        <v>0.05</v>
      </c>
      <c r="J23" s="76" t="n">
        <f aca="false">IF(H23="","",ROUND(H23*(1+I23),2))</f>
        <v>241.5</v>
      </c>
      <c r="K23" s="76" t="n">
        <f aca="false">IF(J23="","",ROUND(J23*(1+OHP),2))</f>
        <v>289.8</v>
      </c>
      <c r="L23" s="76" t="n">
        <f aca="false">IF(K23="","",ROUND(K23*(1+VAT),2))</f>
        <v>304.29</v>
      </c>
      <c r="M23" s="73" t="s">
        <v>89</v>
      </c>
      <c r="N23" s="71"/>
      <c r="O23" s="73"/>
      <c r="P23" s="77"/>
      <c r="Q23" s="71"/>
      <c r="R23" s="78" t="s">
        <v>422</v>
      </c>
    </row>
    <row r="24" customFormat="false" ht="15" hidden="false" customHeight="false" outlineLevel="0" collapsed="false">
      <c r="A24" s="70" t="s">
        <v>454</v>
      </c>
      <c r="B24" s="71" t="s">
        <v>415</v>
      </c>
      <c r="C24" s="72" t="s">
        <v>455</v>
      </c>
      <c r="D24" s="71" t="s">
        <v>456</v>
      </c>
      <c r="E24" s="71" t="s">
        <v>457</v>
      </c>
      <c r="F24" s="71" t="s">
        <v>418</v>
      </c>
      <c r="G24" s="73" t="s">
        <v>378</v>
      </c>
      <c r="H24" s="79" t="n">
        <v>25</v>
      </c>
      <c r="I24" s="75" t="n">
        <v>0.05</v>
      </c>
      <c r="J24" s="76" t="n">
        <f aca="false">IF(H24="","",ROUND(H24*(1+I24),2))</f>
        <v>26.25</v>
      </c>
      <c r="K24" s="76" t="n">
        <f aca="false">IF(J24="","",ROUND(J24*(1+OHP),2))</f>
        <v>31.5</v>
      </c>
      <c r="L24" s="76" t="n">
        <f aca="false">IF(K24="","",ROUND(K24*(1+VAT),2))</f>
        <v>33.08</v>
      </c>
      <c r="M24" s="73" t="s">
        <v>89</v>
      </c>
      <c r="N24" s="71"/>
      <c r="O24" s="73"/>
      <c r="P24" s="77"/>
      <c r="Q24" s="71"/>
      <c r="R24" s="78" t="s">
        <v>458</v>
      </c>
    </row>
    <row r="25" customFormat="false" ht="23.85" hidden="false" customHeight="false" outlineLevel="0" collapsed="false">
      <c r="A25" s="70" t="s">
        <v>459</v>
      </c>
      <c r="B25" s="71" t="s">
        <v>415</v>
      </c>
      <c r="C25" s="72" t="s">
        <v>460</v>
      </c>
      <c r="D25" s="71" t="s">
        <v>456</v>
      </c>
      <c r="E25" s="71" t="s">
        <v>457</v>
      </c>
      <c r="F25" s="71" t="s">
        <v>418</v>
      </c>
      <c r="G25" s="73" t="s">
        <v>378</v>
      </c>
      <c r="H25" s="79" t="n">
        <v>15</v>
      </c>
      <c r="I25" s="75" t="n">
        <v>0.05</v>
      </c>
      <c r="J25" s="76" t="n">
        <f aca="false">IF(H25="","",ROUND(H25*(1+I25),2))</f>
        <v>15.75</v>
      </c>
      <c r="K25" s="76" t="n">
        <f aca="false">IF(J25="","",ROUND(J25*(1+OHP),2))</f>
        <v>18.9</v>
      </c>
      <c r="L25" s="76" t="n">
        <f aca="false">IF(K25="","",ROUND(K25*(1+VAT),2))</f>
        <v>19.85</v>
      </c>
      <c r="M25" s="73" t="s">
        <v>89</v>
      </c>
      <c r="N25" s="71"/>
      <c r="O25" s="73"/>
      <c r="P25" s="77"/>
      <c r="Q25" s="71"/>
      <c r="R25" s="78" t="s">
        <v>458</v>
      </c>
    </row>
    <row r="26" customFormat="false" ht="15" hidden="false" customHeight="false" outlineLevel="0" collapsed="false">
      <c r="A26" s="70" t="s">
        <v>461</v>
      </c>
      <c r="B26" s="71" t="s">
        <v>462</v>
      </c>
      <c r="C26" s="72" t="s">
        <v>463</v>
      </c>
      <c r="D26" s="71" t="s">
        <v>464</v>
      </c>
      <c r="E26" s="71" t="s">
        <v>393</v>
      </c>
      <c r="F26" s="71" t="s">
        <v>418</v>
      </c>
      <c r="G26" s="73" t="s">
        <v>378</v>
      </c>
      <c r="H26" s="79" t="n">
        <v>95</v>
      </c>
      <c r="I26" s="75" t="n">
        <v>0.05</v>
      </c>
      <c r="J26" s="76" t="n">
        <f aca="false">IF(H26="","",ROUND(H26*(1+I26),2))</f>
        <v>99.75</v>
      </c>
      <c r="K26" s="76" t="n">
        <f aca="false">IF(J26="","",ROUND(J26*(1+OHP),2))</f>
        <v>119.7</v>
      </c>
      <c r="L26" s="76" t="n">
        <f aca="false">IF(K26="","",ROUND(K26*(1+VAT),2))</f>
        <v>125.69</v>
      </c>
      <c r="M26" s="73" t="s">
        <v>89</v>
      </c>
      <c r="N26" s="71"/>
      <c r="O26" s="73"/>
      <c r="P26" s="77"/>
      <c r="Q26" s="71"/>
      <c r="R26" s="78" t="s">
        <v>465</v>
      </c>
    </row>
    <row r="27" customFormat="false" ht="15" hidden="false" customHeight="false" outlineLevel="0" collapsed="false">
      <c r="A27" s="70" t="s">
        <v>466</v>
      </c>
      <c r="B27" s="71" t="s">
        <v>462</v>
      </c>
      <c r="C27" s="72" t="s">
        <v>463</v>
      </c>
      <c r="D27" s="71" t="s">
        <v>467</v>
      </c>
      <c r="E27" s="71" t="s">
        <v>393</v>
      </c>
      <c r="F27" s="71" t="s">
        <v>418</v>
      </c>
      <c r="G27" s="73" t="s">
        <v>378</v>
      </c>
      <c r="H27" s="79" t="n">
        <v>125</v>
      </c>
      <c r="I27" s="75" t="n">
        <v>0.05</v>
      </c>
      <c r="J27" s="76" t="n">
        <f aca="false">IF(H27="","",ROUND(H27*(1+I27),2))</f>
        <v>131.25</v>
      </c>
      <c r="K27" s="76" t="n">
        <f aca="false">IF(J27="","",ROUND(J27*(1+OHP),2))</f>
        <v>157.5</v>
      </c>
      <c r="L27" s="76" t="n">
        <f aca="false">IF(K27="","",ROUND(K27*(1+VAT),2))</f>
        <v>165.38</v>
      </c>
      <c r="M27" s="73" t="s">
        <v>89</v>
      </c>
      <c r="N27" s="71"/>
      <c r="O27" s="73"/>
      <c r="P27" s="77"/>
      <c r="Q27" s="71"/>
      <c r="R27" s="78" t="s">
        <v>468</v>
      </c>
    </row>
    <row r="28" customFormat="false" ht="15" hidden="false" customHeight="false" outlineLevel="0" collapsed="false">
      <c r="A28" s="70" t="s">
        <v>469</v>
      </c>
      <c r="B28" s="71" t="s">
        <v>462</v>
      </c>
      <c r="C28" s="72" t="s">
        <v>463</v>
      </c>
      <c r="D28" s="71" t="s">
        <v>470</v>
      </c>
      <c r="E28" s="71" t="s">
        <v>393</v>
      </c>
      <c r="F28" s="71" t="s">
        <v>418</v>
      </c>
      <c r="G28" s="73" t="s">
        <v>378</v>
      </c>
      <c r="H28" s="79" t="n">
        <v>150</v>
      </c>
      <c r="I28" s="75" t="n">
        <v>0.05</v>
      </c>
      <c r="J28" s="76" t="n">
        <f aca="false">IF(H28="","",ROUND(H28*(1+I28),2))</f>
        <v>157.5</v>
      </c>
      <c r="K28" s="76" t="n">
        <f aca="false">IF(J28="","",ROUND(J28*(1+OHP),2))</f>
        <v>189</v>
      </c>
      <c r="L28" s="76" t="n">
        <f aca="false">IF(K28="","",ROUND(K28*(1+VAT),2))</f>
        <v>198.45</v>
      </c>
      <c r="M28" s="73" t="s">
        <v>89</v>
      </c>
      <c r="N28" s="71"/>
      <c r="O28" s="73"/>
      <c r="P28" s="77"/>
      <c r="Q28" s="71"/>
      <c r="R28" s="78" t="s">
        <v>471</v>
      </c>
    </row>
    <row r="29" customFormat="false" ht="15" hidden="false" customHeight="false" outlineLevel="0" collapsed="false">
      <c r="A29" s="70" t="s">
        <v>472</v>
      </c>
      <c r="B29" s="71" t="s">
        <v>462</v>
      </c>
      <c r="C29" s="72" t="s">
        <v>463</v>
      </c>
      <c r="D29" s="71" t="s">
        <v>473</v>
      </c>
      <c r="E29" s="71" t="s">
        <v>393</v>
      </c>
      <c r="F29" s="71" t="s">
        <v>418</v>
      </c>
      <c r="G29" s="73" t="s">
        <v>378</v>
      </c>
      <c r="H29" s="79" t="n">
        <v>175</v>
      </c>
      <c r="I29" s="75" t="n">
        <v>0.05</v>
      </c>
      <c r="J29" s="76" t="n">
        <f aca="false">IF(H29="","",ROUND(H29*(1+I29),2))</f>
        <v>183.75</v>
      </c>
      <c r="K29" s="76" t="n">
        <f aca="false">IF(J29="","",ROUND(J29*(1+OHP),2))</f>
        <v>220.5</v>
      </c>
      <c r="L29" s="76" t="n">
        <f aca="false">IF(K29="","",ROUND(K29*(1+VAT),2))</f>
        <v>231.53</v>
      </c>
      <c r="M29" s="73" t="s">
        <v>89</v>
      </c>
      <c r="N29" s="71"/>
      <c r="O29" s="73"/>
      <c r="P29" s="77"/>
      <c r="Q29" s="71"/>
      <c r="R29" s="78" t="s">
        <v>474</v>
      </c>
    </row>
    <row r="30" customFormat="false" ht="15" hidden="false" customHeight="false" outlineLevel="0" collapsed="false">
      <c r="A30" s="70" t="s">
        <v>475</v>
      </c>
      <c r="B30" s="71" t="s">
        <v>462</v>
      </c>
      <c r="C30" s="72" t="s">
        <v>476</v>
      </c>
      <c r="D30" s="71" t="s">
        <v>477</v>
      </c>
      <c r="E30" s="71" t="s">
        <v>393</v>
      </c>
      <c r="F30" s="71" t="s">
        <v>418</v>
      </c>
      <c r="G30" s="73" t="s">
        <v>378</v>
      </c>
      <c r="H30" s="79" t="n">
        <v>260</v>
      </c>
      <c r="I30" s="75" t="n">
        <v>0.05</v>
      </c>
      <c r="J30" s="76" t="n">
        <f aca="false">IF(H30="","",ROUND(H30*(1+I30),2))</f>
        <v>273</v>
      </c>
      <c r="K30" s="76" t="n">
        <f aca="false">IF(J30="","",ROUND(J30*(1+OHP),2))</f>
        <v>327.6</v>
      </c>
      <c r="L30" s="76" t="n">
        <f aca="false">IF(K30="","",ROUND(K30*(1+VAT),2))</f>
        <v>343.98</v>
      </c>
      <c r="M30" s="73" t="s">
        <v>89</v>
      </c>
      <c r="N30" s="71"/>
      <c r="O30" s="73"/>
      <c r="P30" s="77"/>
      <c r="Q30" s="71"/>
      <c r="R30" s="78" t="s">
        <v>478</v>
      </c>
    </row>
    <row r="31" customFormat="false" ht="15" hidden="false" customHeight="false" outlineLevel="0" collapsed="false">
      <c r="A31" s="70" t="s">
        <v>479</v>
      </c>
      <c r="B31" s="71" t="s">
        <v>462</v>
      </c>
      <c r="C31" s="72" t="s">
        <v>476</v>
      </c>
      <c r="D31" s="71" t="s">
        <v>480</v>
      </c>
      <c r="E31" s="71" t="s">
        <v>393</v>
      </c>
      <c r="F31" s="71" t="s">
        <v>418</v>
      </c>
      <c r="G31" s="73" t="s">
        <v>378</v>
      </c>
      <c r="H31" s="79" t="n">
        <v>360</v>
      </c>
      <c r="I31" s="75" t="n">
        <v>0.05</v>
      </c>
      <c r="J31" s="76" t="n">
        <f aca="false">IF(H31="","",ROUND(H31*(1+I31),2))</f>
        <v>378</v>
      </c>
      <c r="K31" s="76" t="n">
        <f aca="false">IF(J31="","",ROUND(J31*(1+OHP),2))</f>
        <v>453.6</v>
      </c>
      <c r="L31" s="76" t="n">
        <f aca="false">IF(K31="","",ROUND(K31*(1+VAT),2))</f>
        <v>476.28</v>
      </c>
      <c r="M31" s="73" t="s">
        <v>89</v>
      </c>
      <c r="N31" s="71"/>
      <c r="O31" s="73"/>
      <c r="P31" s="77"/>
      <c r="Q31" s="71"/>
      <c r="R31" s="78" t="s">
        <v>481</v>
      </c>
    </row>
    <row r="32" customFormat="false" ht="15" hidden="false" customHeight="false" outlineLevel="0" collapsed="false">
      <c r="A32" s="70" t="s">
        <v>482</v>
      </c>
      <c r="B32" s="71" t="s">
        <v>462</v>
      </c>
      <c r="C32" s="72" t="s">
        <v>476</v>
      </c>
      <c r="D32" s="71" t="s">
        <v>483</v>
      </c>
      <c r="E32" s="71" t="s">
        <v>393</v>
      </c>
      <c r="F32" s="71" t="s">
        <v>418</v>
      </c>
      <c r="G32" s="73" t="s">
        <v>378</v>
      </c>
      <c r="H32" s="79" t="n">
        <v>450</v>
      </c>
      <c r="I32" s="75" t="n">
        <v>0.05</v>
      </c>
      <c r="J32" s="76" t="n">
        <f aca="false">IF(H32="","",ROUND(H32*(1+I32),2))</f>
        <v>472.5</v>
      </c>
      <c r="K32" s="76" t="n">
        <f aca="false">IF(J32="","",ROUND(J32*(1+OHP),2))</f>
        <v>567</v>
      </c>
      <c r="L32" s="76" t="n">
        <f aca="false">IF(K32="","",ROUND(K32*(1+VAT),2))</f>
        <v>595.35</v>
      </c>
      <c r="M32" s="73" t="s">
        <v>89</v>
      </c>
      <c r="N32" s="71"/>
      <c r="O32" s="73"/>
      <c r="P32" s="77"/>
      <c r="Q32" s="71"/>
      <c r="R32" s="78" t="s">
        <v>484</v>
      </c>
    </row>
    <row r="33" customFormat="false" ht="15" hidden="false" customHeight="false" outlineLevel="0" collapsed="false">
      <c r="A33" s="70" t="s">
        <v>485</v>
      </c>
      <c r="B33" s="71" t="s">
        <v>462</v>
      </c>
      <c r="C33" s="72" t="s">
        <v>486</v>
      </c>
      <c r="D33" s="71" t="s">
        <v>487</v>
      </c>
      <c r="E33" s="71" t="s">
        <v>393</v>
      </c>
      <c r="F33" s="71" t="s">
        <v>418</v>
      </c>
      <c r="G33" s="73" t="s">
        <v>378</v>
      </c>
      <c r="H33" s="79" t="n">
        <v>650</v>
      </c>
      <c r="I33" s="75" t="n">
        <v>0.05</v>
      </c>
      <c r="J33" s="76" t="n">
        <f aca="false">IF(H33="","",ROUND(H33*(1+I33),2))</f>
        <v>682.5</v>
      </c>
      <c r="K33" s="76" t="n">
        <f aca="false">IF(J33="","",ROUND(J33*(1+OHP),2))</f>
        <v>819</v>
      </c>
      <c r="L33" s="76" t="n">
        <f aca="false">IF(K33="","",ROUND(K33*(1+VAT),2))</f>
        <v>859.95</v>
      </c>
      <c r="M33" s="73" t="s">
        <v>89</v>
      </c>
      <c r="N33" s="71"/>
      <c r="O33" s="73"/>
      <c r="P33" s="77"/>
      <c r="Q33" s="71"/>
      <c r="R33" s="78" t="s">
        <v>484</v>
      </c>
    </row>
    <row r="34" customFormat="false" ht="15" hidden="false" customHeight="false" outlineLevel="0" collapsed="false">
      <c r="A34" s="70" t="s">
        <v>488</v>
      </c>
      <c r="B34" s="71" t="s">
        <v>462</v>
      </c>
      <c r="C34" s="72" t="s">
        <v>489</v>
      </c>
      <c r="D34" s="71" t="s">
        <v>490</v>
      </c>
      <c r="E34" s="71" t="s">
        <v>491</v>
      </c>
      <c r="F34" s="71" t="s">
        <v>418</v>
      </c>
      <c r="G34" s="73" t="s">
        <v>378</v>
      </c>
      <c r="H34" s="79" t="n">
        <v>175</v>
      </c>
      <c r="I34" s="75" t="n">
        <v>0.05</v>
      </c>
      <c r="J34" s="76" t="n">
        <f aca="false">IF(H34="","",ROUND(H34*(1+I34),2))</f>
        <v>183.75</v>
      </c>
      <c r="K34" s="76" t="n">
        <f aca="false">IF(J34="","",ROUND(J34*(1+OHP),2))</f>
        <v>220.5</v>
      </c>
      <c r="L34" s="76" t="n">
        <f aca="false">IF(K34="","",ROUND(K34*(1+VAT),2))</f>
        <v>231.53</v>
      </c>
      <c r="M34" s="73" t="s">
        <v>89</v>
      </c>
      <c r="N34" s="71"/>
      <c r="O34" s="73"/>
      <c r="P34" s="77"/>
      <c r="Q34" s="71"/>
      <c r="R34" s="78" t="s">
        <v>492</v>
      </c>
    </row>
    <row r="35" customFormat="false" ht="15" hidden="false" customHeight="false" outlineLevel="0" collapsed="false">
      <c r="A35" s="70" t="s">
        <v>493</v>
      </c>
      <c r="B35" s="71" t="s">
        <v>494</v>
      </c>
      <c r="C35" s="72" t="s">
        <v>495</v>
      </c>
      <c r="D35" s="71" t="s">
        <v>496</v>
      </c>
      <c r="E35" s="71" t="s">
        <v>393</v>
      </c>
      <c r="F35" s="71" t="s">
        <v>418</v>
      </c>
      <c r="G35" s="73" t="s">
        <v>378</v>
      </c>
      <c r="H35" s="79" t="n">
        <v>180</v>
      </c>
      <c r="I35" s="75" t="n">
        <v>0.05</v>
      </c>
      <c r="J35" s="76" t="n">
        <f aca="false">IF(H35="","",ROUND(H35*(1+I35),2))</f>
        <v>189</v>
      </c>
      <c r="K35" s="76" t="n">
        <f aca="false">IF(J35="","",ROUND(J35*(1+OHP),2))</f>
        <v>226.8</v>
      </c>
      <c r="L35" s="76" t="n">
        <f aca="false">IF(K35="","",ROUND(K35*(1+VAT),2))</f>
        <v>238.14</v>
      </c>
      <c r="M35" s="73" t="s">
        <v>89</v>
      </c>
      <c r="N35" s="71"/>
      <c r="O35" s="73"/>
      <c r="P35" s="77"/>
      <c r="Q35" s="71"/>
      <c r="R35" s="78" t="s">
        <v>497</v>
      </c>
    </row>
    <row r="36" customFormat="false" ht="15" hidden="false" customHeight="false" outlineLevel="0" collapsed="false">
      <c r="A36" s="70" t="s">
        <v>498</v>
      </c>
      <c r="B36" s="71" t="s">
        <v>494</v>
      </c>
      <c r="C36" s="72" t="s">
        <v>499</v>
      </c>
      <c r="D36" s="71" t="s">
        <v>500</v>
      </c>
      <c r="E36" s="71" t="s">
        <v>501</v>
      </c>
      <c r="F36" s="71" t="s">
        <v>418</v>
      </c>
      <c r="G36" s="73" t="s">
        <v>378</v>
      </c>
      <c r="H36" s="79" t="n">
        <v>210</v>
      </c>
      <c r="I36" s="75" t="n">
        <v>0.05</v>
      </c>
      <c r="J36" s="76" t="n">
        <f aca="false">IF(H36="","",ROUND(H36*(1+I36),2))</f>
        <v>220.5</v>
      </c>
      <c r="K36" s="76" t="n">
        <f aca="false">IF(J36="","",ROUND(J36*(1+OHP),2))</f>
        <v>264.6</v>
      </c>
      <c r="L36" s="76" t="n">
        <f aca="false">IF(K36="","",ROUND(K36*(1+VAT),2))</f>
        <v>277.83</v>
      </c>
      <c r="M36" s="73" t="s">
        <v>89</v>
      </c>
      <c r="N36" s="71"/>
      <c r="O36" s="73"/>
      <c r="P36" s="77"/>
      <c r="Q36" s="71"/>
      <c r="R36" s="78" t="s">
        <v>502</v>
      </c>
    </row>
    <row r="37" customFormat="false" ht="15" hidden="false" customHeight="false" outlineLevel="0" collapsed="false">
      <c r="A37" s="70" t="s">
        <v>503</v>
      </c>
      <c r="B37" s="71" t="s">
        <v>494</v>
      </c>
      <c r="C37" s="72" t="s">
        <v>504</v>
      </c>
      <c r="D37" s="71" t="s">
        <v>505</v>
      </c>
      <c r="E37" s="71" t="s">
        <v>506</v>
      </c>
      <c r="F37" s="71" t="s">
        <v>418</v>
      </c>
      <c r="G37" s="73" t="s">
        <v>378</v>
      </c>
      <c r="H37" s="79" t="n">
        <v>230</v>
      </c>
      <c r="I37" s="75" t="n">
        <v>0.05</v>
      </c>
      <c r="J37" s="76" t="n">
        <f aca="false">IF(H37="","",ROUND(H37*(1+I37),2))</f>
        <v>241.5</v>
      </c>
      <c r="K37" s="76" t="n">
        <f aca="false">IF(J37="","",ROUND(J37*(1+OHP),2))</f>
        <v>289.8</v>
      </c>
      <c r="L37" s="76" t="n">
        <f aca="false">IF(K37="","",ROUND(K37*(1+VAT),2))</f>
        <v>304.29</v>
      </c>
      <c r="M37" s="73" t="s">
        <v>89</v>
      </c>
      <c r="N37" s="71"/>
      <c r="O37" s="73"/>
      <c r="P37" s="77"/>
      <c r="Q37" s="71"/>
      <c r="R37" s="78" t="s">
        <v>502</v>
      </c>
    </row>
    <row r="38" customFormat="false" ht="15" hidden="false" customHeight="false" outlineLevel="0" collapsed="false">
      <c r="A38" s="70" t="s">
        <v>507</v>
      </c>
      <c r="B38" s="71" t="s">
        <v>494</v>
      </c>
      <c r="C38" s="72" t="s">
        <v>508</v>
      </c>
      <c r="D38" s="71" t="s">
        <v>509</v>
      </c>
      <c r="E38" s="71" t="s">
        <v>510</v>
      </c>
      <c r="F38" s="71" t="s">
        <v>511</v>
      </c>
      <c r="G38" s="73" t="s">
        <v>378</v>
      </c>
      <c r="H38" s="79" t="n">
        <v>280</v>
      </c>
      <c r="I38" s="75" t="n">
        <v>0.05</v>
      </c>
      <c r="J38" s="76" t="n">
        <f aca="false">IF(H38="","",ROUND(H38*(1+I38),2))</f>
        <v>294</v>
      </c>
      <c r="K38" s="76" t="n">
        <f aca="false">IF(J38="","",ROUND(J38*(1+OHP),2))</f>
        <v>352.8</v>
      </c>
      <c r="L38" s="76" t="n">
        <f aca="false">IF(K38="","",ROUND(K38*(1+VAT),2))</f>
        <v>370.44</v>
      </c>
      <c r="M38" s="73" t="s">
        <v>89</v>
      </c>
      <c r="N38" s="71"/>
      <c r="O38" s="73"/>
      <c r="P38" s="77"/>
      <c r="Q38" s="71"/>
      <c r="R38" s="78" t="s">
        <v>512</v>
      </c>
    </row>
    <row r="39" customFormat="false" ht="23.85" hidden="false" customHeight="false" outlineLevel="0" collapsed="false">
      <c r="A39" s="70" t="s">
        <v>513</v>
      </c>
      <c r="B39" s="71" t="s">
        <v>494</v>
      </c>
      <c r="C39" s="72" t="s">
        <v>514</v>
      </c>
      <c r="D39" s="71" t="s">
        <v>515</v>
      </c>
      <c r="E39" s="71" t="s">
        <v>510</v>
      </c>
      <c r="F39" s="71" t="s">
        <v>511</v>
      </c>
      <c r="G39" s="73" t="s">
        <v>378</v>
      </c>
      <c r="H39" s="79" t="n">
        <v>360</v>
      </c>
      <c r="I39" s="75" t="n">
        <v>0.05</v>
      </c>
      <c r="J39" s="76" t="n">
        <f aca="false">IF(H39="","",ROUND(H39*(1+I39),2))</f>
        <v>378</v>
      </c>
      <c r="K39" s="76" t="n">
        <f aca="false">IF(J39="","",ROUND(J39*(1+OHP),2))</f>
        <v>453.6</v>
      </c>
      <c r="L39" s="76" t="n">
        <f aca="false">IF(K39="","",ROUND(K39*(1+VAT),2))</f>
        <v>476.28</v>
      </c>
      <c r="M39" s="73" t="s">
        <v>89</v>
      </c>
      <c r="N39" s="71"/>
      <c r="O39" s="73"/>
      <c r="P39" s="77"/>
      <c r="Q39" s="71"/>
      <c r="R39" s="78" t="s">
        <v>516</v>
      </c>
    </row>
    <row r="40" customFormat="false" ht="15" hidden="false" customHeight="false" outlineLevel="0" collapsed="false">
      <c r="A40" s="70" t="s">
        <v>517</v>
      </c>
      <c r="B40" s="71" t="s">
        <v>494</v>
      </c>
      <c r="C40" s="72" t="s">
        <v>518</v>
      </c>
      <c r="D40" s="71" t="s">
        <v>519</v>
      </c>
      <c r="E40" s="71" t="s">
        <v>510</v>
      </c>
      <c r="F40" s="71" t="s">
        <v>511</v>
      </c>
      <c r="G40" s="73" t="s">
        <v>378</v>
      </c>
      <c r="H40" s="79" t="n">
        <v>380</v>
      </c>
      <c r="I40" s="75" t="n">
        <v>0.05</v>
      </c>
      <c r="J40" s="76" t="n">
        <f aca="false">IF(H40="","",ROUND(H40*(1+I40),2))</f>
        <v>399</v>
      </c>
      <c r="K40" s="76" t="n">
        <f aca="false">IF(J40="","",ROUND(J40*(1+OHP),2))</f>
        <v>478.8</v>
      </c>
      <c r="L40" s="76" t="n">
        <f aca="false">IF(K40="","",ROUND(K40*(1+VAT),2))</f>
        <v>502.74</v>
      </c>
      <c r="M40" s="73" t="s">
        <v>89</v>
      </c>
      <c r="N40" s="71"/>
      <c r="O40" s="73"/>
      <c r="P40" s="77"/>
      <c r="Q40" s="71"/>
      <c r="R40" s="78" t="s">
        <v>520</v>
      </c>
    </row>
    <row r="41" customFormat="false" ht="15" hidden="false" customHeight="false" outlineLevel="0" collapsed="false">
      <c r="A41" s="70" t="s">
        <v>521</v>
      </c>
      <c r="B41" s="71" t="s">
        <v>494</v>
      </c>
      <c r="C41" s="72" t="s">
        <v>522</v>
      </c>
      <c r="D41" s="71" t="s">
        <v>523</v>
      </c>
      <c r="E41" s="71" t="s">
        <v>524</v>
      </c>
      <c r="F41" s="71" t="s">
        <v>418</v>
      </c>
      <c r="G41" s="73" t="s">
        <v>378</v>
      </c>
      <c r="H41" s="79" t="n">
        <v>420</v>
      </c>
      <c r="I41" s="75" t="n">
        <v>0.05</v>
      </c>
      <c r="J41" s="76" t="n">
        <f aca="false">IF(H41="","",ROUND(H41*(1+I41),2))</f>
        <v>441</v>
      </c>
      <c r="K41" s="76" t="n">
        <f aca="false">IF(J41="","",ROUND(J41*(1+OHP),2))</f>
        <v>529.2</v>
      </c>
      <c r="L41" s="76" t="n">
        <f aca="false">IF(K41="","",ROUND(K41*(1+VAT),2))</f>
        <v>555.66</v>
      </c>
      <c r="M41" s="73" t="s">
        <v>89</v>
      </c>
      <c r="N41" s="71"/>
      <c r="O41" s="73"/>
      <c r="P41" s="77"/>
      <c r="Q41" s="71"/>
      <c r="R41" s="78" t="s">
        <v>525</v>
      </c>
    </row>
    <row r="42" customFormat="false" ht="15" hidden="false" customHeight="false" outlineLevel="0" collapsed="false">
      <c r="A42" s="70" t="s">
        <v>526</v>
      </c>
      <c r="B42" s="71" t="s">
        <v>494</v>
      </c>
      <c r="C42" s="72" t="s">
        <v>527</v>
      </c>
      <c r="D42" s="71" t="s">
        <v>528</v>
      </c>
      <c r="E42" s="71" t="s">
        <v>457</v>
      </c>
      <c r="F42" s="71" t="s">
        <v>418</v>
      </c>
      <c r="G42" s="73" t="s">
        <v>378</v>
      </c>
      <c r="H42" s="79" t="n">
        <v>35</v>
      </c>
      <c r="I42" s="75" t="n">
        <v>0.05</v>
      </c>
      <c r="J42" s="76" t="n">
        <f aca="false">IF(H42="","",ROUND(H42*(1+I42),2))</f>
        <v>36.75</v>
      </c>
      <c r="K42" s="76" t="n">
        <f aca="false">IF(J42="","",ROUND(J42*(1+OHP),2))</f>
        <v>44.1</v>
      </c>
      <c r="L42" s="76" t="n">
        <f aca="false">IF(K42="","",ROUND(K42*(1+VAT),2))</f>
        <v>46.31</v>
      </c>
      <c r="M42" s="73" t="s">
        <v>89</v>
      </c>
      <c r="N42" s="71"/>
      <c r="O42" s="73"/>
      <c r="P42" s="77"/>
      <c r="Q42" s="71"/>
      <c r="R42" s="78" t="s">
        <v>529</v>
      </c>
    </row>
    <row r="43" customFormat="false" ht="19.4" hidden="false" customHeight="false" outlineLevel="0" collapsed="false">
      <c r="A43" s="70" t="s">
        <v>530</v>
      </c>
      <c r="B43" s="71" t="s">
        <v>531</v>
      </c>
      <c r="C43" s="72" t="s">
        <v>532</v>
      </c>
      <c r="D43" s="71" t="s">
        <v>397</v>
      </c>
      <c r="E43" s="71" t="s">
        <v>533</v>
      </c>
      <c r="F43" s="71" t="s">
        <v>418</v>
      </c>
      <c r="G43" s="73" t="s">
        <v>378</v>
      </c>
      <c r="H43" s="79" t="n">
        <v>140</v>
      </c>
      <c r="I43" s="75" t="n">
        <v>0.05</v>
      </c>
      <c r="J43" s="76" t="n">
        <f aca="false">IF(H43="","",ROUND(H43*(1+I43),2))</f>
        <v>147</v>
      </c>
      <c r="K43" s="76" t="n">
        <f aca="false">IF(J43="","",ROUND(J43*(1+OHP),2))</f>
        <v>176.4</v>
      </c>
      <c r="L43" s="76" t="n">
        <f aca="false">IF(K43="","",ROUND(K43*(1+VAT),2))</f>
        <v>185.22</v>
      </c>
      <c r="M43" s="73" t="s">
        <v>89</v>
      </c>
      <c r="N43" s="71"/>
      <c r="O43" s="73"/>
      <c r="P43" s="77"/>
      <c r="Q43" s="71"/>
      <c r="R43" s="78" t="s">
        <v>534</v>
      </c>
    </row>
    <row r="44" customFormat="false" ht="19.4" hidden="false" customHeight="false" outlineLevel="0" collapsed="false">
      <c r="A44" s="70" t="s">
        <v>535</v>
      </c>
      <c r="B44" s="71" t="s">
        <v>531</v>
      </c>
      <c r="C44" s="72" t="s">
        <v>532</v>
      </c>
      <c r="D44" s="71" t="s">
        <v>403</v>
      </c>
      <c r="E44" s="71" t="s">
        <v>533</v>
      </c>
      <c r="F44" s="71" t="s">
        <v>418</v>
      </c>
      <c r="G44" s="73" t="s">
        <v>378</v>
      </c>
      <c r="H44" s="79" t="n">
        <v>185</v>
      </c>
      <c r="I44" s="75" t="n">
        <v>0.05</v>
      </c>
      <c r="J44" s="76" t="n">
        <f aca="false">IF(H44="","",ROUND(H44*(1+I44),2))</f>
        <v>194.25</v>
      </c>
      <c r="K44" s="76" t="n">
        <f aca="false">IF(J44="","",ROUND(J44*(1+OHP),2))</f>
        <v>233.1</v>
      </c>
      <c r="L44" s="76" t="n">
        <f aca="false">IF(K44="","",ROUND(K44*(1+VAT),2))</f>
        <v>244.76</v>
      </c>
      <c r="M44" s="73" t="s">
        <v>89</v>
      </c>
      <c r="N44" s="71"/>
      <c r="O44" s="73"/>
      <c r="P44" s="77"/>
      <c r="Q44" s="71"/>
      <c r="R44" s="78" t="s">
        <v>536</v>
      </c>
    </row>
    <row r="45" customFormat="false" ht="15" hidden="false" customHeight="false" outlineLevel="0" collapsed="false">
      <c r="A45" s="70" t="s">
        <v>537</v>
      </c>
      <c r="B45" s="71" t="s">
        <v>531</v>
      </c>
      <c r="C45" s="72" t="s">
        <v>538</v>
      </c>
      <c r="D45" s="71" t="s">
        <v>539</v>
      </c>
      <c r="E45" s="71" t="s">
        <v>533</v>
      </c>
      <c r="F45" s="71" t="s">
        <v>418</v>
      </c>
      <c r="G45" s="73" t="s">
        <v>378</v>
      </c>
      <c r="H45" s="79" t="n">
        <v>150</v>
      </c>
      <c r="I45" s="75" t="n">
        <v>0.05</v>
      </c>
      <c r="J45" s="76" t="n">
        <f aca="false">IF(H45="","",ROUND(H45*(1+I45),2))</f>
        <v>157.5</v>
      </c>
      <c r="K45" s="76" t="n">
        <f aca="false">IF(J45="","",ROUND(J45*(1+OHP),2))</f>
        <v>189</v>
      </c>
      <c r="L45" s="76" t="n">
        <f aca="false">IF(K45="","",ROUND(K45*(1+VAT),2))</f>
        <v>198.45</v>
      </c>
      <c r="M45" s="73" t="s">
        <v>89</v>
      </c>
      <c r="N45" s="71"/>
      <c r="O45" s="73"/>
      <c r="P45" s="77"/>
      <c r="Q45" s="71"/>
      <c r="R45" s="78" t="s">
        <v>398</v>
      </c>
    </row>
    <row r="46" customFormat="false" ht="15" hidden="false" customHeight="false" outlineLevel="0" collapsed="false">
      <c r="A46" s="70" t="s">
        <v>540</v>
      </c>
      <c r="B46" s="71" t="s">
        <v>531</v>
      </c>
      <c r="C46" s="72" t="s">
        <v>541</v>
      </c>
      <c r="D46" s="71" t="s">
        <v>542</v>
      </c>
      <c r="E46" s="71" t="s">
        <v>543</v>
      </c>
      <c r="F46" s="71" t="s">
        <v>418</v>
      </c>
      <c r="G46" s="73" t="s">
        <v>378</v>
      </c>
      <c r="H46" s="79" t="n">
        <v>380</v>
      </c>
      <c r="I46" s="75" t="n">
        <v>0.05</v>
      </c>
      <c r="J46" s="76" t="n">
        <f aca="false">IF(H46="","",ROUND(H46*(1+I46),2))</f>
        <v>399</v>
      </c>
      <c r="K46" s="76" t="n">
        <f aca="false">IF(J46="","",ROUND(J46*(1+OHP),2))</f>
        <v>478.8</v>
      </c>
      <c r="L46" s="76" t="n">
        <f aca="false">IF(K46="","",ROUND(K46*(1+VAT),2))</f>
        <v>502.74</v>
      </c>
      <c r="M46" s="73" t="s">
        <v>89</v>
      </c>
      <c r="N46" s="71"/>
      <c r="O46" s="73"/>
      <c r="P46" s="77"/>
      <c r="Q46" s="71"/>
      <c r="R46" s="78" t="s">
        <v>425</v>
      </c>
    </row>
    <row r="47" customFormat="false" ht="15" hidden="false" customHeight="false" outlineLevel="0" collapsed="false">
      <c r="A47" s="70" t="s">
        <v>544</v>
      </c>
      <c r="B47" s="71" t="s">
        <v>531</v>
      </c>
      <c r="C47" s="72" t="s">
        <v>545</v>
      </c>
      <c r="D47" s="71" t="s">
        <v>546</v>
      </c>
      <c r="E47" s="71" t="s">
        <v>547</v>
      </c>
      <c r="F47" s="71" t="s">
        <v>453</v>
      </c>
      <c r="G47" s="73" t="s">
        <v>378</v>
      </c>
      <c r="H47" s="79" t="n">
        <v>1400</v>
      </c>
      <c r="I47" s="75" t="n">
        <v>0.05</v>
      </c>
      <c r="J47" s="76" t="n">
        <f aca="false">IF(H47="","",ROUND(H47*(1+I47),2))</f>
        <v>1470</v>
      </c>
      <c r="K47" s="76" t="n">
        <f aca="false">IF(J47="","",ROUND(J47*(1+OHP),2))</f>
        <v>1764</v>
      </c>
      <c r="L47" s="76" t="n">
        <f aca="false">IF(K47="","",ROUND(K47*(1+VAT),2))</f>
        <v>1852.2</v>
      </c>
      <c r="M47" s="73" t="s">
        <v>89</v>
      </c>
      <c r="N47" s="71"/>
      <c r="O47" s="73"/>
      <c r="P47" s="77"/>
      <c r="Q47" s="71"/>
      <c r="R47" s="78" t="s">
        <v>548</v>
      </c>
    </row>
    <row r="48" customFormat="false" ht="15" hidden="false" customHeight="false" outlineLevel="0" collapsed="false">
      <c r="A48" s="70" t="s">
        <v>549</v>
      </c>
      <c r="B48" s="71" t="s">
        <v>531</v>
      </c>
      <c r="C48" s="72" t="s">
        <v>550</v>
      </c>
      <c r="D48" s="71" t="s">
        <v>551</v>
      </c>
      <c r="E48" s="71" t="s">
        <v>393</v>
      </c>
      <c r="F48" s="71" t="s">
        <v>453</v>
      </c>
      <c r="G48" s="73" t="s">
        <v>378</v>
      </c>
      <c r="H48" s="79" t="n">
        <v>110</v>
      </c>
      <c r="I48" s="75" t="n">
        <v>0.05</v>
      </c>
      <c r="J48" s="76" t="n">
        <f aca="false">IF(H48="","",ROUND(H48*(1+I48),2))</f>
        <v>115.5</v>
      </c>
      <c r="K48" s="76" t="n">
        <f aca="false">IF(J48="","",ROUND(J48*(1+OHP),2))</f>
        <v>138.6</v>
      </c>
      <c r="L48" s="76" t="n">
        <f aca="false">IF(K48="","",ROUND(K48*(1+VAT),2))</f>
        <v>145.53</v>
      </c>
      <c r="M48" s="73" t="s">
        <v>89</v>
      </c>
      <c r="N48" s="71"/>
      <c r="O48" s="73"/>
      <c r="P48" s="77"/>
      <c r="Q48" s="71"/>
      <c r="R48" s="78" t="s">
        <v>552</v>
      </c>
    </row>
    <row r="49" customFormat="false" ht="15" hidden="false" customHeight="false" outlineLevel="0" collapsed="false">
      <c r="A49" s="70" t="s">
        <v>553</v>
      </c>
      <c r="B49" s="71" t="s">
        <v>531</v>
      </c>
      <c r="C49" s="72" t="s">
        <v>554</v>
      </c>
      <c r="D49" s="71" t="s">
        <v>555</v>
      </c>
      <c r="E49" s="71" t="s">
        <v>556</v>
      </c>
      <c r="F49" s="71" t="s">
        <v>418</v>
      </c>
      <c r="G49" s="73" t="s">
        <v>378</v>
      </c>
      <c r="H49" s="79" t="n">
        <v>750</v>
      </c>
      <c r="I49" s="75" t="n">
        <v>0.05</v>
      </c>
      <c r="J49" s="76" t="n">
        <f aca="false">IF(H49="","",ROUND(H49*(1+I49),2))</f>
        <v>787.5</v>
      </c>
      <c r="K49" s="76" t="n">
        <f aca="false">IF(J49="","",ROUND(J49*(1+OHP),2))</f>
        <v>945</v>
      </c>
      <c r="L49" s="76" t="n">
        <f aca="false">IF(K49="","",ROUND(K49*(1+VAT),2))</f>
        <v>992.25</v>
      </c>
      <c r="M49" s="73" t="s">
        <v>89</v>
      </c>
      <c r="N49" s="71"/>
      <c r="O49" s="73"/>
      <c r="P49" s="77"/>
      <c r="Q49" s="71"/>
      <c r="R49" s="78" t="s">
        <v>557</v>
      </c>
    </row>
    <row r="50" customFormat="false" ht="15" hidden="false" customHeight="false" outlineLevel="0" collapsed="false">
      <c r="A50" s="70" t="s">
        <v>558</v>
      </c>
      <c r="B50" s="71" t="s">
        <v>559</v>
      </c>
      <c r="C50" s="72" t="s">
        <v>560</v>
      </c>
      <c r="D50" s="71" t="s">
        <v>561</v>
      </c>
      <c r="E50" s="71" t="s">
        <v>393</v>
      </c>
      <c r="F50" s="71" t="s">
        <v>562</v>
      </c>
      <c r="G50" s="73" t="s">
        <v>378</v>
      </c>
      <c r="H50" s="79" t="n">
        <v>900</v>
      </c>
      <c r="I50" s="75" t="n">
        <v>0.05</v>
      </c>
      <c r="J50" s="76" t="n">
        <f aca="false">IF(H50="","",ROUND(H50*(1+I50),2))</f>
        <v>945</v>
      </c>
      <c r="K50" s="76" t="n">
        <f aca="false">IF(J50="","",ROUND(J50*(1+OHP),2))</f>
        <v>1134</v>
      </c>
      <c r="L50" s="76" t="n">
        <f aca="false">IF(K50="","",ROUND(K50*(1+VAT),2))</f>
        <v>1190.7</v>
      </c>
      <c r="M50" s="73" t="s">
        <v>89</v>
      </c>
      <c r="N50" s="71"/>
      <c r="O50" s="73"/>
      <c r="P50" s="77"/>
      <c r="Q50" s="71"/>
      <c r="R50" s="78" t="s">
        <v>563</v>
      </c>
    </row>
    <row r="51" customFormat="false" ht="15" hidden="false" customHeight="false" outlineLevel="0" collapsed="false">
      <c r="A51" s="70" t="s">
        <v>564</v>
      </c>
      <c r="B51" s="71" t="s">
        <v>559</v>
      </c>
      <c r="C51" s="72" t="s">
        <v>565</v>
      </c>
      <c r="D51" s="71" t="s">
        <v>566</v>
      </c>
      <c r="E51" s="71" t="s">
        <v>393</v>
      </c>
      <c r="F51" s="71" t="s">
        <v>562</v>
      </c>
      <c r="G51" s="73" t="s">
        <v>378</v>
      </c>
      <c r="H51" s="79" t="n">
        <v>1600</v>
      </c>
      <c r="I51" s="75" t="n">
        <v>0.05</v>
      </c>
      <c r="J51" s="76" t="n">
        <f aca="false">IF(H51="","",ROUND(H51*(1+I51),2))</f>
        <v>1680</v>
      </c>
      <c r="K51" s="76" t="n">
        <f aca="false">IF(J51="","",ROUND(J51*(1+OHP),2))</f>
        <v>2016</v>
      </c>
      <c r="L51" s="76" t="n">
        <f aca="false">IF(K51="","",ROUND(K51*(1+VAT),2))</f>
        <v>2116.8</v>
      </c>
      <c r="M51" s="73" t="s">
        <v>89</v>
      </c>
      <c r="N51" s="71"/>
      <c r="O51" s="73"/>
      <c r="P51" s="77"/>
      <c r="Q51" s="71"/>
      <c r="R51" s="78" t="s">
        <v>567</v>
      </c>
    </row>
    <row r="52" customFormat="false" ht="15" hidden="false" customHeight="false" outlineLevel="0" collapsed="false">
      <c r="A52" s="70" t="s">
        <v>568</v>
      </c>
      <c r="B52" s="71" t="s">
        <v>559</v>
      </c>
      <c r="C52" s="72" t="s">
        <v>569</v>
      </c>
      <c r="D52" s="71" t="s">
        <v>570</v>
      </c>
      <c r="E52" s="71" t="s">
        <v>393</v>
      </c>
      <c r="F52" s="71" t="s">
        <v>562</v>
      </c>
      <c r="G52" s="73" t="s">
        <v>378</v>
      </c>
      <c r="H52" s="79" t="n">
        <v>2400</v>
      </c>
      <c r="I52" s="75" t="n">
        <v>0.05</v>
      </c>
      <c r="J52" s="76" t="n">
        <f aca="false">IF(H52="","",ROUND(H52*(1+I52),2))</f>
        <v>2520</v>
      </c>
      <c r="K52" s="76" t="n">
        <f aca="false">IF(J52="","",ROUND(J52*(1+OHP),2))</f>
        <v>3024</v>
      </c>
      <c r="L52" s="76" t="n">
        <f aca="false">IF(K52="","",ROUND(K52*(1+VAT),2))</f>
        <v>3175.2</v>
      </c>
      <c r="M52" s="73" t="s">
        <v>89</v>
      </c>
      <c r="N52" s="71"/>
      <c r="O52" s="73"/>
      <c r="P52" s="77"/>
      <c r="Q52" s="71"/>
      <c r="R52" s="78" t="s">
        <v>571</v>
      </c>
    </row>
    <row r="53" customFormat="false" ht="15" hidden="false" customHeight="false" outlineLevel="0" collapsed="false">
      <c r="A53" s="70" t="s">
        <v>572</v>
      </c>
      <c r="B53" s="71" t="s">
        <v>559</v>
      </c>
      <c r="C53" s="72" t="s">
        <v>573</v>
      </c>
      <c r="D53" s="71" t="s">
        <v>574</v>
      </c>
      <c r="E53" s="71" t="s">
        <v>393</v>
      </c>
      <c r="F53" s="71" t="s">
        <v>562</v>
      </c>
      <c r="G53" s="73" t="s">
        <v>378</v>
      </c>
      <c r="H53" s="79" t="n">
        <v>3800</v>
      </c>
      <c r="I53" s="75" t="n">
        <v>0.05</v>
      </c>
      <c r="J53" s="76" t="n">
        <f aca="false">IF(H53="","",ROUND(H53*(1+I53),2))</f>
        <v>3990</v>
      </c>
      <c r="K53" s="76" t="n">
        <f aca="false">IF(J53="","",ROUND(J53*(1+OHP),2))</f>
        <v>4788</v>
      </c>
      <c r="L53" s="76" t="n">
        <f aca="false">IF(K53="","",ROUND(K53*(1+VAT),2))</f>
        <v>5027.4</v>
      </c>
      <c r="M53" s="73" t="s">
        <v>89</v>
      </c>
      <c r="N53" s="71"/>
      <c r="O53" s="73"/>
      <c r="P53" s="77"/>
      <c r="Q53" s="71"/>
      <c r="R53" s="78" t="s">
        <v>575</v>
      </c>
    </row>
    <row r="54" customFormat="false" ht="15" hidden="false" customHeight="false" outlineLevel="0" collapsed="false">
      <c r="A54" s="70" t="s">
        <v>576</v>
      </c>
      <c r="B54" s="71" t="s">
        <v>577</v>
      </c>
      <c r="C54" s="72" t="s">
        <v>578</v>
      </c>
      <c r="D54" s="71" t="s">
        <v>579</v>
      </c>
      <c r="E54" s="71" t="s">
        <v>580</v>
      </c>
      <c r="F54" s="71" t="s">
        <v>453</v>
      </c>
      <c r="G54" s="73" t="s">
        <v>378</v>
      </c>
      <c r="H54" s="79" t="n">
        <v>55</v>
      </c>
      <c r="I54" s="75" t="n">
        <v>0.05</v>
      </c>
      <c r="J54" s="76" t="n">
        <f aca="false">IF(H54="","",ROUND(H54*(1+I54),2))</f>
        <v>57.75</v>
      </c>
      <c r="K54" s="76" t="n">
        <f aca="false">IF(J54="","",ROUND(J54*(1+OHP),2))</f>
        <v>69.3</v>
      </c>
      <c r="L54" s="76" t="n">
        <f aca="false">IF(K54="","",ROUND(K54*(1+VAT),2))</f>
        <v>72.77</v>
      </c>
      <c r="M54" s="73" t="s">
        <v>89</v>
      </c>
      <c r="N54" s="71"/>
      <c r="O54" s="73"/>
      <c r="P54" s="77"/>
      <c r="Q54" s="71"/>
      <c r="R54" s="78" t="s">
        <v>581</v>
      </c>
    </row>
    <row r="55" customFormat="false" ht="15" hidden="false" customHeight="false" outlineLevel="0" collapsed="false">
      <c r="A55" s="70" t="s">
        <v>582</v>
      </c>
      <c r="B55" s="71" t="s">
        <v>577</v>
      </c>
      <c r="C55" s="72" t="s">
        <v>578</v>
      </c>
      <c r="D55" s="71" t="s">
        <v>583</v>
      </c>
      <c r="E55" s="71" t="s">
        <v>584</v>
      </c>
      <c r="F55" s="71" t="s">
        <v>453</v>
      </c>
      <c r="G55" s="73" t="s">
        <v>378</v>
      </c>
      <c r="H55" s="79" t="n">
        <v>85</v>
      </c>
      <c r="I55" s="75" t="n">
        <v>0.05</v>
      </c>
      <c r="J55" s="76" t="n">
        <f aca="false">IF(H55="","",ROUND(H55*(1+I55),2))</f>
        <v>89.25</v>
      </c>
      <c r="K55" s="76" t="n">
        <f aca="false">IF(J55="","",ROUND(J55*(1+OHP),2))</f>
        <v>107.1</v>
      </c>
      <c r="L55" s="76" t="n">
        <f aca="false">IF(K55="","",ROUND(K55*(1+VAT),2))</f>
        <v>112.46</v>
      </c>
      <c r="M55" s="73" t="s">
        <v>89</v>
      </c>
      <c r="N55" s="71"/>
      <c r="O55" s="73"/>
      <c r="P55" s="77"/>
      <c r="Q55" s="71"/>
      <c r="R55" s="78" t="s">
        <v>585</v>
      </c>
    </row>
    <row r="56" customFormat="false" ht="15" hidden="false" customHeight="false" outlineLevel="0" collapsed="false">
      <c r="A56" s="70" t="s">
        <v>586</v>
      </c>
      <c r="B56" s="71" t="s">
        <v>577</v>
      </c>
      <c r="C56" s="72" t="s">
        <v>587</v>
      </c>
      <c r="D56" s="71" t="s">
        <v>397</v>
      </c>
      <c r="E56" s="71" t="s">
        <v>588</v>
      </c>
      <c r="F56" s="71" t="s">
        <v>453</v>
      </c>
      <c r="G56" s="73" t="s">
        <v>378</v>
      </c>
      <c r="H56" s="79" t="n">
        <v>160</v>
      </c>
      <c r="I56" s="75" t="n">
        <v>0.05</v>
      </c>
      <c r="J56" s="76" t="n">
        <f aca="false">IF(H56="","",ROUND(H56*(1+I56),2))</f>
        <v>168</v>
      </c>
      <c r="K56" s="76" t="n">
        <f aca="false">IF(J56="","",ROUND(J56*(1+OHP),2))</f>
        <v>201.6</v>
      </c>
      <c r="L56" s="76" t="n">
        <f aca="false">IF(K56="","",ROUND(K56*(1+VAT),2))</f>
        <v>211.68</v>
      </c>
      <c r="M56" s="73" t="s">
        <v>89</v>
      </c>
      <c r="N56" s="71"/>
      <c r="O56" s="73"/>
      <c r="P56" s="77"/>
      <c r="Q56" s="71"/>
      <c r="R56" s="78" t="s">
        <v>589</v>
      </c>
    </row>
    <row r="57" customFormat="false" ht="15" hidden="false" customHeight="false" outlineLevel="0" collapsed="false">
      <c r="A57" s="70" t="s">
        <v>590</v>
      </c>
      <c r="B57" s="71" t="s">
        <v>577</v>
      </c>
      <c r="C57" s="72" t="s">
        <v>587</v>
      </c>
      <c r="D57" s="71" t="s">
        <v>403</v>
      </c>
      <c r="E57" s="71" t="s">
        <v>393</v>
      </c>
      <c r="F57" s="71" t="s">
        <v>453</v>
      </c>
      <c r="G57" s="73" t="s">
        <v>378</v>
      </c>
      <c r="H57" s="79" t="n">
        <v>260</v>
      </c>
      <c r="I57" s="75" t="n">
        <v>0.05</v>
      </c>
      <c r="J57" s="76" t="n">
        <f aca="false">IF(H57="","",ROUND(H57*(1+I57),2))</f>
        <v>273</v>
      </c>
      <c r="K57" s="76" t="n">
        <f aca="false">IF(J57="","",ROUND(J57*(1+OHP),2))</f>
        <v>327.6</v>
      </c>
      <c r="L57" s="76" t="n">
        <f aca="false">IF(K57="","",ROUND(K57*(1+VAT),2))</f>
        <v>343.98</v>
      </c>
      <c r="M57" s="73" t="s">
        <v>89</v>
      </c>
      <c r="N57" s="71"/>
      <c r="O57" s="73"/>
      <c r="P57" s="77"/>
      <c r="Q57" s="71"/>
      <c r="R57" s="78" t="s">
        <v>581</v>
      </c>
    </row>
    <row r="58" customFormat="false" ht="15" hidden="false" customHeight="false" outlineLevel="0" collapsed="false">
      <c r="A58" s="70" t="s">
        <v>591</v>
      </c>
      <c r="B58" s="71" t="s">
        <v>577</v>
      </c>
      <c r="C58" s="72" t="s">
        <v>592</v>
      </c>
      <c r="D58" s="71" t="s">
        <v>593</v>
      </c>
      <c r="E58" s="71" t="s">
        <v>584</v>
      </c>
      <c r="F58" s="71" t="s">
        <v>453</v>
      </c>
      <c r="G58" s="73" t="s">
        <v>378</v>
      </c>
      <c r="H58" s="79" t="n">
        <v>140</v>
      </c>
      <c r="I58" s="75" t="n">
        <v>0.05</v>
      </c>
      <c r="J58" s="76" t="n">
        <f aca="false">IF(H58="","",ROUND(H58*(1+I58),2))</f>
        <v>147</v>
      </c>
      <c r="K58" s="76" t="n">
        <f aca="false">IF(J58="","",ROUND(J58*(1+OHP),2))</f>
        <v>176.4</v>
      </c>
      <c r="L58" s="76" t="n">
        <f aca="false">IF(K58="","",ROUND(K58*(1+VAT),2))</f>
        <v>185.22</v>
      </c>
      <c r="M58" s="73" t="s">
        <v>89</v>
      </c>
      <c r="N58" s="71"/>
      <c r="O58" s="73"/>
      <c r="P58" s="77"/>
      <c r="Q58" s="71"/>
      <c r="R58" s="78" t="s">
        <v>594</v>
      </c>
    </row>
    <row r="59" customFormat="false" ht="15" hidden="false" customHeight="false" outlineLevel="0" collapsed="false">
      <c r="A59" s="80" t="str">
        <f aca="false">IF(C59="","","GL-"&amp;TEXT(ROW()-4,"000"))</f>
        <v/>
      </c>
      <c r="B59" s="81"/>
      <c r="C59" s="81"/>
      <c r="D59" s="81"/>
      <c r="E59" s="81"/>
      <c r="F59" s="81"/>
      <c r="G59" s="82"/>
      <c r="H59" s="83"/>
      <c r="I59" s="84"/>
      <c r="J59" s="85" t="str">
        <f aca="false">IF(H59="","",ROUND(H59*(1+I59),2))</f>
        <v/>
      </c>
      <c r="K59" s="85" t="str">
        <f aca="false">IF(J59="","",ROUND(J59*(1+OHP),2))</f>
        <v/>
      </c>
      <c r="L59" s="85" t="str">
        <f aca="false">IF(K59="","",ROUND(K59*(1+VAT),2))</f>
        <v/>
      </c>
      <c r="M59" s="82"/>
      <c r="N59" s="81"/>
      <c r="O59" s="82"/>
      <c r="P59" s="86"/>
      <c r="Q59" s="81"/>
      <c r="R59" s="87"/>
    </row>
    <row r="60" customFormat="false" ht="15" hidden="false" customHeight="false" outlineLevel="0" collapsed="false">
      <c r="A60" s="80" t="str">
        <f aca="false">IF(C60="","","GL-"&amp;TEXT(ROW()-4,"000"))</f>
        <v/>
      </c>
      <c r="B60" s="81"/>
      <c r="C60" s="81"/>
      <c r="D60" s="81"/>
      <c r="E60" s="81"/>
      <c r="F60" s="81"/>
      <c r="G60" s="82"/>
      <c r="H60" s="83"/>
      <c r="I60" s="84"/>
      <c r="J60" s="85" t="str">
        <f aca="false">IF(H60="","",ROUND(H60*(1+I60),2))</f>
        <v/>
      </c>
      <c r="K60" s="85" t="str">
        <f aca="false">IF(J60="","",ROUND(J60*(1+OHP),2))</f>
        <v/>
      </c>
      <c r="L60" s="85" t="str">
        <f aca="false">IF(K60="","",ROUND(K60*(1+VAT),2))</f>
        <v/>
      </c>
      <c r="M60" s="82"/>
      <c r="N60" s="81"/>
      <c r="O60" s="82"/>
      <c r="P60" s="86"/>
      <c r="Q60" s="81"/>
      <c r="R60" s="87"/>
    </row>
    <row r="61" customFormat="false" ht="15" hidden="false" customHeight="false" outlineLevel="0" collapsed="false">
      <c r="A61" s="80" t="str">
        <f aca="false">IF(C61="","","GL-"&amp;TEXT(ROW()-4,"000"))</f>
        <v/>
      </c>
      <c r="B61" s="81"/>
      <c r="C61" s="81"/>
      <c r="D61" s="81"/>
      <c r="E61" s="81"/>
      <c r="F61" s="81"/>
      <c r="G61" s="82"/>
      <c r="H61" s="83"/>
      <c r="I61" s="84"/>
      <c r="J61" s="85" t="str">
        <f aca="false">IF(H61="","",ROUND(H61*(1+I61),2))</f>
        <v/>
      </c>
      <c r="K61" s="85" t="str">
        <f aca="false">IF(J61="","",ROUND(J61*(1+OHP),2))</f>
        <v/>
      </c>
      <c r="L61" s="85" t="str">
        <f aca="false">IF(K61="","",ROUND(K61*(1+VAT),2))</f>
        <v/>
      </c>
      <c r="M61" s="82"/>
      <c r="N61" s="81"/>
      <c r="O61" s="82"/>
      <c r="P61" s="86"/>
      <c r="Q61" s="81"/>
      <c r="R61" s="87"/>
    </row>
    <row r="62" customFormat="false" ht="15" hidden="false" customHeight="false" outlineLevel="0" collapsed="false">
      <c r="A62" s="80" t="str">
        <f aca="false">IF(C62="","","GL-"&amp;TEXT(ROW()-4,"000"))</f>
        <v/>
      </c>
      <c r="B62" s="81"/>
      <c r="C62" s="81"/>
      <c r="D62" s="81"/>
      <c r="E62" s="81"/>
      <c r="F62" s="81"/>
      <c r="G62" s="82"/>
      <c r="H62" s="83"/>
      <c r="I62" s="84"/>
      <c r="J62" s="85" t="str">
        <f aca="false">IF(H62="","",ROUND(H62*(1+I62),2))</f>
        <v/>
      </c>
      <c r="K62" s="85" t="str">
        <f aca="false">IF(J62="","",ROUND(J62*(1+OHP),2))</f>
        <v/>
      </c>
      <c r="L62" s="85" t="str">
        <f aca="false">IF(K62="","",ROUND(K62*(1+VAT),2))</f>
        <v/>
      </c>
      <c r="M62" s="82"/>
      <c r="N62" s="81"/>
      <c r="O62" s="82"/>
      <c r="P62" s="86"/>
      <c r="Q62" s="81"/>
      <c r="R62" s="87"/>
    </row>
    <row r="63" customFormat="false" ht="15" hidden="false" customHeight="false" outlineLevel="0" collapsed="false">
      <c r="A63" s="80" t="str">
        <f aca="false">IF(C63="","","GL-"&amp;TEXT(ROW()-4,"000"))</f>
        <v/>
      </c>
      <c r="B63" s="81"/>
      <c r="C63" s="81"/>
      <c r="D63" s="81"/>
      <c r="E63" s="81"/>
      <c r="F63" s="81"/>
      <c r="G63" s="82"/>
      <c r="H63" s="83"/>
      <c r="I63" s="84"/>
      <c r="J63" s="85" t="str">
        <f aca="false">IF(H63="","",ROUND(H63*(1+I63),2))</f>
        <v/>
      </c>
      <c r="K63" s="85" t="str">
        <f aca="false">IF(J63="","",ROUND(J63*(1+OHP),2))</f>
        <v/>
      </c>
      <c r="L63" s="85" t="str">
        <f aca="false">IF(K63="","",ROUND(K63*(1+VAT),2))</f>
        <v/>
      </c>
      <c r="M63" s="82"/>
      <c r="N63" s="81"/>
      <c r="O63" s="82"/>
      <c r="P63" s="86"/>
      <c r="Q63" s="81"/>
      <c r="R63" s="87"/>
    </row>
    <row r="64" customFormat="false" ht="15" hidden="false" customHeight="false" outlineLevel="0" collapsed="false">
      <c r="A64" s="80" t="str">
        <f aca="false">IF(C64="","","GL-"&amp;TEXT(ROW()-4,"000"))</f>
        <v/>
      </c>
      <c r="B64" s="81"/>
      <c r="C64" s="81"/>
      <c r="D64" s="81"/>
      <c r="E64" s="81"/>
      <c r="F64" s="81"/>
      <c r="G64" s="82"/>
      <c r="H64" s="83"/>
      <c r="I64" s="84"/>
      <c r="J64" s="85" t="str">
        <f aca="false">IF(H64="","",ROUND(H64*(1+I64),2))</f>
        <v/>
      </c>
      <c r="K64" s="85" t="str">
        <f aca="false">IF(J64="","",ROUND(J64*(1+OHP),2))</f>
        <v/>
      </c>
      <c r="L64" s="85" t="str">
        <f aca="false">IF(K64="","",ROUND(K64*(1+VAT),2))</f>
        <v/>
      </c>
      <c r="M64" s="82"/>
      <c r="N64" s="81"/>
      <c r="O64" s="82"/>
      <c r="P64" s="86"/>
      <c r="Q64" s="81"/>
      <c r="R64" s="87"/>
    </row>
    <row r="65" customFormat="false" ht="15" hidden="false" customHeight="false" outlineLevel="0" collapsed="false">
      <c r="A65" s="80" t="str">
        <f aca="false">IF(C65="","","GL-"&amp;TEXT(ROW()-4,"000"))</f>
        <v/>
      </c>
      <c r="B65" s="81"/>
      <c r="C65" s="81"/>
      <c r="D65" s="81"/>
      <c r="E65" s="81"/>
      <c r="F65" s="81"/>
      <c r="G65" s="82"/>
      <c r="H65" s="83"/>
      <c r="I65" s="84"/>
      <c r="J65" s="85" t="str">
        <f aca="false">IF(H65="","",ROUND(H65*(1+I65),2))</f>
        <v/>
      </c>
      <c r="K65" s="85" t="str">
        <f aca="false">IF(J65="","",ROUND(J65*(1+OHP),2))</f>
        <v/>
      </c>
      <c r="L65" s="85" t="str">
        <f aca="false">IF(K65="","",ROUND(K65*(1+VAT),2))</f>
        <v/>
      </c>
      <c r="M65" s="82"/>
      <c r="N65" s="81"/>
      <c r="O65" s="82"/>
      <c r="P65" s="86"/>
      <c r="Q65" s="81"/>
      <c r="R65" s="87"/>
    </row>
    <row r="66" customFormat="false" ht="15" hidden="false" customHeight="false" outlineLevel="0" collapsed="false">
      <c r="A66" s="80" t="str">
        <f aca="false">IF(C66="","","GL-"&amp;TEXT(ROW()-4,"000"))</f>
        <v/>
      </c>
      <c r="B66" s="81"/>
      <c r="C66" s="81"/>
      <c r="D66" s="81"/>
      <c r="E66" s="81"/>
      <c r="F66" s="81"/>
      <c r="G66" s="82"/>
      <c r="H66" s="83"/>
      <c r="I66" s="84"/>
      <c r="J66" s="85" t="str">
        <f aca="false">IF(H66="","",ROUND(H66*(1+I66),2))</f>
        <v/>
      </c>
      <c r="K66" s="85" t="str">
        <f aca="false">IF(J66="","",ROUND(J66*(1+OHP),2))</f>
        <v/>
      </c>
      <c r="L66" s="85" t="str">
        <f aca="false">IF(K66="","",ROUND(K66*(1+VAT),2))</f>
        <v/>
      </c>
      <c r="M66" s="82"/>
      <c r="N66" s="81"/>
      <c r="O66" s="82"/>
      <c r="P66" s="86"/>
      <c r="Q66" s="81"/>
      <c r="R66" s="87"/>
    </row>
    <row r="67" customFormat="false" ht="15" hidden="false" customHeight="false" outlineLevel="0" collapsed="false">
      <c r="A67" s="80" t="str">
        <f aca="false">IF(C67="","","GL-"&amp;TEXT(ROW()-4,"000"))</f>
        <v/>
      </c>
      <c r="B67" s="81"/>
      <c r="C67" s="81"/>
      <c r="D67" s="81"/>
      <c r="E67" s="81"/>
      <c r="F67" s="81"/>
      <c r="G67" s="82"/>
      <c r="H67" s="83"/>
      <c r="I67" s="84"/>
      <c r="J67" s="85" t="str">
        <f aca="false">IF(H67="","",ROUND(H67*(1+I67),2))</f>
        <v/>
      </c>
      <c r="K67" s="85" t="str">
        <f aca="false">IF(J67="","",ROUND(J67*(1+OHP),2))</f>
        <v/>
      </c>
      <c r="L67" s="85" t="str">
        <f aca="false">IF(K67="","",ROUND(K67*(1+VAT),2))</f>
        <v/>
      </c>
      <c r="M67" s="82"/>
      <c r="N67" s="81"/>
      <c r="O67" s="82"/>
      <c r="P67" s="86"/>
      <c r="Q67" s="81"/>
      <c r="R67" s="87"/>
    </row>
    <row r="68" customFormat="false" ht="15" hidden="false" customHeight="false" outlineLevel="0" collapsed="false">
      <c r="A68" s="80" t="str">
        <f aca="false">IF(C68="","","GL-"&amp;TEXT(ROW()-4,"000"))</f>
        <v/>
      </c>
      <c r="B68" s="81"/>
      <c r="C68" s="81"/>
      <c r="D68" s="81"/>
      <c r="E68" s="81"/>
      <c r="F68" s="81"/>
      <c r="G68" s="82"/>
      <c r="H68" s="83"/>
      <c r="I68" s="84"/>
      <c r="J68" s="85" t="str">
        <f aca="false">IF(H68="","",ROUND(H68*(1+I68),2))</f>
        <v/>
      </c>
      <c r="K68" s="85" t="str">
        <f aca="false">IF(J68="","",ROUND(J68*(1+OHP),2))</f>
        <v/>
      </c>
      <c r="L68" s="85" t="str">
        <f aca="false">IF(K68="","",ROUND(K68*(1+VAT),2))</f>
        <v/>
      </c>
      <c r="M68" s="82"/>
      <c r="N68" s="81"/>
      <c r="O68" s="82"/>
      <c r="P68" s="86"/>
      <c r="Q68" s="81"/>
      <c r="R68" s="87"/>
    </row>
    <row r="69" customFormat="false" ht="15" hidden="false" customHeight="false" outlineLevel="0" collapsed="false">
      <c r="A69" s="80" t="str">
        <f aca="false">IF(C69="","","GL-"&amp;TEXT(ROW()-4,"000"))</f>
        <v/>
      </c>
      <c r="B69" s="81"/>
      <c r="C69" s="81"/>
      <c r="D69" s="81"/>
      <c r="E69" s="81"/>
      <c r="F69" s="81"/>
      <c r="G69" s="82"/>
      <c r="H69" s="83"/>
      <c r="I69" s="84"/>
      <c r="J69" s="85" t="str">
        <f aca="false">IF(H69="","",ROUND(H69*(1+I69),2))</f>
        <v/>
      </c>
      <c r="K69" s="85" t="str">
        <f aca="false">IF(J69="","",ROUND(J69*(1+OHP),2))</f>
        <v/>
      </c>
      <c r="L69" s="85" t="str">
        <f aca="false">IF(K69="","",ROUND(K69*(1+VAT),2))</f>
        <v/>
      </c>
      <c r="M69" s="82"/>
      <c r="N69" s="81"/>
      <c r="O69" s="82"/>
      <c r="P69" s="86"/>
      <c r="Q69" s="81"/>
      <c r="R69" s="87"/>
    </row>
    <row r="70" customFormat="false" ht="15" hidden="false" customHeight="false" outlineLevel="0" collapsed="false">
      <c r="A70" s="80" t="str">
        <f aca="false">IF(C70="","","GL-"&amp;TEXT(ROW()-4,"000"))</f>
        <v/>
      </c>
      <c r="B70" s="81"/>
      <c r="C70" s="81"/>
      <c r="D70" s="81"/>
      <c r="E70" s="81"/>
      <c r="F70" s="81"/>
      <c r="G70" s="82"/>
      <c r="H70" s="83"/>
      <c r="I70" s="84"/>
      <c r="J70" s="85" t="str">
        <f aca="false">IF(H70="","",ROUND(H70*(1+I70),2))</f>
        <v/>
      </c>
      <c r="K70" s="85" t="str">
        <f aca="false">IF(J70="","",ROUND(J70*(1+OHP),2))</f>
        <v/>
      </c>
      <c r="L70" s="85" t="str">
        <f aca="false">IF(K70="","",ROUND(K70*(1+VAT),2))</f>
        <v/>
      </c>
      <c r="M70" s="82"/>
      <c r="N70" s="81"/>
      <c r="O70" s="82"/>
      <c r="P70" s="86"/>
      <c r="Q70" s="81"/>
      <c r="R70" s="87"/>
    </row>
    <row r="71" customFormat="false" ht="15" hidden="false" customHeight="false" outlineLevel="0" collapsed="false">
      <c r="A71" s="80" t="str">
        <f aca="false">IF(C71="","","GL-"&amp;TEXT(ROW()-4,"000"))</f>
        <v/>
      </c>
      <c r="B71" s="81"/>
      <c r="C71" s="81"/>
      <c r="D71" s="81"/>
      <c r="E71" s="81"/>
      <c r="F71" s="81"/>
      <c r="G71" s="82"/>
      <c r="H71" s="83"/>
      <c r="I71" s="84"/>
      <c r="J71" s="85" t="str">
        <f aca="false">IF(H71="","",ROUND(H71*(1+I71),2))</f>
        <v/>
      </c>
      <c r="K71" s="85" t="str">
        <f aca="false">IF(J71="","",ROUND(J71*(1+OHP),2))</f>
        <v/>
      </c>
      <c r="L71" s="85" t="str">
        <f aca="false">IF(K71="","",ROUND(K71*(1+VAT),2))</f>
        <v/>
      </c>
      <c r="M71" s="82"/>
      <c r="N71" s="81"/>
      <c r="O71" s="82"/>
      <c r="P71" s="86"/>
      <c r="Q71" s="81"/>
      <c r="R71" s="87"/>
    </row>
    <row r="72" customFormat="false" ht="15" hidden="false" customHeight="false" outlineLevel="0" collapsed="false">
      <c r="A72" s="80" t="str">
        <f aca="false">IF(C72="","","GL-"&amp;TEXT(ROW()-4,"000"))</f>
        <v/>
      </c>
      <c r="B72" s="81"/>
      <c r="C72" s="81"/>
      <c r="D72" s="81"/>
      <c r="E72" s="81"/>
      <c r="F72" s="81"/>
      <c r="G72" s="82"/>
      <c r="H72" s="83"/>
      <c r="I72" s="84"/>
      <c r="J72" s="85" t="str">
        <f aca="false">IF(H72="","",ROUND(H72*(1+I72),2))</f>
        <v/>
      </c>
      <c r="K72" s="85" t="str">
        <f aca="false">IF(J72="","",ROUND(J72*(1+OHP),2))</f>
        <v/>
      </c>
      <c r="L72" s="85" t="str">
        <f aca="false">IF(K72="","",ROUND(K72*(1+VAT),2))</f>
        <v/>
      </c>
      <c r="M72" s="82"/>
      <c r="N72" s="81"/>
      <c r="O72" s="82"/>
      <c r="P72" s="86"/>
      <c r="Q72" s="81"/>
      <c r="R72" s="87"/>
    </row>
    <row r="73" customFormat="false" ht="15" hidden="false" customHeight="false" outlineLevel="0" collapsed="false">
      <c r="A73" s="80" t="str">
        <f aca="false">IF(C73="","","GL-"&amp;TEXT(ROW()-4,"000"))</f>
        <v/>
      </c>
      <c r="B73" s="81"/>
      <c r="C73" s="81"/>
      <c r="D73" s="81"/>
      <c r="E73" s="81"/>
      <c r="F73" s="81"/>
      <c r="G73" s="82"/>
      <c r="H73" s="83"/>
      <c r="I73" s="84"/>
      <c r="J73" s="85" t="str">
        <f aca="false">IF(H73="","",ROUND(H73*(1+I73),2))</f>
        <v/>
      </c>
      <c r="K73" s="85" t="str">
        <f aca="false">IF(J73="","",ROUND(J73*(1+OHP),2))</f>
        <v/>
      </c>
      <c r="L73" s="85" t="str">
        <f aca="false">IF(K73="","",ROUND(K73*(1+VAT),2))</f>
        <v/>
      </c>
      <c r="M73" s="82"/>
      <c r="N73" s="81"/>
      <c r="O73" s="82"/>
      <c r="P73" s="86"/>
      <c r="Q73" s="81"/>
      <c r="R73" s="87"/>
    </row>
  </sheetData>
  <autoFilter ref="A4:R73"/>
  <mergeCells count="2">
    <mergeCell ref="A1:R1"/>
    <mergeCell ref="A2:R2"/>
  </mergeCells>
  <conditionalFormatting sqref="A5:R73">
    <cfRule type="expression" priority="2" aboveAverage="0" equalAverage="0" bottom="0" percent="0" rank="0" text="" dxfId="1">
      <formula>AND($C5&lt;&gt;"",MOD(ROW(),2)=0,$M5&lt;&gt;"Obsolete")</formula>
    </cfRule>
    <cfRule type="expression" priority="3" aboveAverage="0" equalAverage="0" bottom="0" percent="0" rank="0" text="" dxfId="12">
      <formula>$M5="Obsolete"</formula>
    </cfRule>
  </conditionalFormatting>
  <conditionalFormatting sqref="M5:M73">
    <cfRule type="expression" priority="4" aboveAverage="0" equalAverage="0" bottom="0" percent="0" rank="0" text="" dxfId="13">
      <formula>$M5="Indicative"</formula>
    </cfRule>
    <cfRule type="expression" priority="5" aboveAverage="0" equalAverage="0" bottom="0" percent="0" rank="0" text="" dxfId="14">
      <formula>$M5="Quoted"</formula>
    </cfRule>
    <cfRule type="expression" priority="6" aboveAverage="0" equalAverage="0" bottom="0" percent="0" rank="0" text="" dxfId="15">
      <formula>$M5="Verified"</formula>
    </cfRule>
    <cfRule type="expression" priority="7" aboveAverage="0" equalAverage="0" bottom="0" percent="0" rank="0" text="" dxfId="16">
      <formula>$M5="Obsolete"</formula>
    </cfRule>
  </conditionalFormatting>
  <dataValidations count="2">
    <dataValidation allowBlank="true" errorStyle="stop" operator="between" showDropDown="false" showErrorMessage="false" showInputMessage="false" sqref="M5:M73" type="list">
      <formula1>"Indicative,Quoted,Verified,Obsolete"</formula1>
      <formula2>0</formula2>
    </dataValidation>
    <dataValidation allowBlank="true" error="Enter wastage as a percentage, e.g. 5%" errorStyle="stop" operator="between" showDropDown="false" showErrorMessage="false" showInputMessage="false" sqref="I5:I73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&amp;L&amp;8Glass - Float, Tempered, Laminated DGU&amp;C&amp;8Page &amp;P of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DD7EE"/>
    <pageSetUpPr fitToPage="true"/>
  </sheetPr>
  <dimension ref="A1:R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32"/>
    <col collapsed="false" customWidth="true" hidden="false" outlineLevel="0" max="5" min="5" style="0" width="20"/>
    <col collapsed="false" customWidth="true" hidden="false" outlineLevel="0" max="6" min="6" style="0" width="26"/>
    <col collapsed="false" customWidth="true" hidden="false" outlineLevel="0" max="7" min="7" style="0" width="7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1" min="10" style="0" width="13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20"/>
    <col collapsed="false" customWidth="true" hidden="false" outlineLevel="0" max="15" min="15" style="0" width="13"/>
    <col collapsed="false" customWidth="true" hidden="false" outlineLevel="0" max="16" min="16" style="0" width="12"/>
    <col collapsed="false" customWidth="true" hidden="false" outlineLevel="0" max="17" min="17" style="0" width="26"/>
    <col collapsed="false" customWidth="true" hidden="false" outlineLevel="0" max="18" min="18" style="0" width="34"/>
  </cols>
  <sheetData>
    <row r="1" customFormat="false" ht="30" hidden="false" customHeight="true" outlineLevel="0" collapsed="false">
      <c r="A1" s="65" t="s">
        <v>595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</row>
    <row r="2" customFormat="false" ht="15" hidden="false" customHeight="false" outlineLevel="0" collapsed="false">
      <c r="A2" s="89" t="s">
        <v>596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</row>
    <row r="3" customFormat="false" ht="15" hidden="false" customHeight="false" outlineLevel="0" collapsed="false">
      <c r="A3" s="7" t="str">
        <f aca="false">HYPERLINK("#Index!A1","&lt;&lt; Back to Index")</f>
        <v>&lt;&lt; Back to Index</v>
      </c>
      <c r="D3" s="67" t="s">
        <v>180</v>
      </c>
      <c r="E3" s="68" t="n">
        <f aca="false">COUNTA(C5:C42)</f>
        <v>23</v>
      </c>
      <c r="H3" s="69" t="s">
        <v>181</v>
      </c>
    </row>
    <row r="4" customFormat="false" ht="31.5" hidden="false" customHeight="true" outlineLevel="0" collapsed="false">
      <c r="A4" s="8" t="s">
        <v>110</v>
      </c>
      <c r="B4" s="8" t="s">
        <v>121</v>
      </c>
      <c r="C4" s="8" t="s">
        <v>111</v>
      </c>
      <c r="D4" s="8" t="s">
        <v>112</v>
      </c>
      <c r="E4" s="8" t="s">
        <v>113</v>
      </c>
      <c r="F4" s="8" t="s">
        <v>114</v>
      </c>
      <c r="G4" s="8" t="s">
        <v>115</v>
      </c>
      <c r="H4" s="8" t="s">
        <v>182</v>
      </c>
      <c r="I4" s="8" t="s">
        <v>183</v>
      </c>
      <c r="J4" s="8" t="s">
        <v>184</v>
      </c>
      <c r="K4" s="8" t="s">
        <v>185</v>
      </c>
      <c r="L4" s="8" t="s">
        <v>186</v>
      </c>
      <c r="M4" s="8" t="s">
        <v>119</v>
      </c>
      <c r="N4" s="8" t="s">
        <v>187</v>
      </c>
      <c r="O4" s="8" t="s">
        <v>188</v>
      </c>
      <c r="P4" s="8" t="s">
        <v>189</v>
      </c>
      <c r="Q4" s="8" t="s">
        <v>190</v>
      </c>
      <c r="R4" s="8" t="s">
        <v>191</v>
      </c>
    </row>
    <row r="5" customFormat="false" ht="15" hidden="false" customHeight="false" outlineLevel="0" collapsed="false">
      <c r="A5" s="70" t="s">
        <v>597</v>
      </c>
      <c r="B5" s="71" t="s">
        <v>598</v>
      </c>
      <c r="C5" s="72" t="s">
        <v>599</v>
      </c>
      <c r="D5" s="71" t="s">
        <v>600</v>
      </c>
      <c r="E5" s="71" t="s">
        <v>457</v>
      </c>
      <c r="F5" s="71" t="s">
        <v>418</v>
      </c>
      <c r="G5" s="73" t="s">
        <v>218</v>
      </c>
      <c r="H5" s="79" t="n">
        <v>4</v>
      </c>
      <c r="I5" s="75" t="n">
        <v>0</v>
      </c>
      <c r="J5" s="76" t="n">
        <f aca="false">IF(H5="","",ROUND(H5*(1+I5),2))</f>
        <v>4</v>
      </c>
      <c r="K5" s="76" t="n">
        <f aca="false">IF(J5="","",ROUND(J5*(1+OHP),2))</f>
        <v>4.8</v>
      </c>
      <c r="L5" s="76" t="n">
        <f aca="false">IF(K5="","",ROUND(K5*(1+VAT),2))</f>
        <v>5.04</v>
      </c>
      <c r="M5" s="73" t="s">
        <v>89</v>
      </c>
      <c r="N5" s="71"/>
      <c r="O5" s="73"/>
      <c r="P5" s="77"/>
      <c r="Q5" s="71"/>
      <c r="R5" s="78" t="s">
        <v>601</v>
      </c>
    </row>
    <row r="6" customFormat="false" ht="15" hidden="false" customHeight="false" outlineLevel="0" collapsed="false">
      <c r="A6" s="70" t="s">
        <v>602</v>
      </c>
      <c r="B6" s="71" t="s">
        <v>598</v>
      </c>
      <c r="C6" s="72" t="s">
        <v>603</v>
      </c>
      <c r="D6" s="71" t="s">
        <v>600</v>
      </c>
      <c r="E6" s="71" t="s">
        <v>457</v>
      </c>
      <c r="F6" s="71" t="s">
        <v>418</v>
      </c>
      <c r="G6" s="73" t="s">
        <v>218</v>
      </c>
      <c r="H6" s="79" t="n">
        <v>7</v>
      </c>
      <c r="I6" s="75" t="n">
        <v>0</v>
      </c>
      <c r="J6" s="76" t="n">
        <f aca="false">IF(H6="","",ROUND(H6*(1+I6),2))</f>
        <v>7</v>
      </c>
      <c r="K6" s="76" t="n">
        <f aca="false">IF(J6="","",ROUND(J6*(1+OHP),2))</f>
        <v>8.4</v>
      </c>
      <c r="L6" s="76" t="n">
        <f aca="false">IF(K6="","",ROUND(K6*(1+VAT),2))</f>
        <v>8.82</v>
      </c>
      <c r="M6" s="73" t="s">
        <v>89</v>
      </c>
      <c r="N6" s="71"/>
      <c r="O6" s="73"/>
      <c r="P6" s="77"/>
      <c r="Q6" s="71"/>
      <c r="R6" s="78" t="s">
        <v>601</v>
      </c>
    </row>
    <row r="7" customFormat="false" ht="15" hidden="false" customHeight="false" outlineLevel="0" collapsed="false">
      <c r="A7" s="70" t="s">
        <v>604</v>
      </c>
      <c r="B7" s="71" t="s">
        <v>598</v>
      </c>
      <c r="C7" s="72" t="s">
        <v>603</v>
      </c>
      <c r="D7" s="71" t="s">
        <v>605</v>
      </c>
      <c r="E7" s="71" t="s">
        <v>457</v>
      </c>
      <c r="F7" s="71" t="s">
        <v>418</v>
      </c>
      <c r="G7" s="73" t="s">
        <v>218</v>
      </c>
      <c r="H7" s="79" t="n">
        <v>12</v>
      </c>
      <c r="I7" s="75" t="n">
        <v>0</v>
      </c>
      <c r="J7" s="76" t="n">
        <f aca="false">IF(H7="","",ROUND(H7*(1+I7),2))</f>
        <v>12</v>
      </c>
      <c r="K7" s="76" t="n">
        <f aca="false">IF(J7="","",ROUND(J7*(1+OHP),2))</f>
        <v>14.4</v>
      </c>
      <c r="L7" s="76" t="n">
        <f aca="false">IF(K7="","",ROUND(K7*(1+VAT),2))</f>
        <v>15.12</v>
      </c>
      <c r="M7" s="73" t="s">
        <v>89</v>
      </c>
      <c r="N7" s="71"/>
      <c r="O7" s="73"/>
      <c r="P7" s="77"/>
      <c r="Q7" s="71"/>
      <c r="R7" s="78" t="s">
        <v>606</v>
      </c>
    </row>
    <row r="8" customFormat="false" ht="15" hidden="false" customHeight="false" outlineLevel="0" collapsed="false">
      <c r="A8" s="70" t="s">
        <v>607</v>
      </c>
      <c r="B8" s="71" t="s">
        <v>598</v>
      </c>
      <c r="C8" s="72" t="s">
        <v>608</v>
      </c>
      <c r="D8" s="71" t="s">
        <v>609</v>
      </c>
      <c r="E8" s="71" t="s">
        <v>457</v>
      </c>
      <c r="F8" s="71" t="s">
        <v>418</v>
      </c>
      <c r="G8" s="73" t="s">
        <v>218</v>
      </c>
      <c r="H8" s="79" t="n">
        <v>12</v>
      </c>
      <c r="I8" s="75" t="n">
        <v>0</v>
      </c>
      <c r="J8" s="76" t="n">
        <f aca="false">IF(H8="","",ROUND(H8*(1+I8),2))</f>
        <v>12</v>
      </c>
      <c r="K8" s="76" t="n">
        <f aca="false">IF(J8="","",ROUND(J8*(1+OHP),2))</f>
        <v>14.4</v>
      </c>
      <c r="L8" s="76" t="n">
        <f aca="false">IF(K8="","",ROUND(K8*(1+VAT),2))</f>
        <v>15.12</v>
      </c>
      <c r="M8" s="73" t="s">
        <v>89</v>
      </c>
      <c r="N8" s="71"/>
      <c r="O8" s="73"/>
      <c r="P8" s="77"/>
      <c r="Q8" s="71"/>
      <c r="R8" s="78" t="s">
        <v>610</v>
      </c>
    </row>
    <row r="9" customFormat="false" ht="15" hidden="false" customHeight="false" outlineLevel="0" collapsed="false">
      <c r="A9" s="70" t="s">
        <v>611</v>
      </c>
      <c r="B9" s="71" t="s">
        <v>598</v>
      </c>
      <c r="C9" s="72" t="s">
        <v>612</v>
      </c>
      <c r="D9" s="71" t="s">
        <v>609</v>
      </c>
      <c r="E9" s="71" t="s">
        <v>457</v>
      </c>
      <c r="F9" s="71" t="s">
        <v>418</v>
      </c>
      <c r="G9" s="73" t="s">
        <v>218</v>
      </c>
      <c r="H9" s="79" t="n">
        <v>20</v>
      </c>
      <c r="I9" s="75" t="n">
        <v>0</v>
      </c>
      <c r="J9" s="76" t="n">
        <f aca="false">IF(H9="","",ROUND(H9*(1+I9),2))</f>
        <v>20</v>
      </c>
      <c r="K9" s="76" t="n">
        <f aca="false">IF(J9="","",ROUND(J9*(1+OHP),2))</f>
        <v>24</v>
      </c>
      <c r="L9" s="76" t="n">
        <f aca="false">IF(K9="","",ROUND(K9*(1+VAT),2))</f>
        <v>25.2</v>
      </c>
      <c r="M9" s="73" t="s">
        <v>89</v>
      </c>
      <c r="N9" s="71"/>
      <c r="O9" s="73"/>
      <c r="P9" s="77"/>
      <c r="Q9" s="71"/>
      <c r="R9" s="78" t="s">
        <v>613</v>
      </c>
    </row>
    <row r="10" customFormat="false" ht="15" hidden="false" customHeight="false" outlineLevel="0" collapsed="false">
      <c r="A10" s="70" t="s">
        <v>614</v>
      </c>
      <c r="B10" s="71" t="s">
        <v>598</v>
      </c>
      <c r="C10" s="72" t="s">
        <v>615</v>
      </c>
      <c r="D10" s="71" t="s">
        <v>600</v>
      </c>
      <c r="E10" s="71" t="s">
        <v>457</v>
      </c>
      <c r="F10" s="71" t="s">
        <v>418</v>
      </c>
      <c r="G10" s="73" t="s">
        <v>218</v>
      </c>
      <c r="H10" s="79" t="n">
        <v>10</v>
      </c>
      <c r="I10" s="75" t="n">
        <v>0</v>
      </c>
      <c r="J10" s="76" t="n">
        <f aca="false">IF(H10="","",ROUND(H10*(1+I10),2))</f>
        <v>10</v>
      </c>
      <c r="K10" s="76" t="n">
        <f aca="false">IF(J10="","",ROUND(J10*(1+OHP),2))</f>
        <v>12</v>
      </c>
      <c r="L10" s="76" t="n">
        <f aca="false">IF(K10="","",ROUND(K10*(1+VAT),2))</f>
        <v>12.6</v>
      </c>
      <c r="M10" s="73" t="s">
        <v>89</v>
      </c>
      <c r="N10" s="71"/>
      <c r="O10" s="73"/>
      <c r="P10" s="77"/>
      <c r="Q10" s="71"/>
      <c r="R10" s="78" t="s">
        <v>601</v>
      </c>
    </row>
    <row r="11" customFormat="false" ht="15" hidden="false" customHeight="false" outlineLevel="0" collapsed="false">
      <c r="A11" s="70" t="s">
        <v>616</v>
      </c>
      <c r="B11" s="71" t="s">
        <v>598</v>
      </c>
      <c r="C11" s="72" t="s">
        <v>617</v>
      </c>
      <c r="D11" s="71" t="s">
        <v>600</v>
      </c>
      <c r="E11" s="71" t="s">
        <v>457</v>
      </c>
      <c r="F11" s="71" t="s">
        <v>418</v>
      </c>
      <c r="G11" s="73" t="s">
        <v>218</v>
      </c>
      <c r="H11" s="79" t="n">
        <v>18</v>
      </c>
      <c r="I11" s="75" t="n">
        <v>0</v>
      </c>
      <c r="J11" s="76" t="n">
        <f aca="false">IF(H11="","",ROUND(H11*(1+I11),2))</f>
        <v>18</v>
      </c>
      <c r="K11" s="76" t="n">
        <f aca="false">IF(J11="","",ROUND(J11*(1+OHP),2))</f>
        <v>21.6</v>
      </c>
      <c r="L11" s="76" t="n">
        <f aca="false">IF(K11="","",ROUND(K11*(1+VAT),2))</f>
        <v>22.68</v>
      </c>
      <c r="M11" s="73" t="s">
        <v>89</v>
      </c>
      <c r="N11" s="71"/>
      <c r="O11" s="73"/>
      <c r="P11" s="77"/>
      <c r="Q11" s="71"/>
      <c r="R11" s="78" t="s">
        <v>601</v>
      </c>
    </row>
    <row r="12" customFormat="false" ht="15" hidden="false" customHeight="false" outlineLevel="0" collapsed="false">
      <c r="A12" s="70" t="s">
        <v>618</v>
      </c>
      <c r="B12" s="71" t="s">
        <v>619</v>
      </c>
      <c r="C12" s="72" t="s">
        <v>620</v>
      </c>
      <c r="D12" s="71" t="s">
        <v>621</v>
      </c>
      <c r="E12" s="71" t="s">
        <v>457</v>
      </c>
      <c r="F12" s="71" t="s">
        <v>418</v>
      </c>
      <c r="G12" s="73" t="s">
        <v>622</v>
      </c>
      <c r="H12" s="79" t="n">
        <v>10</v>
      </c>
      <c r="I12" s="75" t="n">
        <v>0</v>
      </c>
      <c r="J12" s="76" t="n">
        <f aca="false">IF(H12="","",ROUND(H12*(1+I12),2))</f>
        <v>10</v>
      </c>
      <c r="K12" s="76" t="n">
        <f aca="false">IF(J12="","",ROUND(J12*(1+OHP),2))</f>
        <v>12</v>
      </c>
      <c r="L12" s="76" t="n">
        <f aca="false">IF(K12="","",ROUND(K12*(1+VAT),2))</f>
        <v>12.6</v>
      </c>
      <c r="M12" s="73" t="s">
        <v>89</v>
      </c>
      <c r="N12" s="71"/>
      <c r="O12" s="73"/>
      <c r="P12" s="77"/>
      <c r="Q12" s="71"/>
      <c r="R12" s="78" t="s">
        <v>623</v>
      </c>
    </row>
    <row r="13" customFormat="false" ht="15" hidden="false" customHeight="false" outlineLevel="0" collapsed="false">
      <c r="A13" s="70" t="s">
        <v>624</v>
      </c>
      <c r="B13" s="71" t="s">
        <v>619</v>
      </c>
      <c r="C13" s="72" t="s">
        <v>620</v>
      </c>
      <c r="D13" s="71" t="s">
        <v>625</v>
      </c>
      <c r="E13" s="71" t="s">
        <v>457</v>
      </c>
      <c r="F13" s="71" t="s">
        <v>418</v>
      </c>
      <c r="G13" s="73" t="s">
        <v>622</v>
      </c>
      <c r="H13" s="79" t="n">
        <v>18</v>
      </c>
      <c r="I13" s="75" t="n">
        <v>0</v>
      </c>
      <c r="J13" s="76" t="n">
        <f aca="false">IF(H13="","",ROUND(H13*(1+I13),2))</f>
        <v>18</v>
      </c>
      <c r="K13" s="76" t="n">
        <f aca="false">IF(J13="","",ROUND(J13*(1+OHP),2))</f>
        <v>21.6</v>
      </c>
      <c r="L13" s="76" t="n">
        <f aca="false">IF(K13="","",ROUND(K13*(1+VAT),2))</f>
        <v>22.68</v>
      </c>
      <c r="M13" s="73" t="s">
        <v>89</v>
      </c>
      <c r="N13" s="71"/>
      <c r="O13" s="73"/>
      <c r="P13" s="77"/>
      <c r="Q13" s="71"/>
      <c r="R13" s="78" t="s">
        <v>626</v>
      </c>
    </row>
    <row r="14" customFormat="false" ht="15" hidden="false" customHeight="false" outlineLevel="0" collapsed="false">
      <c r="A14" s="70" t="s">
        <v>627</v>
      </c>
      <c r="B14" s="71" t="s">
        <v>619</v>
      </c>
      <c r="C14" s="72" t="s">
        <v>628</v>
      </c>
      <c r="D14" s="71" t="s">
        <v>629</v>
      </c>
      <c r="E14" s="71" t="s">
        <v>457</v>
      </c>
      <c r="F14" s="71" t="s">
        <v>418</v>
      </c>
      <c r="G14" s="73" t="s">
        <v>622</v>
      </c>
      <c r="H14" s="79" t="n">
        <v>30</v>
      </c>
      <c r="I14" s="75" t="n">
        <v>0</v>
      </c>
      <c r="J14" s="76" t="n">
        <f aca="false">IF(H14="","",ROUND(H14*(1+I14),2))</f>
        <v>30</v>
      </c>
      <c r="K14" s="76" t="n">
        <f aca="false">IF(J14="","",ROUND(J14*(1+OHP),2))</f>
        <v>36</v>
      </c>
      <c r="L14" s="76" t="n">
        <f aca="false">IF(K14="","",ROUND(K14*(1+VAT),2))</f>
        <v>37.8</v>
      </c>
      <c r="M14" s="73" t="s">
        <v>89</v>
      </c>
      <c r="N14" s="71"/>
      <c r="O14" s="73"/>
      <c r="P14" s="77"/>
      <c r="Q14" s="71"/>
      <c r="R14" s="78"/>
    </row>
    <row r="15" customFormat="false" ht="15" hidden="false" customHeight="false" outlineLevel="0" collapsed="false">
      <c r="A15" s="70" t="s">
        <v>630</v>
      </c>
      <c r="B15" s="71" t="s">
        <v>619</v>
      </c>
      <c r="C15" s="72" t="s">
        <v>631</v>
      </c>
      <c r="D15" s="71" t="s">
        <v>632</v>
      </c>
      <c r="E15" s="71" t="s">
        <v>457</v>
      </c>
      <c r="F15" s="71" t="s">
        <v>418</v>
      </c>
      <c r="G15" s="73" t="s">
        <v>622</v>
      </c>
      <c r="H15" s="79" t="n">
        <v>30</v>
      </c>
      <c r="I15" s="75" t="n">
        <v>0</v>
      </c>
      <c r="J15" s="76" t="n">
        <f aca="false">IF(H15="","",ROUND(H15*(1+I15),2))</f>
        <v>30</v>
      </c>
      <c r="K15" s="76" t="n">
        <f aca="false">IF(J15="","",ROUND(J15*(1+OHP),2))</f>
        <v>36</v>
      </c>
      <c r="L15" s="76" t="n">
        <f aca="false">IF(K15="","",ROUND(K15*(1+VAT),2))</f>
        <v>37.8</v>
      </c>
      <c r="M15" s="73" t="s">
        <v>89</v>
      </c>
      <c r="N15" s="71"/>
      <c r="O15" s="73"/>
      <c r="P15" s="77"/>
      <c r="Q15" s="71"/>
      <c r="R15" s="78" t="s">
        <v>407</v>
      </c>
    </row>
    <row r="16" customFormat="false" ht="15" hidden="false" customHeight="false" outlineLevel="0" collapsed="false">
      <c r="A16" s="70" t="s">
        <v>633</v>
      </c>
      <c r="B16" s="71" t="s">
        <v>619</v>
      </c>
      <c r="C16" s="72" t="s">
        <v>634</v>
      </c>
      <c r="D16" s="71" t="s">
        <v>632</v>
      </c>
      <c r="E16" s="71" t="s">
        <v>457</v>
      </c>
      <c r="F16" s="71" t="s">
        <v>418</v>
      </c>
      <c r="G16" s="73" t="s">
        <v>622</v>
      </c>
      <c r="H16" s="79" t="n">
        <v>40</v>
      </c>
      <c r="I16" s="75" t="n">
        <v>0</v>
      </c>
      <c r="J16" s="76" t="n">
        <f aca="false">IF(H16="","",ROUND(H16*(1+I16),2))</f>
        <v>40</v>
      </c>
      <c r="K16" s="76" t="n">
        <f aca="false">IF(J16="","",ROUND(J16*(1+OHP),2))</f>
        <v>48</v>
      </c>
      <c r="L16" s="76" t="n">
        <f aca="false">IF(K16="","",ROUND(K16*(1+VAT),2))</f>
        <v>50.4</v>
      </c>
      <c r="M16" s="73" t="s">
        <v>89</v>
      </c>
      <c r="N16" s="71"/>
      <c r="O16" s="73"/>
      <c r="P16" s="77"/>
      <c r="Q16" s="71"/>
      <c r="R16" s="78" t="s">
        <v>635</v>
      </c>
    </row>
    <row r="17" customFormat="false" ht="15" hidden="false" customHeight="false" outlineLevel="0" collapsed="false">
      <c r="A17" s="70" t="s">
        <v>636</v>
      </c>
      <c r="B17" s="71" t="s">
        <v>619</v>
      </c>
      <c r="C17" s="72" t="s">
        <v>637</v>
      </c>
      <c r="D17" s="71" t="s">
        <v>638</v>
      </c>
      <c r="E17" s="71" t="s">
        <v>457</v>
      </c>
      <c r="F17" s="71" t="s">
        <v>418</v>
      </c>
      <c r="G17" s="73" t="s">
        <v>622</v>
      </c>
      <c r="H17" s="79" t="n">
        <v>25</v>
      </c>
      <c r="I17" s="75" t="n">
        <v>0</v>
      </c>
      <c r="J17" s="76" t="n">
        <f aca="false">IF(H17="","",ROUND(H17*(1+I17),2))</f>
        <v>25</v>
      </c>
      <c r="K17" s="76" t="n">
        <f aca="false">IF(J17="","",ROUND(J17*(1+OHP),2))</f>
        <v>30</v>
      </c>
      <c r="L17" s="76" t="n">
        <f aca="false">IF(K17="","",ROUND(K17*(1+VAT),2))</f>
        <v>31.5</v>
      </c>
      <c r="M17" s="73" t="s">
        <v>89</v>
      </c>
      <c r="N17" s="71"/>
      <c r="O17" s="73"/>
      <c r="P17" s="77"/>
      <c r="Q17" s="71"/>
      <c r="R17" s="78" t="s">
        <v>639</v>
      </c>
    </row>
    <row r="18" customFormat="false" ht="15" hidden="false" customHeight="false" outlineLevel="0" collapsed="false">
      <c r="A18" s="70" t="s">
        <v>640</v>
      </c>
      <c r="B18" s="71" t="s">
        <v>619</v>
      </c>
      <c r="C18" s="72" t="s">
        <v>641</v>
      </c>
      <c r="D18" s="71" t="s">
        <v>642</v>
      </c>
      <c r="E18" s="71" t="s">
        <v>457</v>
      </c>
      <c r="F18" s="71" t="s">
        <v>418</v>
      </c>
      <c r="G18" s="73" t="s">
        <v>622</v>
      </c>
      <c r="H18" s="79" t="n">
        <v>10</v>
      </c>
      <c r="I18" s="75" t="n">
        <v>0</v>
      </c>
      <c r="J18" s="76" t="n">
        <f aca="false">IF(H18="","",ROUND(H18*(1+I18),2))</f>
        <v>10</v>
      </c>
      <c r="K18" s="76" t="n">
        <f aca="false">IF(J18="","",ROUND(J18*(1+OHP),2))</f>
        <v>12</v>
      </c>
      <c r="L18" s="76" t="n">
        <f aca="false">IF(K18="","",ROUND(K18*(1+VAT),2))</f>
        <v>12.6</v>
      </c>
      <c r="M18" s="73" t="s">
        <v>89</v>
      </c>
      <c r="N18" s="71"/>
      <c r="O18" s="73"/>
      <c r="P18" s="77"/>
      <c r="Q18" s="71"/>
      <c r="R18" s="78"/>
    </row>
    <row r="19" customFormat="false" ht="15" hidden="false" customHeight="false" outlineLevel="0" collapsed="false">
      <c r="A19" s="70" t="s">
        <v>643</v>
      </c>
      <c r="B19" s="71" t="s">
        <v>644</v>
      </c>
      <c r="C19" s="72" t="s">
        <v>645</v>
      </c>
      <c r="D19" s="71" t="s">
        <v>646</v>
      </c>
      <c r="E19" s="71" t="s">
        <v>647</v>
      </c>
      <c r="F19" s="71" t="s">
        <v>418</v>
      </c>
      <c r="G19" s="73" t="s">
        <v>378</v>
      </c>
      <c r="H19" s="79" t="n">
        <v>35</v>
      </c>
      <c r="I19" s="75" t="n">
        <v>0</v>
      </c>
      <c r="J19" s="76" t="n">
        <f aca="false">IF(H19="","",ROUND(H19*(1+I19),2))</f>
        <v>35</v>
      </c>
      <c r="K19" s="76" t="n">
        <f aca="false">IF(J19="","",ROUND(J19*(1+OHP),2))</f>
        <v>42</v>
      </c>
      <c r="L19" s="76" t="n">
        <f aca="false">IF(K19="","",ROUND(K19*(1+VAT),2))</f>
        <v>44.1</v>
      </c>
      <c r="M19" s="73" t="s">
        <v>89</v>
      </c>
      <c r="N19" s="71"/>
      <c r="O19" s="73"/>
      <c r="P19" s="77"/>
      <c r="Q19" s="71"/>
      <c r="R19" s="78" t="s">
        <v>648</v>
      </c>
    </row>
    <row r="20" customFormat="false" ht="15" hidden="false" customHeight="false" outlineLevel="0" collapsed="false">
      <c r="A20" s="70" t="s">
        <v>649</v>
      </c>
      <c r="B20" s="71" t="s">
        <v>644</v>
      </c>
      <c r="C20" s="72" t="s">
        <v>650</v>
      </c>
      <c r="D20" s="71" t="s">
        <v>651</v>
      </c>
      <c r="E20" s="71" t="s">
        <v>647</v>
      </c>
      <c r="F20" s="71" t="s">
        <v>418</v>
      </c>
      <c r="G20" s="73" t="s">
        <v>378</v>
      </c>
      <c r="H20" s="79" t="n">
        <v>75</v>
      </c>
      <c r="I20" s="75" t="n">
        <v>0</v>
      </c>
      <c r="J20" s="76" t="n">
        <f aca="false">IF(H20="","",ROUND(H20*(1+I20),2))</f>
        <v>75</v>
      </c>
      <c r="K20" s="76" t="n">
        <f aca="false">IF(J20="","",ROUND(J20*(1+OHP),2))</f>
        <v>90</v>
      </c>
      <c r="L20" s="76" t="n">
        <f aca="false">IF(K20="","",ROUND(K20*(1+VAT),2))</f>
        <v>94.5</v>
      </c>
      <c r="M20" s="73" t="s">
        <v>89</v>
      </c>
      <c r="N20" s="71"/>
      <c r="O20" s="73"/>
      <c r="P20" s="77"/>
      <c r="Q20" s="71"/>
      <c r="R20" s="78" t="s">
        <v>648</v>
      </c>
    </row>
    <row r="21" customFormat="false" ht="15" hidden="false" customHeight="false" outlineLevel="0" collapsed="false">
      <c r="A21" s="70" t="s">
        <v>652</v>
      </c>
      <c r="B21" s="71" t="s">
        <v>644</v>
      </c>
      <c r="C21" s="72" t="s">
        <v>653</v>
      </c>
      <c r="D21" s="71" t="s">
        <v>654</v>
      </c>
      <c r="E21" s="71" t="s">
        <v>647</v>
      </c>
      <c r="F21" s="71" t="s">
        <v>655</v>
      </c>
      <c r="G21" s="73" t="s">
        <v>378</v>
      </c>
      <c r="H21" s="79" t="n">
        <v>55</v>
      </c>
      <c r="I21" s="75" t="n">
        <v>0</v>
      </c>
      <c r="J21" s="76" t="n">
        <f aca="false">IF(H21="","",ROUND(H21*(1+I21),2))</f>
        <v>55</v>
      </c>
      <c r="K21" s="76" t="n">
        <f aca="false">IF(J21="","",ROUND(J21*(1+OHP),2))</f>
        <v>66</v>
      </c>
      <c r="L21" s="76" t="n">
        <f aca="false">IF(K21="","",ROUND(K21*(1+VAT),2))</f>
        <v>69.3</v>
      </c>
      <c r="M21" s="73" t="s">
        <v>89</v>
      </c>
      <c r="N21" s="71"/>
      <c r="O21" s="73"/>
      <c r="P21" s="77"/>
      <c r="Q21" s="71"/>
      <c r="R21" s="78" t="s">
        <v>648</v>
      </c>
    </row>
    <row r="22" customFormat="false" ht="15" hidden="false" customHeight="false" outlineLevel="0" collapsed="false">
      <c r="A22" s="70" t="s">
        <v>656</v>
      </c>
      <c r="B22" s="71" t="s">
        <v>644</v>
      </c>
      <c r="C22" s="72" t="s">
        <v>657</v>
      </c>
      <c r="D22" s="71" t="s">
        <v>658</v>
      </c>
      <c r="E22" s="71" t="s">
        <v>647</v>
      </c>
      <c r="F22" s="71" t="s">
        <v>655</v>
      </c>
      <c r="G22" s="73" t="s">
        <v>218</v>
      </c>
      <c r="H22" s="79" t="n">
        <v>12</v>
      </c>
      <c r="I22" s="75" t="n">
        <v>0</v>
      </c>
      <c r="J22" s="76" t="n">
        <f aca="false">IF(H22="","",ROUND(H22*(1+I22),2))</f>
        <v>12</v>
      </c>
      <c r="K22" s="76" t="n">
        <f aca="false">IF(J22="","",ROUND(J22*(1+OHP),2))</f>
        <v>14.4</v>
      </c>
      <c r="L22" s="76" t="n">
        <f aca="false">IF(K22="","",ROUND(K22*(1+VAT),2))</f>
        <v>15.12</v>
      </c>
      <c r="M22" s="73" t="s">
        <v>89</v>
      </c>
      <c r="N22" s="71"/>
      <c r="O22" s="73"/>
      <c r="P22" s="77"/>
      <c r="Q22" s="71"/>
      <c r="R22" s="78" t="s">
        <v>659</v>
      </c>
    </row>
    <row r="23" customFormat="false" ht="15" hidden="false" customHeight="false" outlineLevel="0" collapsed="false">
      <c r="A23" s="70" t="s">
        <v>660</v>
      </c>
      <c r="B23" s="71" t="s">
        <v>644</v>
      </c>
      <c r="C23" s="72" t="s">
        <v>661</v>
      </c>
      <c r="D23" s="71" t="s">
        <v>654</v>
      </c>
      <c r="E23" s="71" t="s">
        <v>662</v>
      </c>
      <c r="F23" s="71" t="s">
        <v>663</v>
      </c>
      <c r="G23" s="73" t="s">
        <v>378</v>
      </c>
      <c r="H23" s="79" t="n">
        <v>85</v>
      </c>
      <c r="I23" s="75" t="n">
        <v>0</v>
      </c>
      <c r="J23" s="76" t="n">
        <f aca="false">IF(H23="","",ROUND(H23*(1+I23),2))</f>
        <v>85</v>
      </c>
      <c r="K23" s="76" t="n">
        <f aca="false">IF(J23="","",ROUND(J23*(1+OHP),2))</f>
        <v>102</v>
      </c>
      <c r="L23" s="76" t="n">
        <f aca="false">IF(K23="","",ROUND(K23*(1+VAT),2))</f>
        <v>107.1</v>
      </c>
      <c r="M23" s="73" t="s">
        <v>89</v>
      </c>
      <c r="N23" s="71"/>
      <c r="O23" s="73"/>
      <c r="P23" s="77"/>
      <c r="Q23" s="71"/>
      <c r="R23" s="78"/>
    </row>
    <row r="24" customFormat="false" ht="15" hidden="false" customHeight="false" outlineLevel="0" collapsed="false">
      <c r="A24" s="70" t="s">
        <v>664</v>
      </c>
      <c r="B24" s="71" t="s">
        <v>644</v>
      </c>
      <c r="C24" s="72" t="s">
        <v>665</v>
      </c>
      <c r="D24" s="71" t="s">
        <v>666</v>
      </c>
      <c r="E24" s="71" t="s">
        <v>457</v>
      </c>
      <c r="F24" s="71" t="s">
        <v>453</v>
      </c>
      <c r="G24" s="73" t="s">
        <v>378</v>
      </c>
      <c r="H24" s="79" t="n">
        <v>60</v>
      </c>
      <c r="I24" s="75" t="n">
        <v>0</v>
      </c>
      <c r="J24" s="76" t="n">
        <f aca="false">IF(H24="","",ROUND(H24*(1+I24),2))</f>
        <v>60</v>
      </c>
      <c r="K24" s="76" t="n">
        <f aca="false">IF(J24="","",ROUND(J24*(1+OHP),2))</f>
        <v>72</v>
      </c>
      <c r="L24" s="76" t="n">
        <f aca="false">IF(K24="","",ROUND(K24*(1+VAT),2))</f>
        <v>75.6</v>
      </c>
      <c r="M24" s="73" t="s">
        <v>89</v>
      </c>
      <c r="N24" s="71"/>
      <c r="O24" s="73"/>
      <c r="P24" s="77"/>
      <c r="Q24" s="71"/>
      <c r="R24" s="78"/>
    </row>
    <row r="25" customFormat="false" ht="15" hidden="false" customHeight="false" outlineLevel="0" collapsed="false">
      <c r="A25" s="70" t="s">
        <v>667</v>
      </c>
      <c r="B25" s="71" t="s">
        <v>668</v>
      </c>
      <c r="C25" s="72" t="s">
        <v>669</v>
      </c>
      <c r="D25" s="71" t="s">
        <v>670</v>
      </c>
      <c r="E25" s="71" t="s">
        <v>457</v>
      </c>
      <c r="F25" s="71" t="s">
        <v>418</v>
      </c>
      <c r="G25" s="73" t="s">
        <v>622</v>
      </c>
      <c r="H25" s="79" t="n">
        <v>3</v>
      </c>
      <c r="I25" s="75" t="n">
        <v>0</v>
      </c>
      <c r="J25" s="76" t="n">
        <f aca="false">IF(H25="","",ROUND(H25*(1+I25),2))</f>
        <v>3</v>
      </c>
      <c r="K25" s="76" t="n">
        <f aca="false">IF(J25="","",ROUND(J25*(1+OHP),2))</f>
        <v>3.6</v>
      </c>
      <c r="L25" s="76" t="n">
        <f aca="false">IF(K25="","",ROUND(K25*(1+VAT),2))</f>
        <v>3.78</v>
      </c>
      <c r="M25" s="73" t="s">
        <v>89</v>
      </c>
      <c r="N25" s="71"/>
      <c r="O25" s="73"/>
      <c r="P25" s="77"/>
      <c r="Q25" s="71"/>
      <c r="R25" s="78" t="s">
        <v>671</v>
      </c>
    </row>
    <row r="26" customFormat="false" ht="15" hidden="false" customHeight="false" outlineLevel="0" collapsed="false">
      <c r="A26" s="70" t="s">
        <v>672</v>
      </c>
      <c r="B26" s="71" t="s">
        <v>668</v>
      </c>
      <c r="C26" s="72" t="s">
        <v>673</v>
      </c>
      <c r="D26" s="71" t="s">
        <v>674</v>
      </c>
      <c r="E26" s="71" t="s">
        <v>457</v>
      </c>
      <c r="F26" s="71" t="s">
        <v>418</v>
      </c>
      <c r="G26" s="73" t="s">
        <v>378</v>
      </c>
      <c r="H26" s="79" t="n">
        <v>45</v>
      </c>
      <c r="I26" s="75" t="n">
        <v>0</v>
      </c>
      <c r="J26" s="76" t="n">
        <f aca="false">IF(H26="","",ROUND(H26*(1+I26),2))</f>
        <v>45</v>
      </c>
      <c r="K26" s="76" t="n">
        <f aca="false">IF(J26="","",ROUND(J26*(1+OHP),2))</f>
        <v>54</v>
      </c>
      <c r="L26" s="76" t="n">
        <f aca="false">IF(K26="","",ROUND(K26*(1+VAT),2))</f>
        <v>56.7</v>
      </c>
      <c r="M26" s="73" t="s">
        <v>89</v>
      </c>
      <c r="N26" s="71"/>
      <c r="O26" s="73"/>
      <c r="P26" s="77"/>
      <c r="Q26" s="71"/>
      <c r="R26" s="78" t="s">
        <v>675</v>
      </c>
    </row>
    <row r="27" customFormat="false" ht="15" hidden="false" customHeight="false" outlineLevel="0" collapsed="false">
      <c r="A27" s="70" t="s">
        <v>676</v>
      </c>
      <c r="B27" s="71" t="s">
        <v>668</v>
      </c>
      <c r="C27" s="72" t="s">
        <v>677</v>
      </c>
      <c r="D27" s="71" t="s">
        <v>678</v>
      </c>
      <c r="E27" s="71" t="s">
        <v>457</v>
      </c>
      <c r="F27" s="71" t="s">
        <v>418</v>
      </c>
      <c r="G27" s="73" t="s">
        <v>378</v>
      </c>
      <c r="H27" s="79" t="n">
        <v>15</v>
      </c>
      <c r="I27" s="75" t="n">
        <v>0</v>
      </c>
      <c r="J27" s="76" t="n">
        <f aca="false">IF(H27="","",ROUND(H27*(1+I27),2))</f>
        <v>15</v>
      </c>
      <c r="K27" s="76" t="n">
        <f aca="false">IF(J27="","",ROUND(J27*(1+OHP),2))</f>
        <v>18</v>
      </c>
      <c r="L27" s="76" t="n">
        <f aca="false">IF(K27="","",ROUND(K27*(1+VAT),2))</f>
        <v>18.9</v>
      </c>
      <c r="M27" s="73" t="s">
        <v>89</v>
      </c>
      <c r="N27" s="71"/>
      <c r="O27" s="73"/>
      <c r="P27" s="77"/>
      <c r="Q27" s="71"/>
      <c r="R27" s="78"/>
    </row>
    <row r="28" customFormat="false" ht="15" hidden="false" customHeight="false" outlineLevel="0" collapsed="false">
      <c r="A28" s="80" t="str">
        <f aca="false">IF(C28="","","GP-"&amp;TEXT(ROW()-4,"000"))</f>
        <v/>
      </c>
      <c r="B28" s="81"/>
      <c r="C28" s="81"/>
      <c r="D28" s="81"/>
      <c r="E28" s="81"/>
      <c r="F28" s="81"/>
      <c r="G28" s="82"/>
      <c r="H28" s="83"/>
      <c r="I28" s="84"/>
      <c r="J28" s="85" t="str">
        <f aca="false">IF(H28="","",ROUND(H28*(1+I28),2))</f>
        <v/>
      </c>
      <c r="K28" s="85" t="str">
        <f aca="false">IF(J28="","",ROUND(J28*(1+OHP),2))</f>
        <v/>
      </c>
      <c r="L28" s="85" t="str">
        <f aca="false">IF(K28="","",ROUND(K28*(1+VAT),2))</f>
        <v/>
      </c>
      <c r="M28" s="82"/>
      <c r="N28" s="81"/>
      <c r="O28" s="82"/>
      <c r="P28" s="86"/>
      <c r="Q28" s="81"/>
      <c r="R28" s="87"/>
    </row>
    <row r="29" customFormat="false" ht="15" hidden="false" customHeight="false" outlineLevel="0" collapsed="false">
      <c r="A29" s="80" t="str">
        <f aca="false">IF(C29="","","GP-"&amp;TEXT(ROW()-4,"000"))</f>
        <v/>
      </c>
      <c r="B29" s="81"/>
      <c r="C29" s="81"/>
      <c r="D29" s="81"/>
      <c r="E29" s="81"/>
      <c r="F29" s="81"/>
      <c r="G29" s="82"/>
      <c r="H29" s="83"/>
      <c r="I29" s="84"/>
      <c r="J29" s="85" t="str">
        <f aca="false">IF(H29="","",ROUND(H29*(1+I29),2))</f>
        <v/>
      </c>
      <c r="K29" s="85" t="str">
        <f aca="false">IF(J29="","",ROUND(J29*(1+OHP),2))</f>
        <v/>
      </c>
      <c r="L29" s="85" t="str">
        <f aca="false">IF(K29="","",ROUND(K29*(1+VAT),2))</f>
        <v/>
      </c>
      <c r="M29" s="82"/>
      <c r="N29" s="81"/>
      <c r="O29" s="82"/>
      <c r="P29" s="86"/>
      <c r="Q29" s="81"/>
      <c r="R29" s="87"/>
    </row>
    <row r="30" customFormat="false" ht="15" hidden="false" customHeight="false" outlineLevel="0" collapsed="false">
      <c r="A30" s="80" t="str">
        <f aca="false">IF(C30="","","GP-"&amp;TEXT(ROW()-4,"000"))</f>
        <v/>
      </c>
      <c r="B30" s="81"/>
      <c r="C30" s="81"/>
      <c r="D30" s="81"/>
      <c r="E30" s="81"/>
      <c r="F30" s="81"/>
      <c r="G30" s="82"/>
      <c r="H30" s="83"/>
      <c r="I30" s="84"/>
      <c r="J30" s="85" t="str">
        <f aca="false">IF(H30="","",ROUND(H30*(1+I30),2))</f>
        <v/>
      </c>
      <c r="K30" s="85" t="str">
        <f aca="false">IF(J30="","",ROUND(J30*(1+OHP),2))</f>
        <v/>
      </c>
      <c r="L30" s="85" t="str">
        <f aca="false">IF(K30="","",ROUND(K30*(1+VAT),2))</f>
        <v/>
      </c>
      <c r="M30" s="82"/>
      <c r="N30" s="81"/>
      <c r="O30" s="82"/>
      <c r="P30" s="86"/>
      <c r="Q30" s="81"/>
      <c r="R30" s="87"/>
    </row>
    <row r="31" customFormat="false" ht="15" hidden="false" customHeight="false" outlineLevel="0" collapsed="false">
      <c r="A31" s="80" t="str">
        <f aca="false">IF(C31="","","GP-"&amp;TEXT(ROW()-4,"000"))</f>
        <v/>
      </c>
      <c r="B31" s="81"/>
      <c r="C31" s="81"/>
      <c r="D31" s="81"/>
      <c r="E31" s="81"/>
      <c r="F31" s="81"/>
      <c r="G31" s="82"/>
      <c r="H31" s="83"/>
      <c r="I31" s="84"/>
      <c r="J31" s="85" t="str">
        <f aca="false">IF(H31="","",ROUND(H31*(1+I31),2))</f>
        <v/>
      </c>
      <c r="K31" s="85" t="str">
        <f aca="false">IF(J31="","",ROUND(J31*(1+OHP),2))</f>
        <v/>
      </c>
      <c r="L31" s="85" t="str">
        <f aca="false">IF(K31="","",ROUND(K31*(1+VAT),2))</f>
        <v/>
      </c>
      <c r="M31" s="82"/>
      <c r="N31" s="81"/>
      <c r="O31" s="82"/>
      <c r="P31" s="86"/>
      <c r="Q31" s="81"/>
      <c r="R31" s="87"/>
    </row>
    <row r="32" customFormat="false" ht="15" hidden="false" customHeight="false" outlineLevel="0" collapsed="false">
      <c r="A32" s="80" t="str">
        <f aca="false">IF(C32="","","GP-"&amp;TEXT(ROW()-4,"000"))</f>
        <v/>
      </c>
      <c r="B32" s="81"/>
      <c r="C32" s="81"/>
      <c r="D32" s="81"/>
      <c r="E32" s="81"/>
      <c r="F32" s="81"/>
      <c r="G32" s="82"/>
      <c r="H32" s="83"/>
      <c r="I32" s="84"/>
      <c r="J32" s="85" t="str">
        <f aca="false">IF(H32="","",ROUND(H32*(1+I32),2))</f>
        <v/>
      </c>
      <c r="K32" s="85" t="str">
        <f aca="false">IF(J32="","",ROUND(J32*(1+OHP),2))</f>
        <v/>
      </c>
      <c r="L32" s="85" t="str">
        <f aca="false">IF(K32="","",ROUND(K32*(1+VAT),2))</f>
        <v/>
      </c>
      <c r="M32" s="82"/>
      <c r="N32" s="81"/>
      <c r="O32" s="82"/>
      <c r="P32" s="86"/>
      <c r="Q32" s="81"/>
      <c r="R32" s="87"/>
    </row>
    <row r="33" customFormat="false" ht="15" hidden="false" customHeight="false" outlineLevel="0" collapsed="false">
      <c r="A33" s="80" t="str">
        <f aca="false">IF(C33="","","GP-"&amp;TEXT(ROW()-4,"000"))</f>
        <v/>
      </c>
      <c r="B33" s="81"/>
      <c r="C33" s="81"/>
      <c r="D33" s="81"/>
      <c r="E33" s="81"/>
      <c r="F33" s="81"/>
      <c r="G33" s="82"/>
      <c r="H33" s="83"/>
      <c r="I33" s="84"/>
      <c r="J33" s="85" t="str">
        <f aca="false">IF(H33="","",ROUND(H33*(1+I33),2))</f>
        <v/>
      </c>
      <c r="K33" s="85" t="str">
        <f aca="false">IF(J33="","",ROUND(J33*(1+OHP),2))</f>
        <v/>
      </c>
      <c r="L33" s="85" t="str">
        <f aca="false">IF(K33="","",ROUND(K33*(1+VAT),2))</f>
        <v/>
      </c>
      <c r="M33" s="82"/>
      <c r="N33" s="81"/>
      <c r="O33" s="82"/>
      <c r="P33" s="86"/>
      <c r="Q33" s="81"/>
      <c r="R33" s="87"/>
    </row>
    <row r="34" customFormat="false" ht="15" hidden="false" customHeight="false" outlineLevel="0" collapsed="false">
      <c r="A34" s="80" t="str">
        <f aca="false">IF(C34="","","GP-"&amp;TEXT(ROW()-4,"000"))</f>
        <v/>
      </c>
      <c r="B34" s="81"/>
      <c r="C34" s="81"/>
      <c r="D34" s="81"/>
      <c r="E34" s="81"/>
      <c r="F34" s="81"/>
      <c r="G34" s="82"/>
      <c r="H34" s="83"/>
      <c r="I34" s="84"/>
      <c r="J34" s="85" t="str">
        <f aca="false">IF(H34="","",ROUND(H34*(1+I34),2))</f>
        <v/>
      </c>
      <c r="K34" s="85" t="str">
        <f aca="false">IF(J34="","",ROUND(J34*(1+OHP),2))</f>
        <v/>
      </c>
      <c r="L34" s="85" t="str">
        <f aca="false">IF(K34="","",ROUND(K34*(1+VAT),2))</f>
        <v/>
      </c>
      <c r="M34" s="82"/>
      <c r="N34" s="81"/>
      <c r="O34" s="82"/>
      <c r="P34" s="86"/>
      <c r="Q34" s="81"/>
      <c r="R34" s="87"/>
    </row>
    <row r="35" customFormat="false" ht="15" hidden="false" customHeight="false" outlineLevel="0" collapsed="false">
      <c r="A35" s="80" t="str">
        <f aca="false">IF(C35="","","GP-"&amp;TEXT(ROW()-4,"000"))</f>
        <v/>
      </c>
      <c r="B35" s="81"/>
      <c r="C35" s="81"/>
      <c r="D35" s="81"/>
      <c r="E35" s="81"/>
      <c r="F35" s="81"/>
      <c r="G35" s="82"/>
      <c r="H35" s="83"/>
      <c r="I35" s="84"/>
      <c r="J35" s="85" t="str">
        <f aca="false">IF(H35="","",ROUND(H35*(1+I35),2))</f>
        <v/>
      </c>
      <c r="K35" s="85" t="str">
        <f aca="false">IF(J35="","",ROUND(J35*(1+OHP),2))</f>
        <v/>
      </c>
      <c r="L35" s="85" t="str">
        <f aca="false">IF(K35="","",ROUND(K35*(1+VAT),2))</f>
        <v/>
      </c>
      <c r="M35" s="82"/>
      <c r="N35" s="81"/>
      <c r="O35" s="82"/>
      <c r="P35" s="86"/>
      <c r="Q35" s="81"/>
      <c r="R35" s="87"/>
    </row>
    <row r="36" customFormat="false" ht="15" hidden="false" customHeight="false" outlineLevel="0" collapsed="false">
      <c r="A36" s="80" t="str">
        <f aca="false">IF(C36="","","GP-"&amp;TEXT(ROW()-4,"000"))</f>
        <v/>
      </c>
      <c r="B36" s="81"/>
      <c r="C36" s="81"/>
      <c r="D36" s="81"/>
      <c r="E36" s="81"/>
      <c r="F36" s="81"/>
      <c r="G36" s="82"/>
      <c r="H36" s="83"/>
      <c r="I36" s="84"/>
      <c r="J36" s="85" t="str">
        <f aca="false">IF(H36="","",ROUND(H36*(1+I36),2))</f>
        <v/>
      </c>
      <c r="K36" s="85" t="str">
        <f aca="false">IF(J36="","",ROUND(J36*(1+OHP),2))</f>
        <v/>
      </c>
      <c r="L36" s="85" t="str">
        <f aca="false">IF(K36="","",ROUND(K36*(1+VAT),2))</f>
        <v/>
      </c>
      <c r="M36" s="82"/>
      <c r="N36" s="81"/>
      <c r="O36" s="82"/>
      <c r="P36" s="86"/>
      <c r="Q36" s="81"/>
      <c r="R36" s="87"/>
    </row>
    <row r="37" customFormat="false" ht="15" hidden="false" customHeight="false" outlineLevel="0" collapsed="false">
      <c r="A37" s="80" t="str">
        <f aca="false">IF(C37="","","GP-"&amp;TEXT(ROW()-4,"000"))</f>
        <v/>
      </c>
      <c r="B37" s="81"/>
      <c r="C37" s="81"/>
      <c r="D37" s="81"/>
      <c r="E37" s="81"/>
      <c r="F37" s="81"/>
      <c r="G37" s="82"/>
      <c r="H37" s="83"/>
      <c r="I37" s="84"/>
      <c r="J37" s="85" t="str">
        <f aca="false">IF(H37="","",ROUND(H37*(1+I37),2))</f>
        <v/>
      </c>
      <c r="K37" s="85" t="str">
        <f aca="false">IF(J37="","",ROUND(J37*(1+OHP),2))</f>
        <v/>
      </c>
      <c r="L37" s="85" t="str">
        <f aca="false">IF(K37="","",ROUND(K37*(1+VAT),2))</f>
        <v/>
      </c>
      <c r="M37" s="82"/>
      <c r="N37" s="81"/>
      <c r="O37" s="82"/>
      <c r="P37" s="86"/>
      <c r="Q37" s="81"/>
      <c r="R37" s="87"/>
    </row>
    <row r="38" customFormat="false" ht="15" hidden="false" customHeight="false" outlineLevel="0" collapsed="false">
      <c r="A38" s="80" t="str">
        <f aca="false">IF(C38="","","GP-"&amp;TEXT(ROW()-4,"000"))</f>
        <v/>
      </c>
      <c r="B38" s="81"/>
      <c r="C38" s="81"/>
      <c r="D38" s="81"/>
      <c r="E38" s="81"/>
      <c r="F38" s="81"/>
      <c r="G38" s="82"/>
      <c r="H38" s="83"/>
      <c r="I38" s="84"/>
      <c r="J38" s="85" t="str">
        <f aca="false">IF(H38="","",ROUND(H38*(1+I38),2))</f>
        <v/>
      </c>
      <c r="K38" s="85" t="str">
        <f aca="false">IF(J38="","",ROUND(J38*(1+OHP),2))</f>
        <v/>
      </c>
      <c r="L38" s="85" t="str">
        <f aca="false">IF(K38="","",ROUND(K38*(1+VAT),2))</f>
        <v/>
      </c>
      <c r="M38" s="82"/>
      <c r="N38" s="81"/>
      <c r="O38" s="82"/>
      <c r="P38" s="86"/>
      <c r="Q38" s="81"/>
      <c r="R38" s="87"/>
    </row>
    <row r="39" customFormat="false" ht="15" hidden="false" customHeight="false" outlineLevel="0" collapsed="false">
      <c r="A39" s="80" t="str">
        <f aca="false">IF(C39="","","GP-"&amp;TEXT(ROW()-4,"000"))</f>
        <v/>
      </c>
      <c r="B39" s="81"/>
      <c r="C39" s="81"/>
      <c r="D39" s="81"/>
      <c r="E39" s="81"/>
      <c r="F39" s="81"/>
      <c r="G39" s="82"/>
      <c r="H39" s="83"/>
      <c r="I39" s="84"/>
      <c r="J39" s="85" t="str">
        <f aca="false">IF(H39="","",ROUND(H39*(1+I39),2))</f>
        <v/>
      </c>
      <c r="K39" s="85" t="str">
        <f aca="false">IF(J39="","",ROUND(J39*(1+OHP),2))</f>
        <v/>
      </c>
      <c r="L39" s="85" t="str">
        <f aca="false">IF(K39="","",ROUND(K39*(1+VAT),2))</f>
        <v/>
      </c>
      <c r="M39" s="82"/>
      <c r="N39" s="81"/>
      <c r="O39" s="82"/>
      <c r="P39" s="86"/>
      <c r="Q39" s="81"/>
      <c r="R39" s="87"/>
    </row>
    <row r="40" customFormat="false" ht="15" hidden="false" customHeight="false" outlineLevel="0" collapsed="false">
      <c r="A40" s="80" t="str">
        <f aca="false">IF(C40="","","GP-"&amp;TEXT(ROW()-4,"000"))</f>
        <v/>
      </c>
      <c r="B40" s="81"/>
      <c r="C40" s="81"/>
      <c r="D40" s="81"/>
      <c r="E40" s="81"/>
      <c r="F40" s="81"/>
      <c r="G40" s="82"/>
      <c r="H40" s="83"/>
      <c r="I40" s="84"/>
      <c r="J40" s="85" t="str">
        <f aca="false">IF(H40="","",ROUND(H40*(1+I40),2))</f>
        <v/>
      </c>
      <c r="K40" s="85" t="str">
        <f aca="false">IF(J40="","",ROUND(J40*(1+OHP),2))</f>
        <v/>
      </c>
      <c r="L40" s="85" t="str">
        <f aca="false">IF(K40="","",ROUND(K40*(1+VAT),2))</f>
        <v/>
      </c>
      <c r="M40" s="82"/>
      <c r="N40" s="81"/>
      <c r="O40" s="82"/>
      <c r="P40" s="86"/>
      <c r="Q40" s="81"/>
      <c r="R40" s="87"/>
    </row>
    <row r="41" customFormat="false" ht="15" hidden="false" customHeight="false" outlineLevel="0" collapsed="false">
      <c r="A41" s="80" t="str">
        <f aca="false">IF(C41="","","GP-"&amp;TEXT(ROW()-4,"000"))</f>
        <v/>
      </c>
      <c r="B41" s="81"/>
      <c r="C41" s="81"/>
      <c r="D41" s="81"/>
      <c r="E41" s="81"/>
      <c r="F41" s="81"/>
      <c r="G41" s="82"/>
      <c r="H41" s="83"/>
      <c r="I41" s="84"/>
      <c r="J41" s="85" t="str">
        <f aca="false">IF(H41="","",ROUND(H41*(1+I41),2))</f>
        <v/>
      </c>
      <c r="K41" s="85" t="str">
        <f aca="false">IF(J41="","",ROUND(J41*(1+OHP),2))</f>
        <v/>
      </c>
      <c r="L41" s="85" t="str">
        <f aca="false">IF(K41="","",ROUND(K41*(1+VAT),2))</f>
        <v/>
      </c>
      <c r="M41" s="82"/>
      <c r="N41" s="81"/>
      <c r="O41" s="82"/>
      <c r="P41" s="86"/>
      <c r="Q41" s="81"/>
      <c r="R41" s="87"/>
    </row>
    <row r="42" customFormat="false" ht="15" hidden="false" customHeight="false" outlineLevel="0" collapsed="false">
      <c r="A42" s="80" t="str">
        <f aca="false">IF(C42="","","GP-"&amp;TEXT(ROW()-4,"000"))</f>
        <v/>
      </c>
      <c r="B42" s="81"/>
      <c r="C42" s="81"/>
      <c r="D42" s="81"/>
      <c r="E42" s="81"/>
      <c r="F42" s="81"/>
      <c r="G42" s="82"/>
      <c r="H42" s="83"/>
      <c r="I42" s="84"/>
      <c r="J42" s="85" t="str">
        <f aca="false">IF(H42="","",ROUND(H42*(1+I42),2))</f>
        <v/>
      </c>
      <c r="K42" s="85" t="str">
        <f aca="false">IF(J42="","",ROUND(J42*(1+OHP),2))</f>
        <v/>
      </c>
      <c r="L42" s="85" t="str">
        <f aca="false">IF(K42="","",ROUND(K42*(1+VAT),2))</f>
        <v/>
      </c>
      <c r="M42" s="82"/>
      <c r="N42" s="81"/>
      <c r="O42" s="82"/>
      <c r="P42" s="86"/>
      <c r="Q42" s="81"/>
      <c r="R42" s="87"/>
    </row>
  </sheetData>
  <autoFilter ref="A4:R42"/>
  <mergeCells count="2">
    <mergeCell ref="A1:R1"/>
    <mergeCell ref="A2:R2"/>
  </mergeCells>
  <conditionalFormatting sqref="A5:R42">
    <cfRule type="expression" priority="2" aboveAverage="0" equalAverage="0" bottom="0" percent="0" rank="0" text="" dxfId="1">
      <formula>AND($C5&lt;&gt;"",MOD(ROW(),2)=0,$M5&lt;&gt;"Obsolete")</formula>
    </cfRule>
    <cfRule type="expression" priority="3" aboveAverage="0" equalAverage="0" bottom="0" percent="0" rank="0" text="" dxfId="12">
      <formula>$M5="Obsolete"</formula>
    </cfRule>
  </conditionalFormatting>
  <conditionalFormatting sqref="M5:M42">
    <cfRule type="expression" priority="4" aboveAverage="0" equalAverage="0" bottom="0" percent="0" rank="0" text="" dxfId="13">
      <formula>$M5="Indicative"</formula>
    </cfRule>
    <cfRule type="expression" priority="5" aboveAverage="0" equalAverage="0" bottom="0" percent="0" rank="0" text="" dxfId="14">
      <formula>$M5="Quoted"</formula>
    </cfRule>
    <cfRule type="expression" priority="6" aboveAverage="0" equalAverage="0" bottom="0" percent="0" rank="0" text="" dxfId="15">
      <formula>$M5="Verified"</formula>
    </cfRule>
    <cfRule type="expression" priority="7" aboveAverage="0" equalAverage="0" bottom="0" percent="0" rank="0" text="" dxfId="16">
      <formula>$M5="Obsolete"</formula>
    </cfRule>
  </conditionalFormatting>
  <dataValidations count="2">
    <dataValidation allowBlank="true" error="Enter wastage as a percentage, e.g. 5%" errorStyle="stop" operator="between" showDropDown="false" showErrorMessage="false" showInputMessage="false" sqref="I5:I42" type="decimal">
      <formula1>0</formula1>
      <formula2>1</formula2>
    </dataValidation>
    <dataValidation allowBlank="true" errorStyle="stop" operator="between" showDropDown="false" showErrorMessage="false" showInputMessage="false" sqref="M5:M42" type="list">
      <formula1>"Indicative,Quoted,Verified,Obsolete"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&amp;L&amp;8Glass Processing Fabrication Charges&amp;C&amp;8Page &amp;P of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DEBF7"/>
    <pageSetUpPr fitToPage="true"/>
  </sheetPr>
  <dimension ref="A1:R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32"/>
    <col collapsed="false" customWidth="true" hidden="false" outlineLevel="0" max="5" min="5" style="0" width="20"/>
    <col collapsed="false" customWidth="true" hidden="false" outlineLevel="0" max="6" min="6" style="0" width="26"/>
    <col collapsed="false" customWidth="true" hidden="false" outlineLevel="0" max="7" min="7" style="0" width="7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1" min="10" style="0" width="13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20"/>
    <col collapsed="false" customWidth="true" hidden="false" outlineLevel="0" max="15" min="15" style="0" width="13"/>
    <col collapsed="false" customWidth="true" hidden="false" outlineLevel="0" max="16" min="16" style="0" width="12"/>
    <col collapsed="false" customWidth="true" hidden="false" outlineLevel="0" max="17" min="17" style="0" width="26"/>
    <col collapsed="false" customWidth="true" hidden="false" outlineLevel="0" max="18" min="18" style="0" width="34"/>
  </cols>
  <sheetData>
    <row r="1" customFormat="false" ht="30" hidden="false" customHeight="true" outlineLevel="0" collapsed="false">
      <c r="A1" s="65" t="s">
        <v>679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</row>
    <row r="2" customFormat="false" ht="15" hidden="false" customHeight="false" outlineLevel="0" collapsed="false">
      <c r="A2" s="90" t="s">
        <v>680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</row>
    <row r="3" customFormat="false" ht="15" hidden="false" customHeight="false" outlineLevel="0" collapsed="false">
      <c r="A3" s="7" t="str">
        <f aca="false">HYPERLINK("#Index!A1","&lt;&lt; Back to Index")</f>
        <v>&lt;&lt; Back to Index</v>
      </c>
      <c r="D3" s="67" t="s">
        <v>180</v>
      </c>
      <c r="E3" s="68" t="n">
        <f aca="false">COUNTA(C5:C36)</f>
        <v>17</v>
      </c>
      <c r="H3" s="69" t="s">
        <v>181</v>
      </c>
    </row>
    <row r="4" customFormat="false" ht="31.5" hidden="false" customHeight="true" outlineLevel="0" collapsed="false">
      <c r="A4" s="8" t="s">
        <v>110</v>
      </c>
      <c r="B4" s="8" t="s">
        <v>121</v>
      </c>
      <c r="C4" s="8" t="s">
        <v>111</v>
      </c>
      <c r="D4" s="8" t="s">
        <v>112</v>
      </c>
      <c r="E4" s="8" t="s">
        <v>113</v>
      </c>
      <c r="F4" s="8" t="s">
        <v>114</v>
      </c>
      <c r="G4" s="8" t="s">
        <v>115</v>
      </c>
      <c r="H4" s="8" t="s">
        <v>182</v>
      </c>
      <c r="I4" s="8" t="s">
        <v>183</v>
      </c>
      <c r="J4" s="8" t="s">
        <v>184</v>
      </c>
      <c r="K4" s="8" t="s">
        <v>185</v>
      </c>
      <c r="L4" s="8" t="s">
        <v>186</v>
      </c>
      <c r="M4" s="8" t="s">
        <v>119</v>
      </c>
      <c r="N4" s="8" t="s">
        <v>187</v>
      </c>
      <c r="O4" s="8" t="s">
        <v>188</v>
      </c>
      <c r="P4" s="8" t="s">
        <v>189</v>
      </c>
      <c r="Q4" s="8" t="s">
        <v>190</v>
      </c>
      <c r="R4" s="8" t="s">
        <v>191</v>
      </c>
    </row>
    <row r="5" customFormat="false" ht="23.85" hidden="false" customHeight="false" outlineLevel="0" collapsed="false">
      <c r="A5" s="70" t="s">
        <v>681</v>
      </c>
      <c r="B5" s="71" t="s">
        <v>682</v>
      </c>
      <c r="C5" s="72" t="s">
        <v>683</v>
      </c>
      <c r="D5" s="71" t="s">
        <v>392</v>
      </c>
      <c r="E5" s="71" t="s">
        <v>684</v>
      </c>
      <c r="F5" s="71" t="s">
        <v>685</v>
      </c>
      <c r="G5" s="73" t="s">
        <v>378</v>
      </c>
      <c r="H5" s="79" t="n">
        <v>45</v>
      </c>
      <c r="I5" s="75" t="n">
        <v>0.05</v>
      </c>
      <c r="J5" s="76" t="n">
        <f aca="false">IF(H5="","",ROUND(H5*(1+I5),2))</f>
        <v>47.25</v>
      </c>
      <c r="K5" s="76" t="n">
        <f aca="false">IF(J5="","",ROUND(J5*(1+OHP),2))</f>
        <v>56.7</v>
      </c>
      <c r="L5" s="76" t="n">
        <f aca="false">IF(K5="","",ROUND(K5*(1+VAT),2))</f>
        <v>59.54</v>
      </c>
      <c r="M5" s="73" t="s">
        <v>89</v>
      </c>
      <c r="N5" s="71"/>
      <c r="O5" s="73"/>
      <c r="P5" s="77"/>
      <c r="Q5" s="71"/>
      <c r="R5" s="78" t="s">
        <v>686</v>
      </c>
    </row>
    <row r="6" customFormat="false" ht="23.85" hidden="false" customHeight="false" outlineLevel="0" collapsed="false">
      <c r="A6" s="70" t="s">
        <v>687</v>
      </c>
      <c r="B6" s="71" t="s">
        <v>682</v>
      </c>
      <c r="C6" s="72" t="s">
        <v>683</v>
      </c>
      <c r="D6" s="71" t="s">
        <v>593</v>
      </c>
      <c r="E6" s="71" t="s">
        <v>684</v>
      </c>
      <c r="F6" s="71" t="s">
        <v>685</v>
      </c>
      <c r="G6" s="73" t="s">
        <v>378</v>
      </c>
      <c r="H6" s="79" t="n">
        <v>55</v>
      </c>
      <c r="I6" s="75" t="n">
        <v>0.05</v>
      </c>
      <c r="J6" s="76" t="n">
        <f aca="false">IF(H6="","",ROUND(H6*(1+I6),2))</f>
        <v>57.75</v>
      </c>
      <c r="K6" s="76" t="n">
        <f aca="false">IF(J6="","",ROUND(J6*(1+OHP),2))</f>
        <v>69.3</v>
      </c>
      <c r="L6" s="76" t="n">
        <f aca="false">IF(K6="","",ROUND(K6*(1+VAT),2))</f>
        <v>72.77</v>
      </c>
      <c r="M6" s="73" t="s">
        <v>89</v>
      </c>
      <c r="N6" s="71"/>
      <c r="O6" s="73"/>
      <c r="P6" s="77"/>
      <c r="Q6" s="71"/>
      <c r="R6" s="78" t="s">
        <v>688</v>
      </c>
    </row>
    <row r="7" customFormat="false" ht="23.85" hidden="false" customHeight="false" outlineLevel="0" collapsed="false">
      <c r="A7" s="70" t="s">
        <v>689</v>
      </c>
      <c r="B7" s="71" t="s">
        <v>682</v>
      </c>
      <c r="C7" s="72" t="s">
        <v>683</v>
      </c>
      <c r="D7" s="71" t="s">
        <v>397</v>
      </c>
      <c r="E7" s="71" t="s">
        <v>684</v>
      </c>
      <c r="F7" s="71" t="s">
        <v>685</v>
      </c>
      <c r="G7" s="73" t="s">
        <v>378</v>
      </c>
      <c r="H7" s="79" t="n">
        <v>65</v>
      </c>
      <c r="I7" s="75" t="n">
        <v>0.05</v>
      </c>
      <c r="J7" s="76" t="n">
        <f aca="false">IF(H7="","",ROUND(H7*(1+I7),2))</f>
        <v>68.25</v>
      </c>
      <c r="K7" s="76" t="n">
        <f aca="false">IF(J7="","",ROUND(J7*(1+OHP),2))</f>
        <v>81.9</v>
      </c>
      <c r="L7" s="76" t="n">
        <f aca="false">IF(K7="","",ROUND(K7*(1+VAT),2))</f>
        <v>86</v>
      </c>
      <c r="M7" s="73" t="s">
        <v>89</v>
      </c>
      <c r="N7" s="71"/>
      <c r="O7" s="73"/>
      <c r="P7" s="77"/>
      <c r="Q7" s="71"/>
      <c r="R7" s="78" t="s">
        <v>690</v>
      </c>
    </row>
    <row r="8" customFormat="false" ht="15" hidden="false" customHeight="false" outlineLevel="0" collapsed="false">
      <c r="A8" s="70" t="s">
        <v>691</v>
      </c>
      <c r="B8" s="71" t="s">
        <v>682</v>
      </c>
      <c r="C8" s="72" t="s">
        <v>692</v>
      </c>
      <c r="D8" s="71" t="s">
        <v>397</v>
      </c>
      <c r="E8" s="71" t="s">
        <v>684</v>
      </c>
      <c r="F8" s="71" t="s">
        <v>453</v>
      </c>
      <c r="G8" s="73" t="s">
        <v>378</v>
      </c>
      <c r="H8" s="79" t="n">
        <v>80</v>
      </c>
      <c r="I8" s="75" t="n">
        <v>0.05</v>
      </c>
      <c r="J8" s="76" t="n">
        <f aca="false">IF(H8="","",ROUND(H8*(1+I8),2))</f>
        <v>84</v>
      </c>
      <c r="K8" s="76" t="n">
        <f aca="false">IF(J8="","",ROUND(J8*(1+OHP),2))</f>
        <v>100.8</v>
      </c>
      <c r="L8" s="76" t="n">
        <f aca="false">IF(K8="","",ROUND(K8*(1+VAT),2))</f>
        <v>105.84</v>
      </c>
      <c r="M8" s="73" t="s">
        <v>89</v>
      </c>
      <c r="N8" s="71"/>
      <c r="O8" s="73"/>
      <c r="P8" s="77"/>
      <c r="Q8" s="71"/>
      <c r="R8" s="78" t="s">
        <v>690</v>
      </c>
    </row>
    <row r="9" customFormat="false" ht="15" hidden="false" customHeight="false" outlineLevel="0" collapsed="false">
      <c r="A9" s="70" t="s">
        <v>693</v>
      </c>
      <c r="B9" s="71" t="s">
        <v>682</v>
      </c>
      <c r="C9" s="72" t="s">
        <v>694</v>
      </c>
      <c r="D9" s="71" t="s">
        <v>695</v>
      </c>
      <c r="E9" s="71" t="s">
        <v>684</v>
      </c>
      <c r="F9" s="71" t="s">
        <v>418</v>
      </c>
      <c r="G9" s="73" t="s">
        <v>378</v>
      </c>
      <c r="H9" s="79" t="n">
        <v>85</v>
      </c>
      <c r="I9" s="75" t="n">
        <v>0.05</v>
      </c>
      <c r="J9" s="76" t="n">
        <f aca="false">IF(H9="","",ROUND(H9*(1+I9),2))</f>
        <v>89.25</v>
      </c>
      <c r="K9" s="76" t="n">
        <f aca="false">IF(J9="","",ROUND(J9*(1+OHP),2))</f>
        <v>107.1</v>
      </c>
      <c r="L9" s="76" t="n">
        <f aca="false">IF(K9="","",ROUND(K9*(1+VAT),2))</f>
        <v>112.46</v>
      </c>
      <c r="M9" s="73" t="s">
        <v>89</v>
      </c>
      <c r="N9" s="71"/>
      <c r="O9" s="73"/>
      <c r="P9" s="77"/>
      <c r="Q9" s="71"/>
      <c r="R9" s="78" t="s">
        <v>690</v>
      </c>
    </row>
    <row r="10" customFormat="false" ht="15" hidden="false" customHeight="false" outlineLevel="0" collapsed="false">
      <c r="A10" s="70" t="s">
        <v>696</v>
      </c>
      <c r="B10" s="71" t="s">
        <v>682</v>
      </c>
      <c r="C10" s="72" t="s">
        <v>697</v>
      </c>
      <c r="D10" s="71" t="s">
        <v>397</v>
      </c>
      <c r="E10" s="71" t="s">
        <v>684</v>
      </c>
      <c r="F10" s="71" t="s">
        <v>418</v>
      </c>
      <c r="G10" s="73" t="s">
        <v>378</v>
      </c>
      <c r="H10" s="79" t="n">
        <v>120</v>
      </c>
      <c r="I10" s="75" t="n">
        <v>0.05</v>
      </c>
      <c r="J10" s="76" t="n">
        <f aca="false">IF(H10="","",ROUND(H10*(1+I10),2))</f>
        <v>126</v>
      </c>
      <c r="K10" s="76" t="n">
        <f aca="false">IF(J10="","",ROUND(J10*(1+OHP),2))</f>
        <v>151.2</v>
      </c>
      <c r="L10" s="76" t="n">
        <f aca="false">IF(K10="","",ROUND(K10*(1+VAT),2))</f>
        <v>158.76</v>
      </c>
      <c r="M10" s="73" t="s">
        <v>89</v>
      </c>
      <c r="N10" s="71"/>
      <c r="O10" s="73"/>
      <c r="P10" s="77"/>
      <c r="Q10" s="71"/>
      <c r="R10" s="78" t="s">
        <v>698</v>
      </c>
    </row>
    <row r="11" customFormat="false" ht="15" hidden="false" customHeight="false" outlineLevel="0" collapsed="false">
      <c r="A11" s="70" t="s">
        <v>699</v>
      </c>
      <c r="B11" s="71" t="s">
        <v>700</v>
      </c>
      <c r="C11" s="72" t="s">
        <v>701</v>
      </c>
      <c r="D11" s="71" t="s">
        <v>593</v>
      </c>
      <c r="E11" s="71" t="s">
        <v>702</v>
      </c>
      <c r="F11" s="71" t="s">
        <v>453</v>
      </c>
      <c r="G11" s="73" t="s">
        <v>378</v>
      </c>
      <c r="H11" s="79" t="n">
        <v>75</v>
      </c>
      <c r="I11" s="75" t="n">
        <v>0.05</v>
      </c>
      <c r="J11" s="76" t="n">
        <f aca="false">IF(H11="","",ROUND(H11*(1+I11),2))</f>
        <v>78.75</v>
      </c>
      <c r="K11" s="76" t="n">
        <f aca="false">IF(J11="","",ROUND(J11*(1+OHP),2))</f>
        <v>94.5</v>
      </c>
      <c r="L11" s="76" t="n">
        <f aca="false">IF(K11="","",ROUND(K11*(1+VAT),2))</f>
        <v>99.23</v>
      </c>
      <c r="M11" s="73" t="s">
        <v>89</v>
      </c>
      <c r="N11" s="71"/>
      <c r="O11" s="73"/>
      <c r="P11" s="77"/>
      <c r="Q11" s="71"/>
      <c r="R11" s="78" t="s">
        <v>688</v>
      </c>
    </row>
    <row r="12" customFormat="false" ht="15" hidden="false" customHeight="false" outlineLevel="0" collapsed="false">
      <c r="A12" s="70" t="s">
        <v>703</v>
      </c>
      <c r="B12" s="71" t="s">
        <v>700</v>
      </c>
      <c r="C12" s="72" t="s">
        <v>704</v>
      </c>
      <c r="D12" s="71" t="s">
        <v>593</v>
      </c>
      <c r="E12" s="71" t="s">
        <v>705</v>
      </c>
      <c r="F12" s="71" t="s">
        <v>453</v>
      </c>
      <c r="G12" s="73" t="s">
        <v>378</v>
      </c>
      <c r="H12" s="79" t="n">
        <v>220</v>
      </c>
      <c r="I12" s="75" t="n">
        <v>0.05</v>
      </c>
      <c r="J12" s="76" t="n">
        <f aca="false">IF(H12="","",ROUND(H12*(1+I12),2))</f>
        <v>231</v>
      </c>
      <c r="K12" s="76" t="n">
        <f aca="false">IF(J12="","",ROUND(J12*(1+OHP),2))</f>
        <v>277.2</v>
      </c>
      <c r="L12" s="76" t="n">
        <f aca="false">IF(K12="","",ROUND(K12*(1+VAT),2))</f>
        <v>291.06</v>
      </c>
      <c r="M12" s="73" t="s">
        <v>89</v>
      </c>
      <c r="N12" s="71"/>
      <c r="O12" s="73"/>
      <c r="P12" s="77"/>
      <c r="Q12" s="71"/>
      <c r="R12" s="78" t="s">
        <v>688</v>
      </c>
    </row>
    <row r="13" customFormat="false" ht="15" hidden="false" customHeight="false" outlineLevel="0" collapsed="false">
      <c r="A13" s="70" t="s">
        <v>706</v>
      </c>
      <c r="B13" s="71" t="s">
        <v>700</v>
      </c>
      <c r="C13" s="72" t="s">
        <v>707</v>
      </c>
      <c r="D13" s="71" t="s">
        <v>397</v>
      </c>
      <c r="E13" s="71" t="s">
        <v>708</v>
      </c>
      <c r="F13" s="71" t="s">
        <v>453</v>
      </c>
      <c r="G13" s="73" t="s">
        <v>378</v>
      </c>
      <c r="H13" s="79" t="n">
        <v>260</v>
      </c>
      <c r="I13" s="75" t="n">
        <v>0.05</v>
      </c>
      <c r="J13" s="76" t="n">
        <f aca="false">IF(H13="","",ROUND(H13*(1+I13),2))</f>
        <v>273</v>
      </c>
      <c r="K13" s="76" t="n">
        <f aca="false">IF(J13="","",ROUND(J13*(1+OHP),2))</f>
        <v>327.6</v>
      </c>
      <c r="L13" s="76" t="n">
        <f aca="false">IF(K13="","",ROUND(K13*(1+VAT),2))</f>
        <v>343.98</v>
      </c>
      <c r="M13" s="73" t="s">
        <v>89</v>
      </c>
      <c r="N13" s="71"/>
      <c r="O13" s="73"/>
      <c r="P13" s="77"/>
      <c r="Q13" s="71"/>
      <c r="R13" s="78" t="s">
        <v>690</v>
      </c>
    </row>
    <row r="14" customFormat="false" ht="15" hidden="false" customHeight="false" outlineLevel="0" collapsed="false">
      <c r="A14" s="70" t="s">
        <v>709</v>
      </c>
      <c r="B14" s="71" t="s">
        <v>710</v>
      </c>
      <c r="C14" s="72" t="s">
        <v>711</v>
      </c>
      <c r="D14" s="71" t="s">
        <v>712</v>
      </c>
      <c r="E14" s="71" t="s">
        <v>684</v>
      </c>
      <c r="F14" s="71" t="s">
        <v>217</v>
      </c>
      <c r="G14" s="73" t="s">
        <v>378</v>
      </c>
      <c r="H14" s="79" t="n">
        <v>140</v>
      </c>
      <c r="I14" s="75" t="n">
        <v>0.05</v>
      </c>
      <c r="J14" s="76" t="n">
        <f aca="false">IF(H14="","",ROUND(H14*(1+I14),2))</f>
        <v>147</v>
      </c>
      <c r="K14" s="76" t="n">
        <f aca="false">IF(J14="","",ROUND(J14*(1+OHP),2))</f>
        <v>176.4</v>
      </c>
      <c r="L14" s="76" t="n">
        <f aca="false">IF(K14="","",ROUND(K14*(1+VAT),2))</f>
        <v>185.22</v>
      </c>
      <c r="M14" s="73" t="s">
        <v>89</v>
      </c>
      <c r="N14" s="71"/>
      <c r="O14" s="73"/>
      <c r="P14" s="77"/>
      <c r="Q14" s="71"/>
      <c r="R14" s="78" t="s">
        <v>713</v>
      </c>
    </row>
    <row r="15" customFormat="false" ht="15" hidden="false" customHeight="false" outlineLevel="0" collapsed="false">
      <c r="A15" s="70" t="s">
        <v>714</v>
      </c>
      <c r="B15" s="71" t="s">
        <v>710</v>
      </c>
      <c r="C15" s="72" t="s">
        <v>715</v>
      </c>
      <c r="D15" s="71" t="s">
        <v>397</v>
      </c>
      <c r="E15" s="71" t="s">
        <v>684</v>
      </c>
      <c r="F15" s="71" t="s">
        <v>217</v>
      </c>
      <c r="G15" s="73" t="s">
        <v>378</v>
      </c>
      <c r="H15" s="79" t="n">
        <v>120</v>
      </c>
      <c r="I15" s="75" t="n">
        <v>0.05</v>
      </c>
      <c r="J15" s="76" t="n">
        <f aca="false">IF(H15="","",ROUND(H15*(1+I15),2))</f>
        <v>126</v>
      </c>
      <c r="K15" s="76" t="n">
        <f aca="false">IF(J15="","",ROUND(J15*(1+OHP),2))</f>
        <v>151.2</v>
      </c>
      <c r="L15" s="76" t="n">
        <f aca="false">IF(K15="","",ROUND(K15*(1+VAT),2))</f>
        <v>158.76</v>
      </c>
      <c r="M15" s="73" t="s">
        <v>89</v>
      </c>
      <c r="N15" s="71"/>
      <c r="O15" s="73"/>
      <c r="P15" s="77"/>
      <c r="Q15" s="71"/>
      <c r="R15" s="78" t="s">
        <v>690</v>
      </c>
    </row>
    <row r="16" customFormat="false" ht="15" hidden="false" customHeight="false" outlineLevel="0" collapsed="false">
      <c r="A16" s="70" t="s">
        <v>716</v>
      </c>
      <c r="B16" s="71" t="s">
        <v>710</v>
      </c>
      <c r="C16" s="72" t="s">
        <v>717</v>
      </c>
      <c r="D16" s="71" t="s">
        <v>718</v>
      </c>
      <c r="E16" s="71" t="s">
        <v>719</v>
      </c>
      <c r="F16" s="71" t="s">
        <v>453</v>
      </c>
      <c r="G16" s="73" t="s">
        <v>622</v>
      </c>
      <c r="H16" s="79" t="n">
        <v>750</v>
      </c>
      <c r="I16" s="75" t="n">
        <v>0.05</v>
      </c>
      <c r="J16" s="76" t="n">
        <f aca="false">IF(H16="","",ROUND(H16*(1+I16),2))</f>
        <v>787.5</v>
      </c>
      <c r="K16" s="76" t="n">
        <f aca="false">IF(J16="","",ROUND(J16*(1+OHP),2))</f>
        <v>945</v>
      </c>
      <c r="L16" s="76" t="n">
        <f aca="false">IF(K16="","",ROUND(K16*(1+VAT),2))</f>
        <v>992.25</v>
      </c>
      <c r="M16" s="73" t="s">
        <v>89</v>
      </c>
      <c r="N16" s="71"/>
      <c r="O16" s="73"/>
      <c r="P16" s="77"/>
      <c r="Q16" s="71"/>
      <c r="R16" s="78" t="s">
        <v>720</v>
      </c>
    </row>
    <row r="17" customFormat="false" ht="15" hidden="false" customHeight="false" outlineLevel="0" collapsed="false">
      <c r="A17" s="70" t="s">
        <v>721</v>
      </c>
      <c r="B17" s="71" t="s">
        <v>710</v>
      </c>
      <c r="C17" s="72" t="s">
        <v>722</v>
      </c>
      <c r="D17" s="71" t="s">
        <v>723</v>
      </c>
      <c r="E17" s="71" t="s">
        <v>212</v>
      </c>
      <c r="F17" s="71" t="s">
        <v>217</v>
      </c>
      <c r="G17" s="73" t="s">
        <v>378</v>
      </c>
      <c r="H17" s="79" t="n">
        <v>240</v>
      </c>
      <c r="I17" s="75" t="n">
        <v>0.05</v>
      </c>
      <c r="J17" s="76" t="n">
        <f aca="false">IF(H17="","",ROUND(H17*(1+I17),2))</f>
        <v>252</v>
      </c>
      <c r="K17" s="76" t="n">
        <f aca="false">IF(J17="","",ROUND(J17*(1+OHP),2))</f>
        <v>302.4</v>
      </c>
      <c r="L17" s="76" t="n">
        <f aca="false">IF(K17="","",ROUND(K17*(1+VAT),2))</f>
        <v>317.52</v>
      </c>
      <c r="M17" s="73" t="s">
        <v>89</v>
      </c>
      <c r="N17" s="71"/>
      <c r="O17" s="73"/>
      <c r="P17" s="77"/>
      <c r="Q17" s="71"/>
      <c r="R17" s="78" t="s">
        <v>724</v>
      </c>
    </row>
    <row r="18" customFormat="false" ht="15" hidden="false" customHeight="false" outlineLevel="0" collapsed="false">
      <c r="A18" s="70" t="s">
        <v>725</v>
      </c>
      <c r="B18" s="71" t="s">
        <v>710</v>
      </c>
      <c r="C18" s="72" t="s">
        <v>726</v>
      </c>
      <c r="D18" s="71" t="s">
        <v>727</v>
      </c>
      <c r="E18" s="71" t="s">
        <v>684</v>
      </c>
      <c r="F18" s="71" t="s">
        <v>217</v>
      </c>
      <c r="G18" s="73" t="s">
        <v>378</v>
      </c>
      <c r="H18" s="79" t="n">
        <v>160</v>
      </c>
      <c r="I18" s="75" t="n">
        <v>0.05</v>
      </c>
      <c r="J18" s="76" t="n">
        <f aca="false">IF(H18="","",ROUND(H18*(1+I18),2))</f>
        <v>168</v>
      </c>
      <c r="K18" s="76" t="n">
        <f aca="false">IF(J18="","",ROUND(J18*(1+OHP),2))</f>
        <v>201.6</v>
      </c>
      <c r="L18" s="76" t="n">
        <f aca="false">IF(K18="","",ROUND(K18*(1+VAT),2))</f>
        <v>211.68</v>
      </c>
      <c r="M18" s="73" t="s">
        <v>89</v>
      </c>
      <c r="N18" s="71"/>
      <c r="O18" s="73"/>
      <c r="P18" s="77"/>
      <c r="Q18" s="71"/>
      <c r="R18" s="78" t="s">
        <v>690</v>
      </c>
    </row>
    <row r="19" customFormat="false" ht="15" hidden="false" customHeight="false" outlineLevel="0" collapsed="false">
      <c r="A19" s="70" t="s">
        <v>728</v>
      </c>
      <c r="B19" s="71" t="s">
        <v>729</v>
      </c>
      <c r="C19" s="72" t="s">
        <v>730</v>
      </c>
      <c r="D19" s="71" t="s">
        <v>731</v>
      </c>
      <c r="E19" s="71" t="s">
        <v>457</v>
      </c>
      <c r="F19" s="71" t="s">
        <v>732</v>
      </c>
      <c r="G19" s="73" t="s">
        <v>622</v>
      </c>
      <c r="H19" s="79" t="n">
        <v>25</v>
      </c>
      <c r="I19" s="75" t="n">
        <v>0.05</v>
      </c>
      <c r="J19" s="76" t="n">
        <f aca="false">IF(H19="","",ROUND(H19*(1+I19),2))</f>
        <v>26.25</v>
      </c>
      <c r="K19" s="76" t="n">
        <f aca="false">IF(J19="","",ROUND(J19*(1+OHP),2))</f>
        <v>31.5</v>
      </c>
      <c r="L19" s="76" t="n">
        <f aca="false">IF(K19="","",ROUND(K19*(1+VAT),2))</f>
        <v>33.08</v>
      </c>
      <c r="M19" s="73" t="s">
        <v>89</v>
      </c>
      <c r="N19" s="71"/>
      <c r="O19" s="73"/>
      <c r="P19" s="77"/>
      <c r="Q19" s="71"/>
      <c r="R19" s="78" t="s">
        <v>733</v>
      </c>
    </row>
    <row r="20" customFormat="false" ht="15" hidden="false" customHeight="false" outlineLevel="0" collapsed="false">
      <c r="A20" s="70" t="s">
        <v>734</v>
      </c>
      <c r="B20" s="71" t="s">
        <v>729</v>
      </c>
      <c r="C20" s="72" t="s">
        <v>735</v>
      </c>
      <c r="D20" s="71" t="s">
        <v>736</v>
      </c>
      <c r="E20" s="71" t="s">
        <v>737</v>
      </c>
      <c r="F20" s="71" t="s">
        <v>217</v>
      </c>
      <c r="G20" s="73" t="s">
        <v>738</v>
      </c>
      <c r="H20" s="79" t="n">
        <v>12</v>
      </c>
      <c r="I20" s="75" t="n">
        <v>0.05</v>
      </c>
      <c r="J20" s="76" t="n">
        <f aca="false">IF(H20="","",ROUND(H20*(1+I20),2))</f>
        <v>12.6</v>
      </c>
      <c r="K20" s="76" t="n">
        <f aca="false">IF(J20="","",ROUND(J20*(1+OHP),2))</f>
        <v>15.12</v>
      </c>
      <c r="L20" s="76" t="n">
        <f aca="false">IF(K20="","",ROUND(K20*(1+VAT),2))</f>
        <v>15.88</v>
      </c>
      <c r="M20" s="73" t="s">
        <v>89</v>
      </c>
      <c r="N20" s="71"/>
      <c r="O20" s="73"/>
      <c r="P20" s="77"/>
      <c r="Q20" s="71"/>
      <c r="R20" s="78" t="s">
        <v>739</v>
      </c>
    </row>
    <row r="21" customFormat="false" ht="15" hidden="false" customHeight="false" outlineLevel="0" collapsed="false">
      <c r="A21" s="70" t="s">
        <v>740</v>
      </c>
      <c r="B21" s="71" t="s">
        <v>729</v>
      </c>
      <c r="C21" s="72" t="s">
        <v>741</v>
      </c>
      <c r="D21" s="71" t="s">
        <v>742</v>
      </c>
      <c r="E21" s="71" t="s">
        <v>743</v>
      </c>
      <c r="F21" s="71" t="s">
        <v>217</v>
      </c>
      <c r="G21" s="73" t="s">
        <v>218</v>
      </c>
      <c r="H21" s="79" t="n">
        <v>15</v>
      </c>
      <c r="I21" s="75" t="n">
        <v>0.05</v>
      </c>
      <c r="J21" s="76" t="n">
        <f aca="false">IF(H21="","",ROUND(H21*(1+I21),2))</f>
        <v>15.75</v>
      </c>
      <c r="K21" s="76" t="n">
        <f aca="false">IF(J21="","",ROUND(J21*(1+OHP),2))</f>
        <v>18.9</v>
      </c>
      <c r="L21" s="76" t="n">
        <f aca="false">IF(K21="","",ROUND(K21*(1+VAT),2))</f>
        <v>19.85</v>
      </c>
      <c r="M21" s="73" t="s">
        <v>89</v>
      </c>
      <c r="N21" s="71"/>
      <c r="O21" s="73"/>
      <c r="P21" s="77"/>
      <c r="Q21" s="71"/>
      <c r="R21" s="78" t="s">
        <v>744</v>
      </c>
    </row>
    <row r="22" customFormat="false" ht="15" hidden="false" customHeight="false" outlineLevel="0" collapsed="false">
      <c r="A22" s="80" t="str">
        <f aca="false">IF(C22="","","MR-"&amp;TEXT(ROW()-4,"000"))</f>
        <v/>
      </c>
      <c r="B22" s="81"/>
      <c r="C22" s="81"/>
      <c r="D22" s="81"/>
      <c r="E22" s="81"/>
      <c r="F22" s="81"/>
      <c r="G22" s="82"/>
      <c r="H22" s="83"/>
      <c r="I22" s="84"/>
      <c r="J22" s="85" t="str">
        <f aca="false">IF(H22="","",ROUND(H22*(1+I22),2))</f>
        <v/>
      </c>
      <c r="K22" s="85" t="str">
        <f aca="false">IF(J22="","",ROUND(J22*(1+OHP),2))</f>
        <v/>
      </c>
      <c r="L22" s="85" t="str">
        <f aca="false">IF(K22="","",ROUND(K22*(1+VAT),2))</f>
        <v/>
      </c>
      <c r="M22" s="82"/>
      <c r="N22" s="81"/>
      <c r="O22" s="82"/>
      <c r="P22" s="86"/>
      <c r="Q22" s="81"/>
      <c r="R22" s="87"/>
    </row>
    <row r="23" customFormat="false" ht="15" hidden="false" customHeight="false" outlineLevel="0" collapsed="false">
      <c r="A23" s="80" t="str">
        <f aca="false">IF(C23="","","MR-"&amp;TEXT(ROW()-4,"000"))</f>
        <v/>
      </c>
      <c r="B23" s="81"/>
      <c r="C23" s="81"/>
      <c r="D23" s="81"/>
      <c r="E23" s="81"/>
      <c r="F23" s="81"/>
      <c r="G23" s="82"/>
      <c r="H23" s="83"/>
      <c r="I23" s="84"/>
      <c r="J23" s="85" t="str">
        <f aca="false">IF(H23="","",ROUND(H23*(1+I23),2))</f>
        <v/>
      </c>
      <c r="K23" s="85" t="str">
        <f aca="false">IF(J23="","",ROUND(J23*(1+OHP),2))</f>
        <v/>
      </c>
      <c r="L23" s="85" t="str">
        <f aca="false">IF(K23="","",ROUND(K23*(1+VAT),2))</f>
        <v/>
      </c>
      <c r="M23" s="82"/>
      <c r="N23" s="81"/>
      <c r="O23" s="82"/>
      <c r="P23" s="86"/>
      <c r="Q23" s="81"/>
      <c r="R23" s="87"/>
    </row>
    <row r="24" customFormat="false" ht="15" hidden="false" customHeight="false" outlineLevel="0" collapsed="false">
      <c r="A24" s="80" t="str">
        <f aca="false">IF(C24="","","MR-"&amp;TEXT(ROW()-4,"000"))</f>
        <v/>
      </c>
      <c r="B24" s="81"/>
      <c r="C24" s="81"/>
      <c r="D24" s="81"/>
      <c r="E24" s="81"/>
      <c r="F24" s="81"/>
      <c r="G24" s="82"/>
      <c r="H24" s="83"/>
      <c r="I24" s="84"/>
      <c r="J24" s="85" t="str">
        <f aca="false">IF(H24="","",ROUND(H24*(1+I24),2))</f>
        <v/>
      </c>
      <c r="K24" s="85" t="str">
        <f aca="false">IF(J24="","",ROUND(J24*(1+OHP),2))</f>
        <v/>
      </c>
      <c r="L24" s="85" t="str">
        <f aca="false">IF(K24="","",ROUND(K24*(1+VAT),2))</f>
        <v/>
      </c>
      <c r="M24" s="82"/>
      <c r="N24" s="81"/>
      <c r="O24" s="82"/>
      <c r="P24" s="86"/>
      <c r="Q24" s="81"/>
      <c r="R24" s="87"/>
    </row>
    <row r="25" customFormat="false" ht="15" hidden="false" customHeight="false" outlineLevel="0" collapsed="false">
      <c r="A25" s="80" t="str">
        <f aca="false">IF(C25="","","MR-"&amp;TEXT(ROW()-4,"000"))</f>
        <v/>
      </c>
      <c r="B25" s="81"/>
      <c r="C25" s="81"/>
      <c r="D25" s="81"/>
      <c r="E25" s="81"/>
      <c r="F25" s="81"/>
      <c r="G25" s="82"/>
      <c r="H25" s="83"/>
      <c r="I25" s="84"/>
      <c r="J25" s="85" t="str">
        <f aca="false">IF(H25="","",ROUND(H25*(1+I25),2))</f>
        <v/>
      </c>
      <c r="K25" s="85" t="str">
        <f aca="false">IF(J25="","",ROUND(J25*(1+OHP),2))</f>
        <v/>
      </c>
      <c r="L25" s="85" t="str">
        <f aca="false">IF(K25="","",ROUND(K25*(1+VAT),2))</f>
        <v/>
      </c>
      <c r="M25" s="82"/>
      <c r="N25" s="81"/>
      <c r="O25" s="82"/>
      <c r="P25" s="86"/>
      <c r="Q25" s="81"/>
      <c r="R25" s="87"/>
    </row>
    <row r="26" customFormat="false" ht="15" hidden="false" customHeight="false" outlineLevel="0" collapsed="false">
      <c r="A26" s="80" t="str">
        <f aca="false">IF(C26="","","MR-"&amp;TEXT(ROW()-4,"000"))</f>
        <v/>
      </c>
      <c r="B26" s="81"/>
      <c r="C26" s="81"/>
      <c r="D26" s="81"/>
      <c r="E26" s="81"/>
      <c r="F26" s="81"/>
      <c r="G26" s="82"/>
      <c r="H26" s="83"/>
      <c r="I26" s="84"/>
      <c r="J26" s="85" t="str">
        <f aca="false">IF(H26="","",ROUND(H26*(1+I26),2))</f>
        <v/>
      </c>
      <c r="K26" s="85" t="str">
        <f aca="false">IF(J26="","",ROUND(J26*(1+OHP),2))</f>
        <v/>
      </c>
      <c r="L26" s="85" t="str">
        <f aca="false">IF(K26="","",ROUND(K26*(1+VAT),2))</f>
        <v/>
      </c>
      <c r="M26" s="82"/>
      <c r="N26" s="81"/>
      <c r="O26" s="82"/>
      <c r="P26" s="86"/>
      <c r="Q26" s="81"/>
      <c r="R26" s="87"/>
    </row>
    <row r="27" customFormat="false" ht="15" hidden="false" customHeight="false" outlineLevel="0" collapsed="false">
      <c r="A27" s="80" t="str">
        <f aca="false">IF(C27="","","MR-"&amp;TEXT(ROW()-4,"000"))</f>
        <v/>
      </c>
      <c r="B27" s="81"/>
      <c r="C27" s="81"/>
      <c r="D27" s="81"/>
      <c r="E27" s="81"/>
      <c r="F27" s="81"/>
      <c r="G27" s="82"/>
      <c r="H27" s="83"/>
      <c r="I27" s="84"/>
      <c r="J27" s="85" t="str">
        <f aca="false">IF(H27="","",ROUND(H27*(1+I27),2))</f>
        <v/>
      </c>
      <c r="K27" s="85" t="str">
        <f aca="false">IF(J27="","",ROUND(J27*(1+OHP),2))</f>
        <v/>
      </c>
      <c r="L27" s="85" t="str">
        <f aca="false">IF(K27="","",ROUND(K27*(1+VAT),2))</f>
        <v/>
      </c>
      <c r="M27" s="82"/>
      <c r="N27" s="81"/>
      <c r="O27" s="82"/>
      <c r="P27" s="86"/>
      <c r="Q27" s="81"/>
      <c r="R27" s="87"/>
    </row>
    <row r="28" customFormat="false" ht="15" hidden="false" customHeight="false" outlineLevel="0" collapsed="false">
      <c r="A28" s="80" t="str">
        <f aca="false">IF(C28="","","MR-"&amp;TEXT(ROW()-4,"000"))</f>
        <v/>
      </c>
      <c r="B28" s="81"/>
      <c r="C28" s="81"/>
      <c r="D28" s="81"/>
      <c r="E28" s="81"/>
      <c r="F28" s="81"/>
      <c r="G28" s="82"/>
      <c r="H28" s="83"/>
      <c r="I28" s="84"/>
      <c r="J28" s="85" t="str">
        <f aca="false">IF(H28="","",ROUND(H28*(1+I28),2))</f>
        <v/>
      </c>
      <c r="K28" s="85" t="str">
        <f aca="false">IF(J28="","",ROUND(J28*(1+OHP),2))</f>
        <v/>
      </c>
      <c r="L28" s="85" t="str">
        <f aca="false">IF(K28="","",ROUND(K28*(1+VAT),2))</f>
        <v/>
      </c>
      <c r="M28" s="82"/>
      <c r="N28" s="81"/>
      <c r="O28" s="82"/>
      <c r="P28" s="86"/>
      <c r="Q28" s="81"/>
      <c r="R28" s="87"/>
    </row>
    <row r="29" customFormat="false" ht="15" hidden="false" customHeight="false" outlineLevel="0" collapsed="false">
      <c r="A29" s="80" t="str">
        <f aca="false">IF(C29="","","MR-"&amp;TEXT(ROW()-4,"000"))</f>
        <v/>
      </c>
      <c r="B29" s="81"/>
      <c r="C29" s="81"/>
      <c r="D29" s="81"/>
      <c r="E29" s="81"/>
      <c r="F29" s="81"/>
      <c r="G29" s="82"/>
      <c r="H29" s="83"/>
      <c r="I29" s="84"/>
      <c r="J29" s="85" t="str">
        <f aca="false">IF(H29="","",ROUND(H29*(1+I29),2))</f>
        <v/>
      </c>
      <c r="K29" s="85" t="str">
        <f aca="false">IF(J29="","",ROUND(J29*(1+OHP),2))</f>
        <v/>
      </c>
      <c r="L29" s="85" t="str">
        <f aca="false">IF(K29="","",ROUND(K29*(1+VAT),2))</f>
        <v/>
      </c>
      <c r="M29" s="82"/>
      <c r="N29" s="81"/>
      <c r="O29" s="82"/>
      <c r="P29" s="86"/>
      <c r="Q29" s="81"/>
      <c r="R29" s="87"/>
    </row>
    <row r="30" customFormat="false" ht="15" hidden="false" customHeight="false" outlineLevel="0" collapsed="false">
      <c r="A30" s="80" t="str">
        <f aca="false">IF(C30="","","MR-"&amp;TEXT(ROW()-4,"000"))</f>
        <v/>
      </c>
      <c r="B30" s="81"/>
      <c r="C30" s="81"/>
      <c r="D30" s="81"/>
      <c r="E30" s="81"/>
      <c r="F30" s="81"/>
      <c r="G30" s="82"/>
      <c r="H30" s="83"/>
      <c r="I30" s="84"/>
      <c r="J30" s="85" t="str">
        <f aca="false">IF(H30="","",ROUND(H30*(1+I30),2))</f>
        <v/>
      </c>
      <c r="K30" s="85" t="str">
        <f aca="false">IF(J30="","",ROUND(J30*(1+OHP),2))</f>
        <v/>
      </c>
      <c r="L30" s="85" t="str">
        <f aca="false">IF(K30="","",ROUND(K30*(1+VAT),2))</f>
        <v/>
      </c>
      <c r="M30" s="82"/>
      <c r="N30" s="81"/>
      <c r="O30" s="82"/>
      <c r="P30" s="86"/>
      <c r="Q30" s="81"/>
      <c r="R30" s="87"/>
    </row>
    <row r="31" customFormat="false" ht="15" hidden="false" customHeight="false" outlineLevel="0" collapsed="false">
      <c r="A31" s="80" t="str">
        <f aca="false">IF(C31="","","MR-"&amp;TEXT(ROW()-4,"000"))</f>
        <v/>
      </c>
      <c r="B31" s="81"/>
      <c r="C31" s="81"/>
      <c r="D31" s="81"/>
      <c r="E31" s="81"/>
      <c r="F31" s="81"/>
      <c r="G31" s="82"/>
      <c r="H31" s="83"/>
      <c r="I31" s="84"/>
      <c r="J31" s="85" t="str">
        <f aca="false">IF(H31="","",ROUND(H31*(1+I31),2))</f>
        <v/>
      </c>
      <c r="K31" s="85" t="str">
        <f aca="false">IF(J31="","",ROUND(J31*(1+OHP),2))</f>
        <v/>
      </c>
      <c r="L31" s="85" t="str">
        <f aca="false">IF(K31="","",ROUND(K31*(1+VAT),2))</f>
        <v/>
      </c>
      <c r="M31" s="82"/>
      <c r="N31" s="81"/>
      <c r="O31" s="82"/>
      <c r="P31" s="86"/>
      <c r="Q31" s="81"/>
      <c r="R31" s="87"/>
    </row>
    <row r="32" customFormat="false" ht="15" hidden="false" customHeight="false" outlineLevel="0" collapsed="false">
      <c r="A32" s="80" t="str">
        <f aca="false">IF(C32="","","MR-"&amp;TEXT(ROW()-4,"000"))</f>
        <v/>
      </c>
      <c r="B32" s="81"/>
      <c r="C32" s="81"/>
      <c r="D32" s="81"/>
      <c r="E32" s="81"/>
      <c r="F32" s="81"/>
      <c r="G32" s="82"/>
      <c r="H32" s="83"/>
      <c r="I32" s="84"/>
      <c r="J32" s="85" t="str">
        <f aca="false">IF(H32="","",ROUND(H32*(1+I32),2))</f>
        <v/>
      </c>
      <c r="K32" s="85" t="str">
        <f aca="false">IF(J32="","",ROUND(J32*(1+OHP),2))</f>
        <v/>
      </c>
      <c r="L32" s="85" t="str">
        <f aca="false">IF(K32="","",ROUND(K32*(1+VAT),2))</f>
        <v/>
      </c>
      <c r="M32" s="82"/>
      <c r="N32" s="81"/>
      <c r="O32" s="82"/>
      <c r="P32" s="86"/>
      <c r="Q32" s="81"/>
      <c r="R32" s="87"/>
    </row>
    <row r="33" customFormat="false" ht="15" hidden="false" customHeight="false" outlineLevel="0" collapsed="false">
      <c r="A33" s="80" t="str">
        <f aca="false">IF(C33="","","MR-"&amp;TEXT(ROW()-4,"000"))</f>
        <v/>
      </c>
      <c r="B33" s="81"/>
      <c r="C33" s="81"/>
      <c r="D33" s="81"/>
      <c r="E33" s="81"/>
      <c r="F33" s="81"/>
      <c r="G33" s="82"/>
      <c r="H33" s="83"/>
      <c r="I33" s="84"/>
      <c r="J33" s="85" t="str">
        <f aca="false">IF(H33="","",ROUND(H33*(1+I33),2))</f>
        <v/>
      </c>
      <c r="K33" s="85" t="str">
        <f aca="false">IF(J33="","",ROUND(J33*(1+OHP),2))</f>
        <v/>
      </c>
      <c r="L33" s="85" t="str">
        <f aca="false">IF(K33="","",ROUND(K33*(1+VAT),2))</f>
        <v/>
      </c>
      <c r="M33" s="82"/>
      <c r="N33" s="81"/>
      <c r="O33" s="82"/>
      <c r="P33" s="86"/>
      <c r="Q33" s="81"/>
      <c r="R33" s="87"/>
    </row>
    <row r="34" customFormat="false" ht="15" hidden="false" customHeight="false" outlineLevel="0" collapsed="false">
      <c r="A34" s="80" t="str">
        <f aca="false">IF(C34="","","MR-"&amp;TEXT(ROW()-4,"000"))</f>
        <v/>
      </c>
      <c r="B34" s="81"/>
      <c r="C34" s="81"/>
      <c r="D34" s="81"/>
      <c r="E34" s="81"/>
      <c r="F34" s="81"/>
      <c r="G34" s="82"/>
      <c r="H34" s="83"/>
      <c r="I34" s="84"/>
      <c r="J34" s="85" t="str">
        <f aca="false">IF(H34="","",ROUND(H34*(1+I34),2))</f>
        <v/>
      </c>
      <c r="K34" s="85" t="str">
        <f aca="false">IF(J34="","",ROUND(J34*(1+OHP),2))</f>
        <v/>
      </c>
      <c r="L34" s="85" t="str">
        <f aca="false">IF(K34="","",ROUND(K34*(1+VAT),2))</f>
        <v/>
      </c>
      <c r="M34" s="82"/>
      <c r="N34" s="81"/>
      <c r="O34" s="82"/>
      <c r="P34" s="86"/>
      <c r="Q34" s="81"/>
      <c r="R34" s="87"/>
    </row>
    <row r="35" customFormat="false" ht="15" hidden="false" customHeight="false" outlineLevel="0" collapsed="false">
      <c r="A35" s="80" t="str">
        <f aca="false">IF(C35="","","MR-"&amp;TEXT(ROW()-4,"000"))</f>
        <v/>
      </c>
      <c r="B35" s="81"/>
      <c r="C35" s="81"/>
      <c r="D35" s="81"/>
      <c r="E35" s="81"/>
      <c r="F35" s="81"/>
      <c r="G35" s="82"/>
      <c r="H35" s="83"/>
      <c r="I35" s="84"/>
      <c r="J35" s="85" t="str">
        <f aca="false">IF(H35="","",ROUND(H35*(1+I35),2))</f>
        <v/>
      </c>
      <c r="K35" s="85" t="str">
        <f aca="false">IF(J35="","",ROUND(J35*(1+OHP),2))</f>
        <v/>
      </c>
      <c r="L35" s="85" t="str">
        <f aca="false">IF(K35="","",ROUND(K35*(1+VAT),2))</f>
        <v/>
      </c>
      <c r="M35" s="82"/>
      <c r="N35" s="81"/>
      <c r="O35" s="82"/>
      <c r="P35" s="86"/>
      <c r="Q35" s="81"/>
      <c r="R35" s="87"/>
    </row>
    <row r="36" customFormat="false" ht="15" hidden="false" customHeight="false" outlineLevel="0" collapsed="false">
      <c r="A36" s="80" t="str">
        <f aca="false">IF(C36="","","MR-"&amp;TEXT(ROW()-4,"000"))</f>
        <v/>
      </c>
      <c r="B36" s="81"/>
      <c r="C36" s="81"/>
      <c r="D36" s="81"/>
      <c r="E36" s="81"/>
      <c r="F36" s="81"/>
      <c r="G36" s="82"/>
      <c r="H36" s="83"/>
      <c r="I36" s="84"/>
      <c r="J36" s="85" t="str">
        <f aca="false">IF(H36="","",ROUND(H36*(1+I36),2))</f>
        <v/>
      </c>
      <c r="K36" s="85" t="str">
        <f aca="false">IF(J36="","",ROUND(J36*(1+OHP),2))</f>
        <v/>
      </c>
      <c r="L36" s="85" t="str">
        <f aca="false">IF(K36="","",ROUND(K36*(1+VAT),2))</f>
        <v/>
      </c>
      <c r="M36" s="82"/>
      <c r="N36" s="81"/>
      <c r="O36" s="82"/>
      <c r="P36" s="86"/>
      <c r="Q36" s="81"/>
      <c r="R36" s="87"/>
    </row>
  </sheetData>
  <autoFilter ref="A4:R36"/>
  <mergeCells count="2">
    <mergeCell ref="A1:R1"/>
    <mergeCell ref="A2:R2"/>
  </mergeCells>
  <conditionalFormatting sqref="A5:R36">
    <cfRule type="expression" priority="2" aboveAverage="0" equalAverage="0" bottom="0" percent="0" rank="0" text="" dxfId="1">
      <formula>AND($C5&lt;&gt;"",MOD(ROW(),2)=0,$M5&lt;&gt;"Obsolete")</formula>
    </cfRule>
    <cfRule type="expression" priority="3" aboveAverage="0" equalAverage="0" bottom="0" percent="0" rank="0" text="" dxfId="12">
      <formula>$M5="Obsolete"</formula>
    </cfRule>
  </conditionalFormatting>
  <conditionalFormatting sqref="M5:M36">
    <cfRule type="expression" priority="4" aboveAverage="0" equalAverage="0" bottom="0" percent="0" rank="0" text="" dxfId="13">
      <formula>$M5="Indicative"</formula>
    </cfRule>
    <cfRule type="expression" priority="5" aboveAverage="0" equalAverage="0" bottom="0" percent="0" rank="0" text="" dxfId="14">
      <formula>$M5="Quoted"</formula>
    </cfRule>
    <cfRule type="expression" priority="6" aboveAverage="0" equalAverage="0" bottom="0" percent="0" rank="0" text="" dxfId="15">
      <formula>$M5="Verified"</formula>
    </cfRule>
    <cfRule type="expression" priority="7" aboveAverage="0" equalAverage="0" bottom="0" percent="0" rank="0" text="" dxfId="16">
      <formula>$M5="Obsolete"</formula>
    </cfRule>
  </conditionalFormatting>
  <dataValidations count="2">
    <dataValidation allowBlank="true" error="Enter wastage as a percentage, e.g. 5%" errorStyle="stop" operator="between" showDropDown="false" showErrorMessage="false" showInputMessage="false" sqref="I5:I36" type="decimal">
      <formula1>0</formula1>
      <formula2>1</formula2>
    </dataValidation>
    <dataValidation allowBlank="true" errorStyle="stop" operator="between" showDropDown="false" showErrorMessage="false" showInputMessage="false" sqref="M5:M36" type="list">
      <formula1>"Indicative,Quoted,Verified,Obsolete"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&amp;L&amp;8Mirrors&amp;C&amp;8Page &amp;P of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B084"/>
    <pageSetUpPr fitToPage="true"/>
  </sheetPr>
  <dimension ref="A1:R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32"/>
    <col collapsed="false" customWidth="true" hidden="false" outlineLevel="0" max="5" min="5" style="0" width="20"/>
    <col collapsed="false" customWidth="true" hidden="false" outlineLevel="0" max="6" min="6" style="0" width="26"/>
    <col collapsed="false" customWidth="true" hidden="false" outlineLevel="0" max="7" min="7" style="0" width="7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1" min="10" style="0" width="13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20"/>
    <col collapsed="false" customWidth="true" hidden="false" outlineLevel="0" max="15" min="15" style="0" width="13"/>
    <col collapsed="false" customWidth="true" hidden="false" outlineLevel="0" max="16" min="16" style="0" width="12"/>
    <col collapsed="false" customWidth="true" hidden="false" outlineLevel="0" max="17" min="17" style="0" width="26"/>
    <col collapsed="false" customWidth="true" hidden="false" outlineLevel="0" max="18" min="18" style="0" width="34"/>
  </cols>
  <sheetData>
    <row r="1" customFormat="false" ht="30" hidden="false" customHeight="true" outlineLevel="0" collapsed="false">
      <c r="A1" s="65" t="s">
        <v>745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</row>
    <row r="2" customFormat="false" ht="15" hidden="false" customHeight="false" outlineLevel="0" collapsed="false">
      <c r="A2" s="91" t="s">
        <v>746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</row>
    <row r="3" customFormat="false" ht="15" hidden="false" customHeight="false" outlineLevel="0" collapsed="false">
      <c r="A3" s="7" t="str">
        <f aca="false">HYPERLINK("#Index!A1","&lt;&lt; Back to Index")</f>
        <v>&lt;&lt; Back to Index</v>
      </c>
      <c r="D3" s="67" t="s">
        <v>180</v>
      </c>
      <c r="E3" s="68" t="n">
        <f aca="false">COUNTA(C5:C57)</f>
        <v>38</v>
      </c>
      <c r="H3" s="69" t="s">
        <v>181</v>
      </c>
    </row>
    <row r="4" customFormat="false" ht="31.5" hidden="false" customHeight="true" outlineLevel="0" collapsed="false">
      <c r="A4" s="8" t="s">
        <v>110</v>
      </c>
      <c r="B4" s="8" t="s">
        <v>121</v>
      </c>
      <c r="C4" s="8" t="s">
        <v>111</v>
      </c>
      <c r="D4" s="8" t="s">
        <v>112</v>
      </c>
      <c r="E4" s="8" t="s">
        <v>113</v>
      </c>
      <c r="F4" s="8" t="s">
        <v>114</v>
      </c>
      <c r="G4" s="8" t="s">
        <v>115</v>
      </c>
      <c r="H4" s="8" t="s">
        <v>182</v>
      </c>
      <c r="I4" s="8" t="s">
        <v>183</v>
      </c>
      <c r="J4" s="8" t="s">
        <v>184</v>
      </c>
      <c r="K4" s="8" t="s">
        <v>185</v>
      </c>
      <c r="L4" s="8" t="s">
        <v>186</v>
      </c>
      <c r="M4" s="8" t="s">
        <v>119</v>
      </c>
      <c r="N4" s="8" t="s">
        <v>187</v>
      </c>
      <c r="O4" s="8" t="s">
        <v>188</v>
      </c>
      <c r="P4" s="8" t="s">
        <v>189</v>
      </c>
      <c r="Q4" s="8" t="s">
        <v>190</v>
      </c>
      <c r="R4" s="8" t="s">
        <v>191</v>
      </c>
    </row>
    <row r="5" customFormat="false" ht="15" hidden="false" customHeight="false" outlineLevel="0" collapsed="false">
      <c r="A5" s="70" t="s">
        <v>747</v>
      </c>
      <c r="B5" s="71" t="s">
        <v>748</v>
      </c>
      <c r="C5" s="72" t="s">
        <v>749</v>
      </c>
      <c r="D5" s="71" t="s">
        <v>750</v>
      </c>
      <c r="E5" s="71" t="s">
        <v>751</v>
      </c>
      <c r="F5" s="71" t="s">
        <v>752</v>
      </c>
      <c r="G5" s="73" t="s">
        <v>622</v>
      </c>
      <c r="H5" s="79" t="n">
        <v>850</v>
      </c>
      <c r="I5" s="75" t="n">
        <v>0</v>
      </c>
      <c r="J5" s="76" t="n">
        <f aca="false">IF(H5="","",ROUND(H5*(1+I5),2))</f>
        <v>850</v>
      </c>
      <c r="K5" s="76" t="n">
        <f aca="false">IF(J5="","",ROUND(J5*(1+OHP),2))</f>
        <v>1020</v>
      </c>
      <c r="L5" s="76" t="n">
        <f aca="false">IF(K5="","",ROUND(K5*(1+VAT),2))</f>
        <v>1071</v>
      </c>
      <c r="M5" s="73" t="s">
        <v>89</v>
      </c>
      <c r="N5" s="71"/>
      <c r="O5" s="73"/>
      <c r="P5" s="77"/>
      <c r="Q5" s="71"/>
      <c r="R5" s="78" t="s">
        <v>753</v>
      </c>
    </row>
    <row r="6" customFormat="false" ht="15" hidden="false" customHeight="false" outlineLevel="0" collapsed="false">
      <c r="A6" s="70" t="s">
        <v>754</v>
      </c>
      <c r="B6" s="71" t="s">
        <v>748</v>
      </c>
      <c r="C6" s="72" t="s">
        <v>749</v>
      </c>
      <c r="D6" s="71" t="s">
        <v>755</v>
      </c>
      <c r="E6" s="71" t="s">
        <v>751</v>
      </c>
      <c r="F6" s="71" t="s">
        <v>756</v>
      </c>
      <c r="G6" s="73" t="s">
        <v>622</v>
      </c>
      <c r="H6" s="79" t="n">
        <v>300</v>
      </c>
      <c r="I6" s="75" t="n">
        <v>0</v>
      </c>
      <c r="J6" s="76" t="n">
        <f aca="false">IF(H6="","",ROUND(H6*(1+I6),2))</f>
        <v>300</v>
      </c>
      <c r="K6" s="76" t="n">
        <f aca="false">IF(J6="","",ROUND(J6*(1+OHP),2))</f>
        <v>360</v>
      </c>
      <c r="L6" s="76" t="n">
        <f aca="false">IF(K6="","",ROUND(K6*(1+VAT),2))</f>
        <v>378</v>
      </c>
      <c r="M6" s="73" t="s">
        <v>89</v>
      </c>
      <c r="N6" s="71"/>
      <c r="O6" s="73"/>
      <c r="P6" s="77"/>
      <c r="Q6" s="71"/>
      <c r="R6" s="78" t="s">
        <v>753</v>
      </c>
    </row>
    <row r="7" customFormat="false" ht="15" hidden="false" customHeight="false" outlineLevel="0" collapsed="false">
      <c r="A7" s="70" t="s">
        <v>757</v>
      </c>
      <c r="B7" s="71" t="s">
        <v>748</v>
      </c>
      <c r="C7" s="72" t="s">
        <v>758</v>
      </c>
      <c r="D7" s="71" t="s">
        <v>759</v>
      </c>
      <c r="E7" s="71" t="s">
        <v>760</v>
      </c>
      <c r="F7" s="71" t="s">
        <v>761</v>
      </c>
      <c r="G7" s="73" t="s">
        <v>622</v>
      </c>
      <c r="H7" s="79" t="n">
        <v>380</v>
      </c>
      <c r="I7" s="75" t="n">
        <v>0</v>
      </c>
      <c r="J7" s="76" t="n">
        <f aca="false">IF(H7="","",ROUND(H7*(1+I7),2))</f>
        <v>380</v>
      </c>
      <c r="K7" s="76" t="n">
        <f aca="false">IF(J7="","",ROUND(J7*(1+OHP),2))</f>
        <v>456</v>
      </c>
      <c r="L7" s="76" t="n">
        <f aca="false">IF(K7="","",ROUND(K7*(1+VAT),2))</f>
        <v>478.8</v>
      </c>
      <c r="M7" s="73" t="s">
        <v>89</v>
      </c>
      <c r="N7" s="71"/>
      <c r="O7" s="73"/>
      <c r="P7" s="77"/>
      <c r="Q7" s="71"/>
      <c r="R7" s="78" t="s">
        <v>762</v>
      </c>
    </row>
    <row r="8" customFormat="false" ht="15" hidden="false" customHeight="false" outlineLevel="0" collapsed="false">
      <c r="A8" s="70" t="s">
        <v>763</v>
      </c>
      <c r="B8" s="71" t="s">
        <v>748</v>
      </c>
      <c r="C8" s="72" t="s">
        <v>764</v>
      </c>
      <c r="D8" s="71" t="s">
        <v>765</v>
      </c>
      <c r="E8" s="71" t="s">
        <v>760</v>
      </c>
      <c r="F8" s="71" t="s">
        <v>766</v>
      </c>
      <c r="G8" s="73" t="s">
        <v>622</v>
      </c>
      <c r="H8" s="79" t="n">
        <v>450</v>
      </c>
      <c r="I8" s="75" t="n">
        <v>0</v>
      </c>
      <c r="J8" s="76" t="n">
        <f aca="false">IF(H8="","",ROUND(H8*(1+I8),2))</f>
        <v>450</v>
      </c>
      <c r="K8" s="76" t="n">
        <f aca="false">IF(J8="","",ROUND(J8*(1+OHP),2))</f>
        <v>540</v>
      </c>
      <c r="L8" s="76" t="n">
        <f aca="false">IF(K8="","",ROUND(K8*(1+VAT),2))</f>
        <v>567</v>
      </c>
      <c r="M8" s="73" t="s">
        <v>89</v>
      </c>
      <c r="N8" s="71"/>
      <c r="O8" s="73"/>
      <c r="P8" s="77"/>
      <c r="Q8" s="71"/>
      <c r="R8" s="78" t="s">
        <v>762</v>
      </c>
    </row>
    <row r="9" customFormat="false" ht="15" hidden="false" customHeight="false" outlineLevel="0" collapsed="false">
      <c r="A9" s="70" t="s">
        <v>767</v>
      </c>
      <c r="B9" s="71" t="s">
        <v>748</v>
      </c>
      <c r="C9" s="72" t="s">
        <v>768</v>
      </c>
      <c r="D9" s="71" t="s">
        <v>769</v>
      </c>
      <c r="E9" s="71" t="s">
        <v>457</v>
      </c>
      <c r="F9" s="71" t="s">
        <v>770</v>
      </c>
      <c r="G9" s="73" t="s">
        <v>622</v>
      </c>
      <c r="H9" s="79" t="n">
        <v>950</v>
      </c>
      <c r="I9" s="75" t="n">
        <v>0</v>
      </c>
      <c r="J9" s="76" t="n">
        <f aca="false">IF(H9="","",ROUND(H9*(1+I9),2))</f>
        <v>950</v>
      </c>
      <c r="K9" s="76" t="n">
        <f aca="false">IF(J9="","",ROUND(J9*(1+OHP),2))</f>
        <v>1140</v>
      </c>
      <c r="L9" s="76" t="n">
        <f aca="false">IF(K9="","",ROUND(K9*(1+VAT),2))</f>
        <v>1197</v>
      </c>
      <c r="M9" s="73" t="s">
        <v>89</v>
      </c>
      <c r="N9" s="71"/>
      <c r="O9" s="73"/>
      <c r="P9" s="77"/>
      <c r="Q9" s="71"/>
      <c r="R9" s="78" t="s">
        <v>762</v>
      </c>
    </row>
    <row r="10" customFormat="false" ht="15" hidden="false" customHeight="false" outlineLevel="0" collapsed="false">
      <c r="A10" s="70" t="s">
        <v>771</v>
      </c>
      <c r="B10" s="71" t="s">
        <v>748</v>
      </c>
      <c r="C10" s="72" t="s">
        <v>758</v>
      </c>
      <c r="D10" s="71" t="s">
        <v>772</v>
      </c>
      <c r="E10" s="71" t="s">
        <v>760</v>
      </c>
      <c r="F10" s="71" t="s">
        <v>756</v>
      </c>
      <c r="G10" s="73" t="s">
        <v>622</v>
      </c>
      <c r="H10" s="79" t="n">
        <v>120</v>
      </c>
      <c r="I10" s="75" t="n">
        <v>0</v>
      </c>
      <c r="J10" s="76" t="n">
        <f aca="false">IF(H10="","",ROUND(H10*(1+I10),2))</f>
        <v>120</v>
      </c>
      <c r="K10" s="76" t="n">
        <f aca="false">IF(J10="","",ROUND(J10*(1+OHP),2))</f>
        <v>144</v>
      </c>
      <c r="L10" s="76" t="n">
        <f aca="false">IF(K10="","",ROUND(K10*(1+VAT),2))</f>
        <v>151.2</v>
      </c>
      <c r="M10" s="73" t="s">
        <v>89</v>
      </c>
      <c r="N10" s="71"/>
      <c r="O10" s="73"/>
      <c r="P10" s="77"/>
      <c r="Q10" s="71"/>
      <c r="R10" s="78" t="s">
        <v>762</v>
      </c>
    </row>
    <row r="11" customFormat="false" ht="15" hidden="false" customHeight="false" outlineLevel="0" collapsed="false">
      <c r="A11" s="70" t="s">
        <v>773</v>
      </c>
      <c r="B11" s="71" t="s">
        <v>748</v>
      </c>
      <c r="C11" s="72" t="s">
        <v>774</v>
      </c>
      <c r="D11" s="71" t="s">
        <v>457</v>
      </c>
      <c r="E11" s="71" t="s">
        <v>775</v>
      </c>
      <c r="F11" s="71" t="s">
        <v>217</v>
      </c>
      <c r="G11" s="73" t="s">
        <v>622</v>
      </c>
      <c r="H11" s="79" t="n">
        <v>25</v>
      </c>
      <c r="I11" s="75" t="n">
        <v>0</v>
      </c>
      <c r="J11" s="76" t="n">
        <f aca="false">IF(H11="","",ROUND(H11*(1+I11),2))</f>
        <v>25</v>
      </c>
      <c r="K11" s="76" t="n">
        <f aca="false">IF(J11="","",ROUND(J11*(1+OHP),2))</f>
        <v>30</v>
      </c>
      <c r="L11" s="76" t="n">
        <f aca="false">IF(K11="","",ROUND(K11*(1+VAT),2))</f>
        <v>31.5</v>
      </c>
      <c r="M11" s="73" t="s">
        <v>89</v>
      </c>
      <c r="N11" s="71"/>
      <c r="O11" s="73"/>
      <c r="P11" s="77"/>
      <c r="Q11" s="71"/>
      <c r="R11" s="78" t="s">
        <v>753</v>
      </c>
    </row>
    <row r="12" customFormat="false" ht="15" hidden="false" customHeight="false" outlineLevel="0" collapsed="false">
      <c r="A12" s="70" t="s">
        <v>776</v>
      </c>
      <c r="B12" s="71" t="s">
        <v>777</v>
      </c>
      <c r="C12" s="72" t="s">
        <v>778</v>
      </c>
      <c r="D12" s="71" t="s">
        <v>779</v>
      </c>
      <c r="E12" s="71" t="s">
        <v>55</v>
      </c>
      <c r="F12" s="71" t="s">
        <v>780</v>
      </c>
      <c r="G12" s="73" t="s">
        <v>622</v>
      </c>
      <c r="H12" s="79" t="n">
        <v>120</v>
      </c>
      <c r="I12" s="75" t="n">
        <v>0</v>
      </c>
      <c r="J12" s="76" t="n">
        <f aca="false">IF(H12="","",ROUND(H12*(1+I12),2))</f>
        <v>120</v>
      </c>
      <c r="K12" s="76" t="n">
        <f aca="false">IF(J12="","",ROUND(J12*(1+OHP),2))</f>
        <v>144</v>
      </c>
      <c r="L12" s="76" t="n">
        <f aca="false">IF(K12="","",ROUND(K12*(1+VAT),2))</f>
        <v>151.2</v>
      </c>
      <c r="M12" s="73" t="s">
        <v>89</v>
      </c>
      <c r="N12" s="71"/>
      <c r="O12" s="73"/>
      <c r="P12" s="77"/>
      <c r="Q12" s="71"/>
      <c r="R12" s="78" t="s">
        <v>781</v>
      </c>
    </row>
    <row r="13" customFormat="false" ht="15" hidden="false" customHeight="false" outlineLevel="0" collapsed="false">
      <c r="A13" s="70" t="s">
        <v>782</v>
      </c>
      <c r="B13" s="71" t="s">
        <v>777</v>
      </c>
      <c r="C13" s="72" t="s">
        <v>783</v>
      </c>
      <c r="D13" s="71" t="s">
        <v>784</v>
      </c>
      <c r="E13" s="71" t="s">
        <v>785</v>
      </c>
      <c r="F13" s="71" t="s">
        <v>786</v>
      </c>
      <c r="G13" s="73" t="s">
        <v>622</v>
      </c>
      <c r="H13" s="79" t="n">
        <v>75</v>
      </c>
      <c r="I13" s="75" t="n">
        <v>0</v>
      </c>
      <c r="J13" s="76" t="n">
        <f aca="false">IF(H13="","",ROUND(H13*(1+I13),2))</f>
        <v>75</v>
      </c>
      <c r="K13" s="76" t="n">
        <f aca="false">IF(J13="","",ROUND(J13*(1+OHP),2))</f>
        <v>90</v>
      </c>
      <c r="L13" s="76" t="n">
        <f aca="false">IF(K13="","",ROUND(K13*(1+VAT),2))</f>
        <v>94.5</v>
      </c>
      <c r="M13" s="73" t="s">
        <v>89</v>
      </c>
      <c r="N13" s="71"/>
      <c r="O13" s="73"/>
      <c r="P13" s="77"/>
      <c r="Q13" s="71"/>
      <c r="R13" s="78" t="s">
        <v>787</v>
      </c>
    </row>
    <row r="14" customFormat="false" ht="15" hidden="false" customHeight="false" outlineLevel="0" collapsed="false">
      <c r="A14" s="70" t="s">
        <v>788</v>
      </c>
      <c r="B14" s="71" t="s">
        <v>777</v>
      </c>
      <c r="C14" s="72" t="s">
        <v>783</v>
      </c>
      <c r="D14" s="71" t="s">
        <v>789</v>
      </c>
      <c r="E14" s="71" t="s">
        <v>785</v>
      </c>
      <c r="F14" s="71" t="s">
        <v>786</v>
      </c>
      <c r="G14" s="73" t="s">
        <v>622</v>
      </c>
      <c r="H14" s="79" t="n">
        <v>90</v>
      </c>
      <c r="I14" s="75" t="n">
        <v>0</v>
      </c>
      <c r="J14" s="76" t="n">
        <f aca="false">IF(H14="","",ROUND(H14*(1+I14),2))</f>
        <v>90</v>
      </c>
      <c r="K14" s="76" t="n">
        <f aca="false">IF(J14="","",ROUND(J14*(1+OHP),2))</f>
        <v>108</v>
      </c>
      <c r="L14" s="76" t="n">
        <f aca="false">IF(K14="","",ROUND(K14*(1+VAT),2))</f>
        <v>113.4</v>
      </c>
      <c r="M14" s="73" t="s">
        <v>89</v>
      </c>
      <c r="N14" s="71"/>
      <c r="O14" s="73"/>
      <c r="P14" s="77"/>
      <c r="Q14" s="71"/>
      <c r="R14" s="78" t="s">
        <v>787</v>
      </c>
    </row>
    <row r="15" customFormat="false" ht="15" hidden="false" customHeight="false" outlineLevel="0" collapsed="false">
      <c r="A15" s="70" t="s">
        <v>790</v>
      </c>
      <c r="B15" s="71" t="s">
        <v>777</v>
      </c>
      <c r="C15" s="72" t="s">
        <v>791</v>
      </c>
      <c r="D15" s="71" t="s">
        <v>792</v>
      </c>
      <c r="E15" s="71" t="s">
        <v>457</v>
      </c>
      <c r="F15" s="71" t="s">
        <v>793</v>
      </c>
      <c r="G15" s="73" t="s">
        <v>622</v>
      </c>
      <c r="H15" s="79" t="n">
        <v>180</v>
      </c>
      <c r="I15" s="75" t="n">
        <v>0</v>
      </c>
      <c r="J15" s="76" t="n">
        <f aca="false">IF(H15="","",ROUND(H15*(1+I15),2))</f>
        <v>180</v>
      </c>
      <c r="K15" s="76" t="n">
        <f aca="false">IF(J15="","",ROUND(J15*(1+OHP),2))</f>
        <v>216</v>
      </c>
      <c r="L15" s="76" t="n">
        <f aca="false">IF(K15="","",ROUND(K15*(1+VAT),2))</f>
        <v>226.8</v>
      </c>
      <c r="M15" s="73" t="s">
        <v>89</v>
      </c>
      <c r="N15" s="71"/>
      <c r="O15" s="73"/>
      <c r="P15" s="77"/>
      <c r="Q15" s="71"/>
      <c r="R15" s="78"/>
    </row>
    <row r="16" customFormat="false" ht="15" hidden="false" customHeight="false" outlineLevel="0" collapsed="false">
      <c r="A16" s="70" t="s">
        <v>794</v>
      </c>
      <c r="B16" s="71" t="s">
        <v>777</v>
      </c>
      <c r="C16" s="72" t="s">
        <v>795</v>
      </c>
      <c r="D16" s="71" t="s">
        <v>796</v>
      </c>
      <c r="E16" s="71" t="s">
        <v>457</v>
      </c>
      <c r="F16" s="71" t="s">
        <v>797</v>
      </c>
      <c r="G16" s="73" t="s">
        <v>622</v>
      </c>
      <c r="H16" s="79" t="n">
        <v>85</v>
      </c>
      <c r="I16" s="75" t="n">
        <v>0</v>
      </c>
      <c r="J16" s="76" t="n">
        <f aca="false">IF(H16="","",ROUND(H16*(1+I16),2))</f>
        <v>85</v>
      </c>
      <c r="K16" s="76" t="n">
        <f aca="false">IF(J16="","",ROUND(J16*(1+OHP),2))</f>
        <v>102</v>
      </c>
      <c r="L16" s="76" t="n">
        <f aca="false">IF(K16="","",ROUND(K16*(1+VAT),2))</f>
        <v>107.1</v>
      </c>
      <c r="M16" s="73" t="s">
        <v>89</v>
      </c>
      <c r="N16" s="71"/>
      <c r="O16" s="73"/>
      <c r="P16" s="77"/>
      <c r="Q16" s="71"/>
      <c r="R16" s="78"/>
    </row>
    <row r="17" customFormat="false" ht="15" hidden="false" customHeight="false" outlineLevel="0" collapsed="false">
      <c r="A17" s="70" t="s">
        <v>798</v>
      </c>
      <c r="B17" s="71" t="s">
        <v>777</v>
      </c>
      <c r="C17" s="72" t="s">
        <v>799</v>
      </c>
      <c r="D17" s="71" t="s">
        <v>457</v>
      </c>
      <c r="E17" s="71" t="s">
        <v>800</v>
      </c>
      <c r="F17" s="71" t="s">
        <v>756</v>
      </c>
      <c r="G17" s="73" t="s">
        <v>622</v>
      </c>
      <c r="H17" s="79" t="n">
        <v>15</v>
      </c>
      <c r="I17" s="75" t="n">
        <v>0</v>
      </c>
      <c r="J17" s="76" t="n">
        <f aca="false">IF(H17="","",ROUND(H17*(1+I17),2))</f>
        <v>15</v>
      </c>
      <c r="K17" s="76" t="n">
        <f aca="false">IF(J17="","",ROUND(J17*(1+OHP),2))</f>
        <v>18</v>
      </c>
      <c r="L17" s="76" t="n">
        <f aca="false">IF(K17="","",ROUND(K17*(1+VAT),2))</f>
        <v>18.9</v>
      </c>
      <c r="M17" s="73" t="s">
        <v>89</v>
      </c>
      <c r="N17" s="71"/>
      <c r="O17" s="73"/>
      <c r="P17" s="77"/>
      <c r="Q17" s="71"/>
      <c r="R17" s="78"/>
    </row>
    <row r="18" customFormat="false" ht="15" hidden="false" customHeight="false" outlineLevel="0" collapsed="false">
      <c r="A18" s="70" t="s">
        <v>801</v>
      </c>
      <c r="B18" s="71" t="s">
        <v>777</v>
      </c>
      <c r="C18" s="72" t="s">
        <v>802</v>
      </c>
      <c r="D18" s="71" t="s">
        <v>803</v>
      </c>
      <c r="E18" s="71" t="s">
        <v>457</v>
      </c>
      <c r="F18" s="71" t="s">
        <v>756</v>
      </c>
      <c r="G18" s="73" t="s">
        <v>622</v>
      </c>
      <c r="H18" s="79" t="n">
        <v>220</v>
      </c>
      <c r="I18" s="75" t="n">
        <v>0</v>
      </c>
      <c r="J18" s="76" t="n">
        <f aca="false">IF(H18="","",ROUND(H18*(1+I18),2))</f>
        <v>220</v>
      </c>
      <c r="K18" s="76" t="n">
        <f aca="false">IF(J18="","",ROUND(J18*(1+OHP),2))</f>
        <v>264</v>
      </c>
      <c r="L18" s="76" t="n">
        <f aca="false">IF(K18="","",ROUND(K18*(1+VAT),2))</f>
        <v>277.2</v>
      </c>
      <c r="M18" s="73" t="s">
        <v>89</v>
      </c>
      <c r="N18" s="71"/>
      <c r="O18" s="73"/>
      <c r="P18" s="77"/>
      <c r="Q18" s="71"/>
      <c r="R18" s="78"/>
    </row>
    <row r="19" customFormat="false" ht="15" hidden="false" customHeight="false" outlineLevel="0" collapsed="false">
      <c r="A19" s="70" t="s">
        <v>804</v>
      </c>
      <c r="B19" s="71" t="s">
        <v>777</v>
      </c>
      <c r="C19" s="72" t="s">
        <v>805</v>
      </c>
      <c r="D19" s="71" t="s">
        <v>806</v>
      </c>
      <c r="E19" s="71" t="s">
        <v>807</v>
      </c>
      <c r="F19" s="71" t="s">
        <v>786</v>
      </c>
      <c r="G19" s="73" t="s">
        <v>622</v>
      </c>
      <c r="H19" s="79" t="n">
        <v>650</v>
      </c>
      <c r="I19" s="75" t="n">
        <v>0</v>
      </c>
      <c r="J19" s="76" t="n">
        <f aca="false">IF(H19="","",ROUND(H19*(1+I19),2))</f>
        <v>650</v>
      </c>
      <c r="K19" s="76" t="n">
        <f aca="false">IF(J19="","",ROUND(J19*(1+OHP),2))</f>
        <v>780</v>
      </c>
      <c r="L19" s="76" t="n">
        <f aca="false">IF(K19="","",ROUND(K19*(1+VAT),2))</f>
        <v>819</v>
      </c>
      <c r="M19" s="73" t="s">
        <v>89</v>
      </c>
      <c r="N19" s="71"/>
      <c r="O19" s="73"/>
      <c r="P19" s="77"/>
      <c r="Q19" s="71"/>
      <c r="R19" s="78" t="s">
        <v>671</v>
      </c>
    </row>
    <row r="20" customFormat="false" ht="15" hidden="false" customHeight="false" outlineLevel="0" collapsed="false">
      <c r="A20" s="70" t="s">
        <v>808</v>
      </c>
      <c r="B20" s="71" t="s">
        <v>809</v>
      </c>
      <c r="C20" s="72" t="s">
        <v>810</v>
      </c>
      <c r="D20" s="71" t="s">
        <v>811</v>
      </c>
      <c r="E20" s="71" t="s">
        <v>812</v>
      </c>
      <c r="F20" s="71" t="s">
        <v>217</v>
      </c>
      <c r="G20" s="73" t="s">
        <v>813</v>
      </c>
      <c r="H20" s="79" t="n">
        <v>120</v>
      </c>
      <c r="I20" s="75" t="n">
        <v>0</v>
      </c>
      <c r="J20" s="76" t="n">
        <f aca="false">IF(H20="","",ROUND(H20*(1+I20),2))</f>
        <v>120</v>
      </c>
      <c r="K20" s="76" t="n">
        <f aca="false">IF(J20="","",ROUND(J20*(1+OHP),2))</f>
        <v>144</v>
      </c>
      <c r="L20" s="76" t="n">
        <f aca="false">IF(K20="","",ROUND(K20*(1+VAT),2))</f>
        <v>151.2</v>
      </c>
      <c r="M20" s="73" t="s">
        <v>89</v>
      </c>
      <c r="N20" s="71"/>
      <c r="O20" s="73"/>
      <c r="P20" s="77"/>
      <c r="Q20" s="71"/>
      <c r="R20" s="78" t="s">
        <v>814</v>
      </c>
    </row>
    <row r="21" customFormat="false" ht="19.4" hidden="false" customHeight="false" outlineLevel="0" collapsed="false">
      <c r="A21" s="70" t="s">
        <v>815</v>
      </c>
      <c r="B21" s="71" t="s">
        <v>809</v>
      </c>
      <c r="C21" s="72" t="s">
        <v>810</v>
      </c>
      <c r="D21" s="71" t="s">
        <v>816</v>
      </c>
      <c r="E21" s="71" t="s">
        <v>812</v>
      </c>
      <c r="F21" s="71" t="s">
        <v>217</v>
      </c>
      <c r="G21" s="73" t="s">
        <v>813</v>
      </c>
      <c r="H21" s="79" t="n">
        <v>220</v>
      </c>
      <c r="I21" s="75" t="n">
        <v>0</v>
      </c>
      <c r="J21" s="76" t="n">
        <f aca="false">IF(H21="","",ROUND(H21*(1+I21),2))</f>
        <v>220</v>
      </c>
      <c r="K21" s="76" t="n">
        <f aca="false">IF(J21="","",ROUND(J21*(1+OHP),2))</f>
        <v>264</v>
      </c>
      <c r="L21" s="76" t="n">
        <f aca="false">IF(K21="","",ROUND(K21*(1+VAT),2))</f>
        <v>277.2</v>
      </c>
      <c r="M21" s="73" t="s">
        <v>89</v>
      </c>
      <c r="N21" s="71"/>
      <c r="O21" s="73"/>
      <c r="P21" s="77"/>
      <c r="Q21" s="71"/>
      <c r="R21" s="78" t="s">
        <v>817</v>
      </c>
    </row>
    <row r="22" customFormat="false" ht="19.4" hidden="false" customHeight="false" outlineLevel="0" collapsed="false">
      <c r="A22" s="70" t="s">
        <v>818</v>
      </c>
      <c r="B22" s="71" t="s">
        <v>809</v>
      </c>
      <c r="C22" s="72" t="s">
        <v>810</v>
      </c>
      <c r="D22" s="71" t="s">
        <v>819</v>
      </c>
      <c r="E22" s="71" t="s">
        <v>820</v>
      </c>
      <c r="F22" s="71" t="s">
        <v>453</v>
      </c>
      <c r="G22" s="73" t="s">
        <v>813</v>
      </c>
      <c r="H22" s="79" t="n">
        <v>450</v>
      </c>
      <c r="I22" s="75" t="n">
        <v>0</v>
      </c>
      <c r="J22" s="76" t="n">
        <f aca="false">IF(H22="","",ROUND(H22*(1+I22),2))</f>
        <v>450</v>
      </c>
      <c r="K22" s="76" t="n">
        <f aca="false">IF(J22="","",ROUND(J22*(1+OHP),2))</f>
        <v>540</v>
      </c>
      <c r="L22" s="76" t="n">
        <f aca="false">IF(K22="","",ROUND(K22*(1+VAT),2))</f>
        <v>567</v>
      </c>
      <c r="M22" s="73" t="s">
        <v>89</v>
      </c>
      <c r="N22" s="71"/>
      <c r="O22" s="73"/>
      <c r="P22" s="77"/>
      <c r="Q22" s="71"/>
      <c r="R22" s="78" t="s">
        <v>821</v>
      </c>
    </row>
    <row r="23" customFormat="false" ht="15" hidden="false" customHeight="false" outlineLevel="0" collapsed="false">
      <c r="A23" s="70" t="s">
        <v>822</v>
      </c>
      <c r="B23" s="71" t="s">
        <v>809</v>
      </c>
      <c r="C23" s="72" t="s">
        <v>823</v>
      </c>
      <c r="D23" s="71" t="s">
        <v>457</v>
      </c>
      <c r="E23" s="71" t="s">
        <v>775</v>
      </c>
      <c r="F23" s="71" t="s">
        <v>824</v>
      </c>
      <c r="G23" s="73" t="s">
        <v>738</v>
      </c>
      <c r="H23" s="79" t="n">
        <v>140</v>
      </c>
      <c r="I23" s="75" t="n">
        <v>0</v>
      </c>
      <c r="J23" s="76" t="n">
        <f aca="false">IF(H23="","",ROUND(H23*(1+I23),2))</f>
        <v>140</v>
      </c>
      <c r="K23" s="76" t="n">
        <f aca="false">IF(J23="","",ROUND(J23*(1+OHP),2))</f>
        <v>168</v>
      </c>
      <c r="L23" s="76" t="n">
        <f aca="false">IF(K23="","",ROUND(K23*(1+VAT),2))</f>
        <v>176.4</v>
      </c>
      <c r="M23" s="73" t="s">
        <v>89</v>
      </c>
      <c r="N23" s="71"/>
      <c r="O23" s="73"/>
      <c r="P23" s="77"/>
      <c r="Q23" s="71"/>
      <c r="R23" s="78" t="s">
        <v>753</v>
      </c>
    </row>
    <row r="24" customFormat="false" ht="15" hidden="false" customHeight="false" outlineLevel="0" collapsed="false">
      <c r="A24" s="70" t="s">
        <v>825</v>
      </c>
      <c r="B24" s="71" t="s">
        <v>809</v>
      </c>
      <c r="C24" s="72" t="s">
        <v>823</v>
      </c>
      <c r="D24" s="71" t="s">
        <v>457</v>
      </c>
      <c r="E24" s="71" t="s">
        <v>775</v>
      </c>
      <c r="F24" s="71" t="s">
        <v>756</v>
      </c>
      <c r="G24" s="73" t="s">
        <v>738</v>
      </c>
      <c r="H24" s="79" t="n">
        <v>45</v>
      </c>
      <c r="I24" s="75" t="n">
        <v>0</v>
      </c>
      <c r="J24" s="76" t="n">
        <f aca="false">IF(H24="","",ROUND(H24*(1+I24),2))</f>
        <v>45</v>
      </c>
      <c r="K24" s="76" t="n">
        <f aca="false">IF(J24="","",ROUND(J24*(1+OHP),2))</f>
        <v>54</v>
      </c>
      <c r="L24" s="76" t="n">
        <f aca="false">IF(K24="","",ROUND(K24*(1+VAT),2))</f>
        <v>56.7</v>
      </c>
      <c r="M24" s="73" t="s">
        <v>89</v>
      </c>
      <c r="N24" s="71"/>
      <c r="O24" s="73"/>
      <c r="P24" s="77"/>
      <c r="Q24" s="71"/>
      <c r="R24" s="78" t="s">
        <v>753</v>
      </c>
    </row>
    <row r="25" customFormat="false" ht="15" hidden="false" customHeight="false" outlineLevel="0" collapsed="false">
      <c r="A25" s="70" t="s">
        <v>826</v>
      </c>
      <c r="B25" s="71" t="s">
        <v>809</v>
      </c>
      <c r="C25" s="72" t="s">
        <v>827</v>
      </c>
      <c r="D25" s="71" t="s">
        <v>457</v>
      </c>
      <c r="E25" s="71" t="s">
        <v>800</v>
      </c>
      <c r="F25" s="71" t="s">
        <v>793</v>
      </c>
      <c r="G25" s="73" t="s">
        <v>622</v>
      </c>
      <c r="H25" s="79" t="n">
        <v>25</v>
      </c>
      <c r="I25" s="75" t="n">
        <v>0</v>
      </c>
      <c r="J25" s="76" t="n">
        <f aca="false">IF(H25="","",ROUND(H25*(1+I25),2))</f>
        <v>25</v>
      </c>
      <c r="K25" s="76" t="n">
        <f aca="false">IF(J25="","",ROUND(J25*(1+OHP),2))</f>
        <v>30</v>
      </c>
      <c r="L25" s="76" t="n">
        <f aca="false">IF(K25="","",ROUND(K25*(1+VAT),2))</f>
        <v>31.5</v>
      </c>
      <c r="M25" s="73" t="s">
        <v>89</v>
      </c>
      <c r="N25" s="71"/>
      <c r="O25" s="73"/>
      <c r="P25" s="77"/>
      <c r="Q25" s="71"/>
      <c r="R25" s="78" t="s">
        <v>762</v>
      </c>
    </row>
    <row r="26" customFormat="false" ht="15" hidden="false" customHeight="false" outlineLevel="0" collapsed="false">
      <c r="A26" s="70" t="s">
        <v>828</v>
      </c>
      <c r="B26" s="71" t="s">
        <v>809</v>
      </c>
      <c r="C26" s="72" t="s">
        <v>829</v>
      </c>
      <c r="D26" s="71" t="s">
        <v>457</v>
      </c>
      <c r="E26" s="71" t="s">
        <v>800</v>
      </c>
      <c r="F26" s="71" t="s">
        <v>217</v>
      </c>
      <c r="G26" s="73" t="s">
        <v>622</v>
      </c>
      <c r="H26" s="79" t="n">
        <v>18</v>
      </c>
      <c r="I26" s="75" t="n">
        <v>0</v>
      </c>
      <c r="J26" s="76" t="n">
        <f aca="false">IF(H26="","",ROUND(H26*(1+I26),2))</f>
        <v>18</v>
      </c>
      <c r="K26" s="76" t="n">
        <f aca="false">IF(J26="","",ROUND(J26*(1+OHP),2))</f>
        <v>21.6</v>
      </c>
      <c r="L26" s="76" t="n">
        <f aca="false">IF(K26="","",ROUND(K26*(1+VAT),2))</f>
        <v>22.68</v>
      </c>
      <c r="M26" s="73" t="s">
        <v>89</v>
      </c>
      <c r="N26" s="71"/>
      <c r="O26" s="73"/>
      <c r="P26" s="77"/>
      <c r="Q26" s="71"/>
      <c r="R26" s="78" t="s">
        <v>762</v>
      </c>
    </row>
    <row r="27" customFormat="false" ht="15" hidden="false" customHeight="false" outlineLevel="0" collapsed="false">
      <c r="A27" s="70" t="s">
        <v>830</v>
      </c>
      <c r="B27" s="71" t="s">
        <v>831</v>
      </c>
      <c r="C27" s="72" t="s">
        <v>832</v>
      </c>
      <c r="D27" s="71" t="s">
        <v>833</v>
      </c>
      <c r="E27" s="71" t="s">
        <v>212</v>
      </c>
      <c r="F27" s="71" t="s">
        <v>793</v>
      </c>
      <c r="G27" s="73" t="s">
        <v>622</v>
      </c>
      <c r="H27" s="79" t="n">
        <v>45</v>
      </c>
      <c r="I27" s="75" t="n">
        <v>0</v>
      </c>
      <c r="J27" s="76" t="n">
        <f aca="false">IF(H27="","",ROUND(H27*(1+I27),2))</f>
        <v>45</v>
      </c>
      <c r="K27" s="76" t="n">
        <f aca="false">IF(J27="","",ROUND(J27*(1+OHP),2))</f>
        <v>54</v>
      </c>
      <c r="L27" s="76" t="n">
        <f aca="false">IF(K27="","",ROUND(K27*(1+VAT),2))</f>
        <v>56.7</v>
      </c>
      <c r="M27" s="73" t="s">
        <v>89</v>
      </c>
      <c r="N27" s="71"/>
      <c r="O27" s="73"/>
      <c r="P27" s="77"/>
      <c r="Q27" s="71"/>
      <c r="R27" s="78" t="s">
        <v>202</v>
      </c>
    </row>
    <row r="28" customFormat="false" ht="19.4" hidden="false" customHeight="false" outlineLevel="0" collapsed="false">
      <c r="A28" s="70" t="s">
        <v>834</v>
      </c>
      <c r="B28" s="71" t="s">
        <v>831</v>
      </c>
      <c r="C28" s="72" t="s">
        <v>835</v>
      </c>
      <c r="D28" s="71" t="s">
        <v>836</v>
      </c>
      <c r="E28" s="71" t="s">
        <v>737</v>
      </c>
      <c r="F28" s="71" t="s">
        <v>217</v>
      </c>
      <c r="G28" s="73" t="s">
        <v>622</v>
      </c>
      <c r="H28" s="79" t="n">
        <v>15</v>
      </c>
      <c r="I28" s="75" t="n">
        <v>0</v>
      </c>
      <c r="J28" s="76" t="n">
        <f aca="false">IF(H28="","",ROUND(H28*(1+I28),2))</f>
        <v>15</v>
      </c>
      <c r="K28" s="76" t="n">
        <f aca="false">IF(J28="","",ROUND(J28*(1+OHP),2))</f>
        <v>18</v>
      </c>
      <c r="L28" s="76" t="n">
        <f aca="false">IF(K28="","",ROUND(K28*(1+VAT),2))</f>
        <v>18.9</v>
      </c>
      <c r="M28" s="73" t="s">
        <v>89</v>
      </c>
      <c r="N28" s="71"/>
      <c r="O28" s="73"/>
      <c r="P28" s="77"/>
      <c r="Q28" s="71"/>
      <c r="R28" s="78" t="s">
        <v>837</v>
      </c>
    </row>
    <row r="29" customFormat="false" ht="15" hidden="false" customHeight="false" outlineLevel="0" collapsed="false">
      <c r="A29" s="70" t="s">
        <v>838</v>
      </c>
      <c r="B29" s="71" t="s">
        <v>831</v>
      </c>
      <c r="C29" s="72" t="s">
        <v>839</v>
      </c>
      <c r="D29" s="71" t="s">
        <v>840</v>
      </c>
      <c r="E29" s="71" t="s">
        <v>457</v>
      </c>
      <c r="F29" s="71" t="s">
        <v>453</v>
      </c>
      <c r="G29" s="73" t="s">
        <v>622</v>
      </c>
      <c r="H29" s="79" t="n">
        <v>120</v>
      </c>
      <c r="I29" s="75" t="n">
        <v>0</v>
      </c>
      <c r="J29" s="76" t="n">
        <f aca="false">IF(H29="","",ROUND(H29*(1+I29),2))</f>
        <v>120</v>
      </c>
      <c r="K29" s="76" t="n">
        <f aca="false">IF(J29="","",ROUND(J29*(1+OHP),2))</f>
        <v>144</v>
      </c>
      <c r="L29" s="76" t="n">
        <f aca="false">IF(K29="","",ROUND(K29*(1+VAT),2))</f>
        <v>151.2</v>
      </c>
      <c r="M29" s="73" t="s">
        <v>89</v>
      </c>
      <c r="N29" s="71"/>
      <c r="O29" s="73"/>
      <c r="P29" s="77"/>
      <c r="Q29" s="71"/>
      <c r="R29" s="78" t="s">
        <v>199</v>
      </c>
    </row>
    <row r="30" customFormat="false" ht="15" hidden="false" customHeight="false" outlineLevel="0" collapsed="false">
      <c r="A30" s="70" t="s">
        <v>841</v>
      </c>
      <c r="B30" s="71" t="s">
        <v>831</v>
      </c>
      <c r="C30" s="72" t="s">
        <v>842</v>
      </c>
      <c r="D30" s="71" t="s">
        <v>843</v>
      </c>
      <c r="E30" s="71" t="s">
        <v>55</v>
      </c>
      <c r="F30" s="71" t="s">
        <v>844</v>
      </c>
      <c r="G30" s="73" t="s">
        <v>738</v>
      </c>
      <c r="H30" s="79" t="n">
        <v>1800</v>
      </c>
      <c r="I30" s="75" t="n">
        <v>0</v>
      </c>
      <c r="J30" s="76" t="n">
        <f aca="false">IF(H30="","",ROUND(H30*(1+I30),2))</f>
        <v>1800</v>
      </c>
      <c r="K30" s="76" t="n">
        <f aca="false">IF(J30="","",ROUND(J30*(1+OHP),2))</f>
        <v>2160</v>
      </c>
      <c r="L30" s="76" t="n">
        <f aca="false">IF(K30="","",ROUND(K30*(1+VAT),2))</f>
        <v>2268</v>
      </c>
      <c r="M30" s="73" t="s">
        <v>89</v>
      </c>
      <c r="N30" s="71"/>
      <c r="O30" s="73"/>
      <c r="P30" s="77"/>
      <c r="Q30" s="71"/>
      <c r="R30" s="78" t="s">
        <v>671</v>
      </c>
    </row>
    <row r="31" customFormat="false" ht="15" hidden="false" customHeight="false" outlineLevel="0" collapsed="false">
      <c r="A31" s="70" t="s">
        <v>845</v>
      </c>
      <c r="B31" s="71" t="s">
        <v>846</v>
      </c>
      <c r="C31" s="72" t="s">
        <v>847</v>
      </c>
      <c r="D31" s="71" t="s">
        <v>848</v>
      </c>
      <c r="E31" s="71" t="s">
        <v>737</v>
      </c>
      <c r="F31" s="71" t="s">
        <v>349</v>
      </c>
      <c r="G31" s="73" t="s">
        <v>813</v>
      </c>
      <c r="H31" s="79" t="n">
        <v>45</v>
      </c>
      <c r="I31" s="75" t="n">
        <v>0</v>
      </c>
      <c r="J31" s="76" t="n">
        <f aca="false">IF(H31="","",ROUND(H31*(1+I31),2))</f>
        <v>45</v>
      </c>
      <c r="K31" s="76" t="n">
        <f aca="false">IF(J31="","",ROUND(J31*(1+OHP),2))</f>
        <v>54</v>
      </c>
      <c r="L31" s="76" t="n">
        <f aca="false">IF(K31="","",ROUND(K31*(1+VAT),2))</f>
        <v>56.7</v>
      </c>
      <c r="M31" s="73" t="s">
        <v>89</v>
      </c>
      <c r="N31" s="71"/>
      <c r="O31" s="73"/>
      <c r="P31" s="77"/>
      <c r="Q31" s="71"/>
      <c r="R31" s="78" t="s">
        <v>849</v>
      </c>
    </row>
    <row r="32" customFormat="false" ht="15" hidden="false" customHeight="false" outlineLevel="0" collapsed="false">
      <c r="A32" s="70" t="s">
        <v>850</v>
      </c>
      <c r="B32" s="71" t="s">
        <v>846</v>
      </c>
      <c r="C32" s="72" t="s">
        <v>851</v>
      </c>
      <c r="D32" s="71" t="s">
        <v>852</v>
      </c>
      <c r="E32" s="71" t="s">
        <v>853</v>
      </c>
      <c r="F32" s="71" t="s">
        <v>453</v>
      </c>
      <c r="G32" s="73" t="s">
        <v>813</v>
      </c>
      <c r="H32" s="79" t="n">
        <v>95</v>
      </c>
      <c r="I32" s="75" t="n">
        <v>0</v>
      </c>
      <c r="J32" s="76" t="n">
        <f aca="false">IF(H32="","",ROUND(H32*(1+I32),2))</f>
        <v>95</v>
      </c>
      <c r="K32" s="76" t="n">
        <f aca="false">IF(J32="","",ROUND(J32*(1+OHP),2))</f>
        <v>114</v>
      </c>
      <c r="L32" s="76" t="n">
        <f aca="false">IF(K32="","",ROUND(K32*(1+VAT),2))</f>
        <v>119.7</v>
      </c>
      <c r="M32" s="73" t="s">
        <v>89</v>
      </c>
      <c r="N32" s="71"/>
      <c r="O32" s="73"/>
      <c r="P32" s="77"/>
      <c r="Q32" s="71"/>
      <c r="R32" s="78" t="s">
        <v>854</v>
      </c>
    </row>
    <row r="33" customFormat="false" ht="15" hidden="false" customHeight="false" outlineLevel="0" collapsed="false">
      <c r="A33" s="70" t="s">
        <v>855</v>
      </c>
      <c r="B33" s="71" t="s">
        <v>846</v>
      </c>
      <c r="C33" s="72" t="s">
        <v>856</v>
      </c>
      <c r="D33" s="71" t="s">
        <v>857</v>
      </c>
      <c r="E33" s="71" t="s">
        <v>457</v>
      </c>
      <c r="F33" s="71" t="s">
        <v>858</v>
      </c>
      <c r="G33" s="73" t="s">
        <v>738</v>
      </c>
      <c r="H33" s="79" t="n">
        <v>350</v>
      </c>
      <c r="I33" s="75" t="n">
        <v>0</v>
      </c>
      <c r="J33" s="76" t="n">
        <f aca="false">IF(H33="","",ROUND(H33*(1+I33),2))</f>
        <v>350</v>
      </c>
      <c r="K33" s="76" t="n">
        <f aca="false">IF(J33="","",ROUND(J33*(1+OHP),2))</f>
        <v>420</v>
      </c>
      <c r="L33" s="76" t="n">
        <f aca="false">IF(K33="","",ROUND(K33*(1+VAT),2))</f>
        <v>441</v>
      </c>
      <c r="M33" s="73" t="s">
        <v>89</v>
      </c>
      <c r="N33" s="71"/>
      <c r="O33" s="73"/>
      <c r="P33" s="77"/>
      <c r="Q33" s="71"/>
      <c r="R33" s="78"/>
    </row>
    <row r="34" customFormat="false" ht="15" hidden="false" customHeight="false" outlineLevel="0" collapsed="false">
      <c r="A34" s="70" t="s">
        <v>859</v>
      </c>
      <c r="B34" s="71" t="s">
        <v>846</v>
      </c>
      <c r="C34" s="72" t="s">
        <v>860</v>
      </c>
      <c r="D34" s="71" t="s">
        <v>861</v>
      </c>
      <c r="E34" s="71" t="s">
        <v>55</v>
      </c>
      <c r="F34" s="71" t="s">
        <v>349</v>
      </c>
      <c r="G34" s="73" t="s">
        <v>622</v>
      </c>
      <c r="H34" s="79" t="n">
        <v>25</v>
      </c>
      <c r="I34" s="75" t="n">
        <v>0</v>
      </c>
      <c r="J34" s="76" t="n">
        <f aca="false">IF(H34="","",ROUND(H34*(1+I34),2))</f>
        <v>25</v>
      </c>
      <c r="K34" s="76" t="n">
        <f aca="false">IF(J34="","",ROUND(J34*(1+OHP),2))</f>
        <v>30</v>
      </c>
      <c r="L34" s="76" t="n">
        <f aca="false">IF(K34="","",ROUND(K34*(1+VAT),2))</f>
        <v>31.5</v>
      </c>
      <c r="M34" s="73" t="s">
        <v>89</v>
      </c>
      <c r="N34" s="71"/>
      <c r="O34" s="73"/>
      <c r="P34" s="77"/>
      <c r="Q34" s="71"/>
      <c r="R34" s="78" t="s">
        <v>862</v>
      </c>
    </row>
    <row r="35" customFormat="false" ht="15" hidden="false" customHeight="false" outlineLevel="0" collapsed="false">
      <c r="A35" s="70" t="s">
        <v>863</v>
      </c>
      <c r="B35" s="71" t="s">
        <v>846</v>
      </c>
      <c r="C35" s="72" t="s">
        <v>864</v>
      </c>
      <c r="D35" s="71" t="s">
        <v>865</v>
      </c>
      <c r="E35" s="71" t="s">
        <v>457</v>
      </c>
      <c r="F35" s="71" t="s">
        <v>756</v>
      </c>
      <c r="G35" s="73" t="s">
        <v>622</v>
      </c>
      <c r="H35" s="79" t="n">
        <v>12</v>
      </c>
      <c r="I35" s="75" t="n">
        <v>0</v>
      </c>
      <c r="J35" s="76" t="n">
        <f aca="false">IF(H35="","",ROUND(H35*(1+I35),2))</f>
        <v>12</v>
      </c>
      <c r="K35" s="76" t="n">
        <f aca="false">IF(J35="","",ROUND(J35*(1+OHP),2))</f>
        <v>14.4</v>
      </c>
      <c r="L35" s="76" t="n">
        <f aca="false">IF(K35="","",ROUND(K35*(1+VAT),2))</f>
        <v>15.12</v>
      </c>
      <c r="M35" s="73" t="s">
        <v>89</v>
      </c>
      <c r="N35" s="71"/>
      <c r="O35" s="73"/>
      <c r="P35" s="77"/>
      <c r="Q35" s="71"/>
      <c r="R35" s="78"/>
    </row>
    <row r="36" customFormat="false" ht="15" hidden="false" customHeight="false" outlineLevel="0" collapsed="false">
      <c r="A36" s="70" t="s">
        <v>866</v>
      </c>
      <c r="B36" s="71" t="s">
        <v>846</v>
      </c>
      <c r="C36" s="72" t="s">
        <v>867</v>
      </c>
      <c r="D36" s="71" t="s">
        <v>868</v>
      </c>
      <c r="E36" s="71" t="s">
        <v>869</v>
      </c>
      <c r="F36" s="71" t="s">
        <v>797</v>
      </c>
      <c r="G36" s="73" t="s">
        <v>622</v>
      </c>
      <c r="H36" s="79" t="n">
        <v>65</v>
      </c>
      <c r="I36" s="75" t="n">
        <v>0</v>
      </c>
      <c r="J36" s="76" t="n">
        <f aca="false">IF(H36="","",ROUND(H36*(1+I36),2))</f>
        <v>65</v>
      </c>
      <c r="K36" s="76" t="n">
        <f aca="false">IF(J36="","",ROUND(J36*(1+OHP),2))</f>
        <v>78</v>
      </c>
      <c r="L36" s="76" t="n">
        <f aca="false">IF(K36="","",ROUND(K36*(1+VAT),2))</f>
        <v>81.9</v>
      </c>
      <c r="M36" s="73" t="s">
        <v>89</v>
      </c>
      <c r="N36" s="71"/>
      <c r="O36" s="73"/>
      <c r="P36" s="77"/>
      <c r="Q36" s="71"/>
      <c r="R36" s="78" t="s">
        <v>671</v>
      </c>
    </row>
    <row r="37" customFormat="false" ht="15" hidden="false" customHeight="false" outlineLevel="0" collapsed="false">
      <c r="A37" s="70" t="s">
        <v>870</v>
      </c>
      <c r="B37" s="71" t="s">
        <v>846</v>
      </c>
      <c r="C37" s="72" t="s">
        <v>871</v>
      </c>
      <c r="D37" s="71" t="s">
        <v>872</v>
      </c>
      <c r="E37" s="71" t="s">
        <v>457</v>
      </c>
      <c r="F37" s="71" t="s">
        <v>873</v>
      </c>
      <c r="G37" s="73" t="s">
        <v>738</v>
      </c>
      <c r="H37" s="79" t="n">
        <v>1800</v>
      </c>
      <c r="I37" s="75" t="n">
        <v>0</v>
      </c>
      <c r="J37" s="76" t="n">
        <f aca="false">IF(H37="","",ROUND(H37*(1+I37),2))</f>
        <v>1800</v>
      </c>
      <c r="K37" s="76" t="n">
        <f aca="false">IF(J37="","",ROUND(J37*(1+OHP),2))</f>
        <v>2160</v>
      </c>
      <c r="L37" s="76" t="n">
        <f aca="false">IF(K37="","",ROUND(K37*(1+VAT),2))</f>
        <v>2268</v>
      </c>
      <c r="M37" s="73" t="s">
        <v>89</v>
      </c>
      <c r="N37" s="71"/>
      <c r="O37" s="73"/>
      <c r="P37" s="77"/>
      <c r="Q37" s="71"/>
      <c r="R37" s="78"/>
    </row>
    <row r="38" customFormat="false" ht="15" hidden="false" customHeight="false" outlineLevel="0" collapsed="false">
      <c r="A38" s="70" t="s">
        <v>874</v>
      </c>
      <c r="B38" s="71" t="s">
        <v>846</v>
      </c>
      <c r="C38" s="72" t="s">
        <v>875</v>
      </c>
      <c r="D38" s="71" t="s">
        <v>876</v>
      </c>
      <c r="E38" s="71" t="s">
        <v>877</v>
      </c>
      <c r="F38" s="71" t="s">
        <v>217</v>
      </c>
      <c r="G38" s="73" t="s">
        <v>378</v>
      </c>
      <c r="H38" s="79" t="n">
        <v>85</v>
      </c>
      <c r="I38" s="75" t="n">
        <v>0</v>
      </c>
      <c r="J38" s="76" t="n">
        <f aca="false">IF(H38="","",ROUND(H38*(1+I38),2))</f>
        <v>85</v>
      </c>
      <c r="K38" s="76" t="n">
        <f aca="false">IF(J38="","",ROUND(J38*(1+OHP),2))</f>
        <v>102</v>
      </c>
      <c r="L38" s="76" t="n">
        <f aca="false">IF(K38="","",ROUND(K38*(1+VAT),2))</f>
        <v>107.1</v>
      </c>
      <c r="M38" s="73" t="s">
        <v>89</v>
      </c>
      <c r="N38" s="71"/>
      <c r="O38" s="73"/>
      <c r="P38" s="77"/>
      <c r="Q38" s="71"/>
      <c r="R38" s="78" t="s">
        <v>199</v>
      </c>
    </row>
    <row r="39" customFormat="false" ht="15" hidden="false" customHeight="false" outlineLevel="0" collapsed="false">
      <c r="A39" s="70" t="s">
        <v>878</v>
      </c>
      <c r="B39" s="71" t="s">
        <v>846</v>
      </c>
      <c r="C39" s="72" t="s">
        <v>879</v>
      </c>
      <c r="D39" s="71" t="s">
        <v>723</v>
      </c>
      <c r="E39" s="71" t="s">
        <v>877</v>
      </c>
      <c r="F39" s="71" t="s">
        <v>453</v>
      </c>
      <c r="G39" s="73" t="s">
        <v>378</v>
      </c>
      <c r="H39" s="79" t="n">
        <v>260</v>
      </c>
      <c r="I39" s="75" t="n">
        <v>0</v>
      </c>
      <c r="J39" s="76" t="n">
        <f aca="false">IF(H39="","",ROUND(H39*(1+I39),2))</f>
        <v>260</v>
      </c>
      <c r="K39" s="76" t="n">
        <f aca="false">IF(J39="","",ROUND(J39*(1+OHP),2))</f>
        <v>312</v>
      </c>
      <c r="L39" s="76" t="n">
        <f aca="false">IF(K39="","",ROUND(K39*(1+VAT),2))</f>
        <v>327.6</v>
      </c>
      <c r="M39" s="73" t="s">
        <v>89</v>
      </c>
      <c r="N39" s="71"/>
      <c r="O39" s="73"/>
      <c r="P39" s="77"/>
      <c r="Q39" s="71"/>
      <c r="R39" s="78"/>
    </row>
    <row r="40" customFormat="false" ht="15" hidden="false" customHeight="false" outlineLevel="0" collapsed="false">
      <c r="A40" s="70" t="s">
        <v>880</v>
      </c>
      <c r="B40" s="71" t="s">
        <v>881</v>
      </c>
      <c r="C40" s="72" t="s">
        <v>882</v>
      </c>
      <c r="D40" s="71" t="s">
        <v>742</v>
      </c>
      <c r="E40" s="71" t="s">
        <v>883</v>
      </c>
      <c r="F40" s="71" t="s">
        <v>217</v>
      </c>
      <c r="G40" s="73" t="s">
        <v>218</v>
      </c>
      <c r="H40" s="79" t="n">
        <v>1.5</v>
      </c>
      <c r="I40" s="75" t="n">
        <v>0</v>
      </c>
      <c r="J40" s="76" t="n">
        <f aca="false">IF(H40="","",ROUND(H40*(1+I40),2))</f>
        <v>1.5</v>
      </c>
      <c r="K40" s="76" t="n">
        <f aca="false">IF(J40="","",ROUND(J40*(1+OHP),2))</f>
        <v>1.8</v>
      </c>
      <c r="L40" s="76" t="n">
        <f aca="false">IF(K40="","",ROUND(K40*(1+VAT),2))</f>
        <v>1.89</v>
      </c>
      <c r="M40" s="73" t="s">
        <v>89</v>
      </c>
      <c r="N40" s="71"/>
      <c r="O40" s="73"/>
      <c r="P40" s="77"/>
      <c r="Q40" s="71"/>
      <c r="R40" s="78"/>
    </row>
    <row r="41" customFormat="false" ht="15" hidden="false" customHeight="false" outlineLevel="0" collapsed="false">
      <c r="A41" s="70" t="s">
        <v>884</v>
      </c>
      <c r="B41" s="71" t="s">
        <v>881</v>
      </c>
      <c r="C41" s="72" t="s">
        <v>885</v>
      </c>
      <c r="D41" s="71" t="s">
        <v>886</v>
      </c>
      <c r="E41" s="71" t="s">
        <v>457</v>
      </c>
      <c r="F41" s="71" t="s">
        <v>349</v>
      </c>
      <c r="G41" s="73" t="s">
        <v>622</v>
      </c>
      <c r="H41" s="79" t="n">
        <v>120</v>
      </c>
      <c r="I41" s="75" t="n">
        <v>0</v>
      </c>
      <c r="J41" s="76" t="n">
        <f aca="false">IF(H41="","",ROUND(H41*(1+I41),2))</f>
        <v>120</v>
      </c>
      <c r="K41" s="76" t="n">
        <f aca="false">IF(J41="","",ROUND(J41*(1+OHP),2))</f>
        <v>144</v>
      </c>
      <c r="L41" s="76" t="n">
        <f aca="false">IF(K41="","",ROUND(K41*(1+VAT),2))</f>
        <v>151.2</v>
      </c>
      <c r="M41" s="73" t="s">
        <v>89</v>
      </c>
      <c r="N41" s="71"/>
      <c r="O41" s="73"/>
      <c r="P41" s="77"/>
      <c r="Q41" s="71"/>
      <c r="R41" s="78"/>
    </row>
    <row r="42" customFormat="false" ht="15" hidden="false" customHeight="false" outlineLevel="0" collapsed="false">
      <c r="A42" s="70" t="s">
        <v>887</v>
      </c>
      <c r="B42" s="71" t="s">
        <v>881</v>
      </c>
      <c r="C42" s="72" t="s">
        <v>888</v>
      </c>
      <c r="D42" s="71" t="s">
        <v>742</v>
      </c>
      <c r="E42" s="71" t="s">
        <v>743</v>
      </c>
      <c r="F42" s="71" t="s">
        <v>217</v>
      </c>
      <c r="G42" s="73" t="s">
        <v>218</v>
      </c>
      <c r="H42" s="79" t="n">
        <v>45</v>
      </c>
      <c r="I42" s="75" t="n">
        <v>0</v>
      </c>
      <c r="J42" s="76" t="n">
        <f aca="false">IF(H42="","",ROUND(H42*(1+I42),2))</f>
        <v>45</v>
      </c>
      <c r="K42" s="76" t="n">
        <f aca="false">IF(J42="","",ROUND(J42*(1+OHP),2))</f>
        <v>54</v>
      </c>
      <c r="L42" s="76" t="n">
        <f aca="false">IF(K42="","",ROUND(K42*(1+VAT),2))</f>
        <v>56.7</v>
      </c>
      <c r="M42" s="73" t="s">
        <v>89</v>
      </c>
      <c r="N42" s="71"/>
      <c r="O42" s="73"/>
      <c r="P42" s="77"/>
      <c r="Q42" s="71"/>
      <c r="R42" s="78" t="s">
        <v>199</v>
      </c>
    </row>
    <row r="43" customFormat="false" ht="15" hidden="false" customHeight="false" outlineLevel="0" collapsed="false">
      <c r="A43" s="80" t="str">
        <f aca="false">IF(C43="","","HW-"&amp;TEXT(ROW()-4,"000"))</f>
        <v/>
      </c>
      <c r="B43" s="81"/>
      <c r="C43" s="81"/>
      <c r="D43" s="81"/>
      <c r="E43" s="81"/>
      <c r="F43" s="81"/>
      <c r="G43" s="82"/>
      <c r="H43" s="83"/>
      <c r="I43" s="84"/>
      <c r="J43" s="85" t="str">
        <f aca="false">IF(H43="","",ROUND(H43*(1+I43),2))</f>
        <v/>
      </c>
      <c r="K43" s="85" t="str">
        <f aca="false">IF(J43="","",ROUND(J43*(1+OHP),2))</f>
        <v/>
      </c>
      <c r="L43" s="85" t="str">
        <f aca="false">IF(K43="","",ROUND(K43*(1+VAT),2))</f>
        <v/>
      </c>
      <c r="M43" s="82"/>
      <c r="N43" s="81"/>
      <c r="O43" s="82"/>
      <c r="P43" s="86"/>
      <c r="Q43" s="81"/>
      <c r="R43" s="87"/>
    </row>
    <row r="44" customFormat="false" ht="15" hidden="false" customHeight="false" outlineLevel="0" collapsed="false">
      <c r="A44" s="80" t="str">
        <f aca="false">IF(C44="","","HW-"&amp;TEXT(ROW()-4,"000"))</f>
        <v/>
      </c>
      <c r="B44" s="81"/>
      <c r="C44" s="81"/>
      <c r="D44" s="81"/>
      <c r="E44" s="81"/>
      <c r="F44" s="81"/>
      <c r="G44" s="82"/>
      <c r="H44" s="83"/>
      <c r="I44" s="84"/>
      <c r="J44" s="85" t="str">
        <f aca="false">IF(H44="","",ROUND(H44*(1+I44),2))</f>
        <v/>
      </c>
      <c r="K44" s="85" t="str">
        <f aca="false">IF(J44="","",ROUND(J44*(1+OHP),2))</f>
        <v/>
      </c>
      <c r="L44" s="85" t="str">
        <f aca="false">IF(K44="","",ROUND(K44*(1+VAT),2))</f>
        <v/>
      </c>
      <c r="M44" s="82"/>
      <c r="N44" s="81"/>
      <c r="O44" s="82"/>
      <c r="P44" s="86"/>
      <c r="Q44" s="81"/>
      <c r="R44" s="87"/>
    </row>
    <row r="45" customFormat="false" ht="15" hidden="false" customHeight="false" outlineLevel="0" collapsed="false">
      <c r="A45" s="80" t="str">
        <f aca="false">IF(C45="","","HW-"&amp;TEXT(ROW()-4,"000"))</f>
        <v/>
      </c>
      <c r="B45" s="81"/>
      <c r="C45" s="81"/>
      <c r="D45" s="81"/>
      <c r="E45" s="81"/>
      <c r="F45" s="81"/>
      <c r="G45" s="82"/>
      <c r="H45" s="83"/>
      <c r="I45" s="84"/>
      <c r="J45" s="85" t="str">
        <f aca="false">IF(H45="","",ROUND(H45*(1+I45),2))</f>
        <v/>
      </c>
      <c r="K45" s="85" t="str">
        <f aca="false">IF(J45="","",ROUND(J45*(1+OHP),2))</f>
        <v/>
      </c>
      <c r="L45" s="85" t="str">
        <f aca="false">IF(K45="","",ROUND(K45*(1+VAT),2))</f>
        <v/>
      </c>
      <c r="M45" s="82"/>
      <c r="N45" s="81"/>
      <c r="O45" s="82"/>
      <c r="P45" s="86"/>
      <c r="Q45" s="81"/>
      <c r="R45" s="87"/>
    </row>
    <row r="46" customFormat="false" ht="15" hidden="false" customHeight="false" outlineLevel="0" collapsed="false">
      <c r="A46" s="80" t="str">
        <f aca="false">IF(C46="","","HW-"&amp;TEXT(ROW()-4,"000"))</f>
        <v/>
      </c>
      <c r="B46" s="81"/>
      <c r="C46" s="81"/>
      <c r="D46" s="81"/>
      <c r="E46" s="81"/>
      <c r="F46" s="81"/>
      <c r="G46" s="82"/>
      <c r="H46" s="83"/>
      <c r="I46" s="84"/>
      <c r="J46" s="85" t="str">
        <f aca="false">IF(H46="","",ROUND(H46*(1+I46),2))</f>
        <v/>
      </c>
      <c r="K46" s="85" t="str">
        <f aca="false">IF(J46="","",ROUND(J46*(1+OHP),2))</f>
        <v/>
      </c>
      <c r="L46" s="85" t="str">
        <f aca="false">IF(K46="","",ROUND(K46*(1+VAT),2))</f>
        <v/>
      </c>
      <c r="M46" s="82"/>
      <c r="N46" s="81"/>
      <c r="O46" s="82"/>
      <c r="P46" s="86"/>
      <c r="Q46" s="81"/>
      <c r="R46" s="87"/>
    </row>
    <row r="47" customFormat="false" ht="15" hidden="false" customHeight="false" outlineLevel="0" collapsed="false">
      <c r="A47" s="80" t="str">
        <f aca="false">IF(C47="","","HW-"&amp;TEXT(ROW()-4,"000"))</f>
        <v/>
      </c>
      <c r="B47" s="81"/>
      <c r="C47" s="81"/>
      <c r="D47" s="81"/>
      <c r="E47" s="81"/>
      <c r="F47" s="81"/>
      <c r="G47" s="82"/>
      <c r="H47" s="83"/>
      <c r="I47" s="84"/>
      <c r="J47" s="85" t="str">
        <f aca="false">IF(H47="","",ROUND(H47*(1+I47),2))</f>
        <v/>
      </c>
      <c r="K47" s="85" t="str">
        <f aca="false">IF(J47="","",ROUND(J47*(1+OHP),2))</f>
        <v/>
      </c>
      <c r="L47" s="85" t="str">
        <f aca="false">IF(K47="","",ROUND(K47*(1+VAT),2))</f>
        <v/>
      </c>
      <c r="M47" s="82"/>
      <c r="N47" s="81"/>
      <c r="O47" s="82"/>
      <c r="P47" s="86"/>
      <c r="Q47" s="81"/>
      <c r="R47" s="87"/>
    </row>
    <row r="48" customFormat="false" ht="15" hidden="false" customHeight="false" outlineLevel="0" collapsed="false">
      <c r="A48" s="80" t="str">
        <f aca="false">IF(C48="","","HW-"&amp;TEXT(ROW()-4,"000"))</f>
        <v/>
      </c>
      <c r="B48" s="81"/>
      <c r="C48" s="81"/>
      <c r="D48" s="81"/>
      <c r="E48" s="81"/>
      <c r="F48" s="81"/>
      <c r="G48" s="82"/>
      <c r="H48" s="83"/>
      <c r="I48" s="84"/>
      <c r="J48" s="85" t="str">
        <f aca="false">IF(H48="","",ROUND(H48*(1+I48),2))</f>
        <v/>
      </c>
      <c r="K48" s="85" t="str">
        <f aca="false">IF(J48="","",ROUND(J48*(1+OHP),2))</f>
        <v/>
      </c>
      <c r="L48" s="85" t="str">
        <f aca="false">IF(K48="","",ROUND(K48*(1+VAT),2))</f>
        <v/>
      </c>
      <c r="M48" s="82"/>
      <c r="N48" s="81"/>
      <c r="O48" s="82"/>
      <c r="P48" s="86"/>
      <c r="Q48" s="81"/>
      <c r="R48" s="87"/>
    </row>
    <row r="49" customFormat="false" ht="15" hidden="false" customHeight="false" outlineLevel="0" collapsed="false">
      <c r="A49" s="80" t="str">
        <f aca="false">IF(C49="","","HW-"&amp;TEXT(ROW()-4,"000"))</f>
        <v/>
      </c>
      <c r="B49" s="81"/>
      <c r="C49" s="81"/>
      <c r="D49" s="81"/>
      <c r="E49" s="81"/>
      <c r="F49" s="81"/>
      <c r="G49" s="82"/>
      <c r="H49" s="83"/>
      <c r="I49" s="84"/>
      <c r="J49" s="85" t="str">
        <f aca="false">IF(H49="","",ROUND(H49*(1+I49),2))</f>
        <v/>
      </c>
      <c r="K49" s="85" t="str">
        <f aca="false">IF(J49="","",ROUND(J49*(1+OHP),2))</f>
        <v/>
      </c>
      <c r="L49" s="85" t="str">
        <f aca="false">IF(K49="","",ROUND(K49*(1+VAT),2))</f>
        <v/>
      </c>
      <c r="M49" s="82"/>
      <c r="N49" s="81"/>
      <c r="O49" s="82"/>
      <c r="P49" s="86"/>
      <c r="Q49" s="81"/>
      <c r="R49" s="87"/>
    </row>
    <row r="50" customFormat="false" ht="15" hidden="false" customHeight="false" outlineLevel="0" collapsed="false">
      <c r="A50" s="80" t="str">
        <f aca="false">IF(C50="","","HW-"&amp;TEXT(ROW()-4,"000"))</f>
        <v/>
      </c>
      <c r="B50" s="81"/>
      <c r="C50" s="81"/>
      <c r="D50" s="81"/>
      <c r="E50" s="81"/>
      <c r="F50" s="81"/>
      <c r="G50" s="82"/>
      <c r="H50" s="83"/>
      <c r="I50" s="84"/>
      <c r="J50" s="85" t="str">
        <f aca="false">IF(H50="","",ROUND(H50*(1+I50),2))</f>
        <v/>
      </c>
      <c r="K50" s="85" t="str">
        <f aca="false">IF(J50="","",ROUND(J50*(1+OHP),2))</f>
        <v/>
      </c>
      <c r="L50" s="85" t="str">
        <f aca="false">IF(K50="","",ROUND(K50*(1+VAT),2))</f>
        <v/>
      </c>
      <c r="M50" s="82"/>
      <c r="N50" s="81"/>
      <c r="O50" s="82"/>
      <c r="P50" s="86"/>
      <c r="Q50" s="81"/>
      <c r="R50" s="87"/>
    </row>
    <row r="51" customFormat="false" ht="15" hidden="false" customHeight="false" outlineLevel="0" collapsed="false">
      <c r="A51" s="80" t="str">
        <f aca="false">IF(C51="","","HW-"&amp;TEXT(ROW()-4,"000"))</f>
        <v/>
      </c>
      <c r="B51" s="81"/>
      <c r="C51" s="81"/>
      <c r="D51" s="81"/>
      <c r="E51" s="81"/>
      <c r="F51" s="81"/>
      <c r="G51" s="82"/>
      <c r="H51" s="83"/>
      <c r="I51" s="84"/>
      <c r="J51" s="85" t="str">
        <f aca="false">IF(H51="","",ROUND(H51*(1+I51),2))</f>
        <v/>
      </c>
      <c r="K51" s="85" t="str">
        <f aca="false">IF(J51="","",ROUND(J51*(1+OHP),2))</f>
        <v/>
      </c>
      <c r="L51" s="85" t="str">
        <f aca="false">IF(K51="","",ROUND(K51*(1+VAT),2))</f>
        <v/>
      </c>
      <c r="M51" s="82"/>
      <c r="N51" s="81"/>
      <c r="O51" s="82"/>
      <c r="P51" s="86"/>
      <c r="Q51" s="81"/>
      <c r="R51" s="87"/>
    </row>
    <row r="52" customFormat="false" ht="15" hidden="false" customHeight="false" outlineLevel="0" collapsed="false">
      <c r="A52" s="80" t="str">
        <f aca="false">IF(C52="","","HW-"&amp;TEXT(ROW()-4,"000"))</f>
        <v/>
      </c>
      <c r="B52" s="81"/>
      <c r="C52" s="81"/>
      <c r="D52" s="81"/>
      <c r="E52" s="81"/>
      <c r="F52" s="81"/>
      <c r="G52" s="82"/>
      <c r="H52" s="83"/>
      <c r="I52" s="84"/>
      <c r="J52" s="85" t="str">
        <f aca="false">IF(H52="","",ROUND(H52*(1+I52),2))</f>
        <v/>
      </c>
      <c r="K52" s="85" t="str">
        <f aca="false">IF(J52="","",ROUND(J52*(1+OHP),2))</f>
        <v/>
      </c>
      <c r="L52" s="85" t="str">
        <f aca="false">IF(K52="","",ROUND(K52*(1+VAT),2))</f>
        <v/>
      </c>
      <c r="M52" s="82"/>
      <c r="N52" s="81"/>
      <c r="O52" s="82"/>
      <c r="P52" s="86"/>
      <c r="Q52" s="81"/>
      <c r="R52" s="87"/>
    </row>
    <row r="53" customFormat="false" ht="15" hidden="false" customHeight="false" outlineLevel="0" collapsed="false">
      <c r="A53" s="80" t="str">
        <f aca="false">IF(C53="","","HW-"&amp;TEXT(ROW()-4,"000"))</f>
        <v/>
      </c>
      <c r="B53" s="81"/>
      <c r="C53" s="81"/>
      <c r="D53" s="81"/>
      <c r="E53" s="81"/>
      <c r="F53" s="81"/>
      <c r="G53" s="82"/>
      <c r="H53" s="83"/>
      <c r="I53" s="84"/>
      <c r="J53" s="85" t="str">
        <f aca="false">IF(H53="","",ROUND(H53*(1+I53),2))</f>
        <v/>
      </c>
      <c r="K53" s="85" t="str">
        <f aca="false">IF(J53="","",ROUND(J53*(1+OHP),2))</f>
        <v/>
      </c>
      <c r="L53" s="85" t="str">
        <f aca="false">IF(K53="","",ROUND(K53*(1+VAT),2))</f>
        <v/>
      </c>
      <c r="M53" s="82"/>
      <c r="N53" s="81"/>
      <c r="O53" s="82"/>
      <c r="P53" s="86"/>
      <c r="Q53" s="81"/>
      <c r="R53" s="87"/>
    </row>
    <row r="54" customFormat="false" ht="15" hidden="false" customHeight="false" outlineLevel="0" collapsed="false">
      <c r="A54" s="80" t="str">
        <f aca="false">IF(C54="","","HW-"&amp;TEXT(ROW()-4,"000"))</f>
        <v/>
      </c>
      <c r="B54" s="81"/>
      <c r="C54" s="81"/>
      <c r="D54" s="81"/>
      <c r="E54" s="81"/>
      <c r="F54" s="81"/>
      <c r="G54" s="82"/>
      <c r="H54" s="83"/>
      <c r="I54" s="84"/>
      <c r="J54" s="85" t="str">
        <f aca="false">IF(H54="","",ROUND(H54*(1+I54),2))</f>
        <v/>
      </c>
      <c r="K54" s="85" t="str">
        <f aca="false">IF(J54="","",ROUND(J54*(1+OHP),2))</f>
        <v/>
      </c>
      <c r="L54" s="85" t="str">
        <f aca="false">IF(K54="","",ROUND(K54*(1+VAT),2))</f>
        <v/>
      </c>
      <c r="M54" s="82"/>
      <c r="N54" s="81"/>
      <c r="O54" s="82"/>
      <c r="P54" s="86"/>
      <c r="Q54" s="81"/>
      <c r="R54" s="87"/>
    </row>
    <row r="55" customFormat="false" ht="15" hidden="false" customHeight="false" outlineLevel="0" collapsed="false">
      <c r="A55" s="80" t="str">
        <f aca="false">IF(C55="","","HW-"&amp;TEXT(ROW()-4,"000"))</f>
        <v/>
      </c>
      <c r="B55" s="81"/>
      <c r="C55" s="81"/>
      <c r="D55" s="81"/>
      <c r="E55" s="81"/>
      <c r="F55" s="81"/>
      <c r="G55" s="82"/>
      <c r="H55" s="83"/>
      <c r="I55" s="84"/>
      <c r="J55" s="85" t="str">
        <f aca="false">IF(H55="","",ROUND(H55*(1+I55),2))</f>
        <v/>
      </c>
      <c r="K55" s="85" t="str">
        <f aca="false">IF(J55="","",ROUND(J55*(1+OHP),2))</f>
        <v/>
      </c>
      <c r="L55" s="85" t="str">
        <f aca="false">IF(K55="","",ROUND(K55*(1+VAT),2))</f>
        <v/>
      </c>
      <c r="M55" s="82"/>
      <c r="N55" s="81"/>
      <c r="O55" s="82"/>
      <c r="P55" s="86"/>
      <c r="Q55" s="81"/>
      <c r="R55" s="87"/>
    </row>
    <row r="56" customFormat="false" ht="15" hidden="false" customHeight="false" outlineLevel="0" collapsed="false">
      <c r="A56" s="80" t="str">
        <f aca="false">IF(C56="","","HW-"&amp;TEXT(ROW()-4,"000"))</f>
        <v/>
      </c>
      <c r="B56" s="81"/>
      <c r="C56" s="81"/>
      <c r="D56" s="81"/>
      <c r="E56" s="81"/>
      <c r="F56" s="81"/>
      <c r="G56" s="82"/>
      <c r="H56" s="83"/>
      <c r="I56" s="84"/>
      <c r="J56" s="85" t="str">
        <f aca="false">IF(H56="","",ROUND(H56*(1+I56),2))</f>
        <v/>
      </c>
      <c r="K56" s="85" t="str">
        <f aca="false">IF(J56="","",ROUND(J56*(1+OHP),2))</f>
        <v/>
      </c>
      <c r="L56" s="85" t="str">
        <f aca="false">IF(K56="","",ROUND(K56*(1+VAT),2))</f>
        <v/>
      </c>
      <c r="M56" s="82"/>
      <c r="N56" s="81"/>
      <c r="O56" s="82"/>
      <c r="P56" s="86"/>
      <c r="Q56" s="81"/>
      <c r="R56" s="87"/>
    </row>
    <row r="57" customFormat="false" ht="15" hidden="false" customHeight="false" outlineLevel="0" collapsed="false">
      <c r="A57" s="80" t="str">
        <f aca="false">IF(C57="","","HW-"&amp;TEXT(ROW()-4,"000"))</f>
        <v/>
      </c>
      <c r="B57" s="81"/>
      <c r="C57" s="81"/>
      <c r="D57" s="81"/>
      <c r="E57" s="81"/>
      <c r="F57" s="81"/>
      <c r="G57" s="82"/>
      <c r="H57" s="83"/>
      <c r="I57" s="84"/>
      <c r="J57" s="85" t="str">
        <f aca="false">IF(H57="","",ROUND(H57*(1+I57),2))</f>
        <v/>
      </c>
      <c r="K57" s="85" t="str">
        <f aca="false">IF(J57="","",ROUND(J57*(1+OHP),2))</f>
        <v/>
      </c>
      <c r="L57" s="85" t="str">
        <f aca="false">IF(K57="","",ROUND(K57*(1+VAT),2))</f>
        <v/>
      </c>
      <c r="M57" s="82"/>
      <c r="N57" s="81"/>
      <c r="O57" s="82"/>
      <c r="P57" s="86"/>
      <c r="Q57" s="81"/>
      <c r="R57" s="87"/>
    </row>
  </sheetData>
  <autoFilter ref="A4:R57"/>
  <mergeCells count="2">
    <mergeCell ref="A1:R1"/>
    <mergeCell ref="A2:R2"/>
  </mergeCells>
  <conditionalFormatting sqref="A5:R57">
    <cfRule type="expression" priority="2" aboveAverage="0" equalAverage="0" bottom="0" percent="0" rank="0" text="" dxfId="1">
      <formula>AND($C5&lt;&gt;"",MOD(ROW(),2)=0,$M5&lt;&gt;"Obsolete")</formula>
    </cfRule>
    <cfRule type="expression" priority="3" aboveAverage="0" equalAverage="0" bottom="0" percent="0" rank="0" text="" dxfId="12">
      <formula>$M5="Obsolete"</formula>
    </cfRule>
  </conditionalFormatting>
  <conditionalFormatting sqref="M5:M57">
    <cfRule type="expression" priority="4" aboveAverage="0" equalAverage="0" bottom="0" percent="0" rank="0" text="" dxfId="13">
      <formula>$M5="Indicative"</formula>
    </cfRule>
    <cfRule type="expression" priority="5" aboveAverage="0" equalAverage="0" bottom="0" percent="0" rank="0" text="" dxfId="14">
      <formula>$M5="Quoted"</formula>
    </cfRule>
    <cfRule type="expression" priority="6" aboveAverage="0" equalAverage="0" bottom="0" percent="0" rank="0" text="" dxfId="15">
      <formula>$M5="Verified"</formula>
    </cfRule>
    <cfRule type="expression" priority="7" aboveAverage="0" equalAverage="0" bottom="0" percent="0" rank="0" text="" dxfId="16">
      <formula>$M5="Obsolete"</formula>
    </cfRule>
  </conditionalFormatting>
  <dataValidations count="2">
    <dataValidation allowBlank="true" error="Enter wastage as a percentage, e.g. 5%" errorStyle="stop" operator="between" showDropDown="false" showErrorMessage="false" showInputMessage="false" sqref="I5:I57" type="decimal">
      <formula1>0</formula1>
      <formula2>1</formula2>
    </dataValidation>
    <dataValidation allowBlank="true" errorStyle="stop" operator="between" showDropDown="false" showErrorMessage="false" showInputMessage="false" sqref="M5:M57" type="list">
      <formula1>"Indicative,Quoted,Verified,Obsolete"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&amp;L&amp;8Hardware - Doors Windows&amp;C&amp;8Page &amp;P of &amp;N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8CBAD"/>
    <pageSetUpPr fitToPage="true"/>
  </sheetPr>
  <dimension ref="A1:R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32"/>
    <col collapsed="false" customWidth="true" hidden="false" outlineLevel="0" max="5" min="5" style="0" width="20"/>
    <col collapsed="false" customWidth="true" hidden="false" outlineLevel="0" max="6" min="6" style="0" width="26"/>
    <col collapsed="false" customWidth="true" hidden="false" outlineLevel="0" max="7" min="7" style="0" width="7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1" min="10" style="0" width="13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20"/>
    <col collapsed="false" customWidth="true" hidden="false" outlineLevel="0" max="15" min="15" style="0" width="13"/>
    <col collapsed="false" customWidth="true" hidden="false" outlineLevel="0" max="16" min="16" style="0" width="12"/>
    <col collapsed="false" customWidth="true" hidden="false" outlineLevel="0" max="17" min="17" style="0" width="26"/>
    <col collapsed="false" customWidth="true" hidden="false" outlineLevel="0" max="18" min="18" style="0" width="34"/>
  </cols>
  <sheetData>
    <row r="1" customFormat="false" ht="30" hidden="false" customHeight="true" outlineLevel="0" collapsed="false">
      <c r="A1" s="65" t="s">
        <v>889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</row>
    <row r="2" customFormat="false" ht="15" hidden="false" customHeight="false" outlineLevel="0" collapsed="false">
      <c r="A2" s="92" t="s">
        <v>890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</row>
    <row r="3" customFormat="false" ht="15" hidden="false" customHeight="false" outlineLevel="0" collapsed="false">
      <c r="A3" s="7" t="str">
        <f aca="false">HYPERLINK("#Index!A1","&lt;&lt; Back to Index")</f>
        <v>&lt;&lt; Back to Index</v>
      </c>
      <c r="D3" s="67" t="s">
        <v>180</v>
      </c>
      <c r="E3" s="68" t="n">
        <f aca="false">COUNTA(C5:C49)</f>
        <v>30</v>
      </c>
      <c r="H3" s="69" t="s">
        <v>181</v>
      </c>
    </row>
    <row r="4" customFormat="false" ht="31.5" hidden="false" customHeight="true" outlineLevel="0" collapsed="false">
      <c r="A4" s="8" t="s">
        <v>110</v>
      </c>
      <c r="B4" s="8" t="s">
        <v>121</v>
      </c>
      <c r="C4" s="8" t="s">
        <v>111</v>
      </c>
      <c r="D4" s="8" t="s">
        <v>112</v>
      </c>
      <c r="E4" s="8" t="s">
        <v>113</v>
      </c>
      <c r="F4" s="8" t="s">
        <v>114</v>
      </c>
      <c r="G4" s="8" t="s">
        <v>115</v>
      </c>
      <c r="H4" s="8" t="s">
        <v>182</v>
      </c>
      <c r="I4" s="8" t="s">
        <v>183</v>
      </c>
      <c r="J4" s="8" t="s">
        <v>184</v>
      </c>
      <c r="K4" s="8" t="s">
        <v>185</v>
      </c>
      <c r="L4" s="8" t="s">
        <v>186</v>
      </c>
      <c r="M4" s="8" t="s">
        <v>119</v>
      </c>
      <c r="N4" s="8" t="s">
        <v>187</v>
      </c>
      <c r="O4" s="8" t="s">
        <v>188</v>
      </c>
      <c r="P4" s="8" t="s">
        <v>189</v>
      </c>
      <c r="Q4" s="8" t="s">
        <v>190</v>
      </c>
      <c r="R4" s="8" t="s">
        <v>191</v>
      </c>
    </row>
    <row r="5" customFormat="false" ht="23.85" hidden="false" customHeight="false" outlineLevel="0" collapsed="false">
      <c r="A5" s="70" t="s">
        <v>891</v>
      </c>
      <c r="B5" s="71" t="s">
        <v>892</v>
      </c>
      <c r="C5" s="72" t="s">
        <v>893</v>
      </c>
      <c r="D5" s="71" t="s">
        <v>894</v>
      </c>
      <c r="E5" s="71" t="s">
        <v>775</v>
      </c>
      <c r="F5" s="71" t="s">
        <v>895</v>
      </c>
      <c r="G5" s="73" t="s">
        <v>622</v>
      </c>
      <c r="H5" s="79" t="n">
        <v>220</v>
      </c>
      <c r="I5" s="75" t="n">
        <v>0</v>
      </c>
      <c r="J5" s="76" t="n">
        <f aca="false">IF(H5="","",ROUND(H5*(1+I5),2))</f>
        <v>220</v>
      </c>
      <c r="K5" s="76" t="n">
        <f aca="false">IF(J5="","",ROUND(J5*(1+OHP),2))</f>
        <v>264</v>
      </c>
      <c r="L5" s="76" t="n">
        <f aca="false">IF(K5="","",ROUND(K5*(1+VAT),2))</f>
        <v>277.2</v>
      </c>
      <c r="M5" s="73" t="s">
        <v>89</v>
      </c>
      <c r="N5" s="71"/>
      <c r="O5" s="73"/>
      <c r="P5" s="77"/>
      <c r="Q5" s="71"/>
      <c r="R5" s="78" t="s">
        <v>407</v>
      </c>
    </row>
    <row r="6" customFormat="false" ht="23.85" hidden="false" customHeight="false" outlineLevel="0" collapsed="false">
      <c r="A6" s="70" t="s">
        <v>896</v>
      </c>
      <c r="B6" s="71" t="s">
        <v>892</v>
      </c>
      <c r="C6" s="72" t="s">
        <v>897</v>
      </c>
      <c r="D6" s="71" t="s">
        <v>894</v>
      </c>
      <c r="E6" s="71" t="s">
        <v>775</v>
      </c>
      <c r="F6" s="71" t="s">
        <v>898</v>
      </c>
      <c r="G6" s="73" t="s">
        <v>622</v>
      </c>
      <c r="H6" s="79" t="n">
        <v>220</v>
      </c>
      <c r="I6" s="75" t="n">
        <v>0</v>
      </c>
      <c r="J6" s="76" t="n">
        <f aca="false">IF(H6="","",ROUND(H6*(1+I6),2))</f>
        <v>220</v>
      </c>
      <c r="K6" s="76" t="n">
        <f aca="false">IF(J6="","",ROUND(J6*(1+OHP),2))</f>
        <v>264</v>
      </c>
      <c r="L6" s="76" t="n">
        <f aca="false">IF(K6="","",ROUND(K6*(1+VAT),2))</f>
        <v>277.2</v>
      </c>
      <c r="M6" s="73" t="s">
        <v>89</v>
      </c>
      <c r="N6" s="71"/>
      <c r="O6" s="73"/>
      <c r="P6" s="77"/>
      <c r="Q6" s="71"/>
      <c r="R6" s="78" t="s">
        <v>407</v>
      </c>
    </row>
    <row r="7" customFormat="false" ht="23.85" hidden="false" customHeight="false" outlineLevel="0" collapsed="false">
      <c r="A7" s="70" t="s">
        <v>899</v>
      </c>
      <c r="B7" s="71" t="s">
        <v>892</v>
      </c>
      <c r="C7" s="72" t="s">
        <v>900</v>
      </c>
      <c r="D7" s="71" t="s">
        <v>894</v>
      </c>
      <c r="E7" s="71" t="s">
        <v>775</v>
      </c>
      <c r="F7" s="71" t="s">
        <v>901</v>
      </c>
      <c r="G7" s="73" t="s">
        <v>622</v>
      </c>
      <c r="H7" s="79" t="n">
        <v>260</v>
      </c>
      <c r="I7" s="75" t="n">
        <v>0</v>
      </c>
      <c r="J7" s="76" t="n">
        <f aca="false">IF(H7="","",ROUND(H7*(1+I7),2))</f>
        <v>260</v>
      </c>
      <c r="K7" s="76" t="n">
        <f aca="false">IF(J7="","",ROUND(J7*(1+OHP),2))</f>
        <v>312</v>
      </c>
      <c r="L7" s="76" t="n">
        <f aca="false">IF(K7="","",ROUND(K7*(1+VAT),2))</f>
        <v>327.6</v>
      </c>
      <c r="M7" s="73" t="s">
        <v>89</v>
      </c>
      <c r="N7" s="71"/>
      <c r="O7" s="73"/>
      <c r="P7" s="77"/>
      <c r="Q7" s="71"/>
      <c r="R7" s="78" t="s">
        <v>407</v>
      </c>
    </row>
    <row r="8" customFormat="false" ht="23.85" hidden="false" customHeight="false" outlineLevel="0" collapsed="false">
      <c r="A8" s="70" t="s">
        <v>902</v>
      </c>
      <c r="B8" s="71" t="s">
        <v>892</v>
      </c>
      <c r="C8" s="72" t="s">
        <v>903</v>
      </c>
      <c r="D8" s="71" t="s">
        <v>894</v>
      </c>
      <c r="E8" s="71" t="s">
        <v>775</v>
      </c>
      <c r="F8" s="71" t="s">
        <v>904</v>
      </c>
      <c r="G8" s="73" t="s">
        <v>738</v>
      </c>
      <c r="H8" s="79" t="n">
        <v>320</v>
      </c>
      <c r="I8" s="75" t="n">
        <v>0</v>
      </c>
      <c r="J8" s="76" t="n">
        <f aca="false">IF(H8="","",ROUND(H8*(1+I8),2))</f>
        <v>320</v>
      </c>
      <c r="K8" s="76" t="n">
        <f aca="false">IF(J8="","",ROUND(J8*(1+OHP),2))</f>
        <v>384</v>
      </c>
      <c r="L8" s="76" t="n">
        <f aca="false">IF(K8="","",ROUND(K8*(1+VAT),2))</f>
        <v>403.2</v>
      </c>
      <c r="M8" s="73" t="s">
        <v>89</v>
      </c>
      <c r="N8" s="71"/>
      <c r="O8" s="73"/>
      <c r="P8" s="77"/>
      <c r="Q8" s="71"/>
      <c r="R8" s="78" t="s">
        <v>407</v>
      </c>
    </row>
    <row r="9" customFormat="false" ht="23.85" hidden="false" customHeight="false" outlineLevel="0" collapsed="false">
      <c r="A9" s="70" t="s">
        <v>905</v>
      </c>
      <c r="B9" s="71" t="s">
        <v>892</v>
      </c>
      <c r="C9" s="72" t="s">
        <v>906</v>
      </c>
      <c r="D9" s="71" t="s">
        <v>907</v>
      </c>
      <c r="E9" s="71" t="s">
        <v>775</v>
      </c>
      <c r="F9" s="71" t="s">
        <v>756</v>
      </c>
      <c r="G9" s="73" t="s">
        <v>738</v>
      </c>
      <c r="H9" s="79" t="n">
        <v>180</v>
      </c>
      <c r="I9" s="75" t="n">
        <v>0</v>
      </c>
      <c r="J9" s="76" t="n">
        <f aca="false">IF(H9="","",ROUND(H9*(1+I9),2))</f>
        <v>180</v>
      </c>
      <c r="K9" s="76" t="n">
        <f aca="false">IF(J9="","",ROUND(J9*(1+OHP),2))</f>
        <v>216</v>
      </c>
      <c r="L9" s="76" t="n">
        <f aca="false">IF(K9="","",ROUND(K9*(1+VAT),2))</f>
        <v>226.8</v>
      </c>
      <c r="M9" s="73" t="s">
        <v>89</v>
      </c>
      <c r="N9" s="71"/>
      <c r="O9" s="73"/>
      <c r="P9" s="77"/>
      <c r="Q9" s="71"/>
      <c r="R9" s="78" t="s">
        <v>671</v>
      </c>
    </row>
    <row r="10" customFormat="false" ht="23.85" hidden="false" customHeight="false" outlineLevel="0" collapsed="false">
      <c r="A10" s="70" t="s">
        <v>908</v>
      </c>
      <c r="B10" s="71" t="s">
        <v>892</v>
      </c>
      <c r="C10" s="72" t="s">
        <v>909</v>
      </c>
      <c r="D10" s="71" t="s">
        <v>910</v>
      </c>
      <c r="E10" s="71" t="s">
        <v>775</v>
      </c>
      <c r="F10" s="71" t="s">
        <v>349</v>
      </c>
      <c r="G10" s="73" t="s">
        <v>622</v>
      </c>
      <c r="H10" s="79" t="n">
        <v>85</v>
      </c>
      <c r="I10" s="75" t="n">
        <v>0</v>
      </c>
      <c r="J10" s="76" t="n">
        <f aca="false">IF(H10="","",ROUND(H10*(1+I10),2))</f>
        <v>85</v>
      </c>
      <c r="K10" s="76" t="n">
        <f aca="false">IF(J10="","",ROUND(J10*(1+OHP),2))</f>
        <v>102</v>
      </c>
      <c r="L10" s="76" t="n">
        <f aca="false">IF(K10="","",ROUND(K10*(1+VAT),2))</f>
        <v>107.1</v>
      </c>
      <c r="M10" s="73" t="s">
        <v>89</v>
      </c>
      <c r="N10" s="71"/>
      <c r="O10" s="73"/>
      <c r="P10" s="77"/>
      <c r="Q10" s="71"/>
      <c r="R10" s="78" t="s">
        <v>671</v>
      </c>
    </row>
    <row r="11" customFormat="false" ht="15" hidden="false" customHeight="false" outlineLevel="0" collapsed="false">
      <c r="A11" s="70" t="s">
        <v>911</v>
      </c>
      <c r="B11" s="71" t="s">
        <v>912</v>
      </c>
      <c r="C11" s="72" t="s">
        <v>913</v>
      </c>
      <c r="D11" s="71" t="s">
        <v>914</v>
      </c>
      <c r="E11" s="71" t="s">
        <v>915</v>
      </c>
      <c r="F11" s="71" t="s">
        <v>756</v>
      </c>
      <c r="G11" s="73" t="s">
        <v>622</v>
      </c>
      <c r="H11" s="79" t="n">
        <v>85</v>
      </c>
      <c r="I11" s="75" t="n">
        <v>0</v>
      </c>
      <c r="J11" s="76" t="n">
        <f aca="false">IF(H11="","",ROUND(H11*(1+I11),2))</f>
        <v>85</v>
      </c>
      <c r="K11" s="76" t="n">
        <f aca="false">IF(J11="","",ROUND(J11*(1+OHP),2))</f>
        <v>102</v>
      </c>
      <c r="L11" s="76" t="n">
        <f aca="false">IF(K11="","",ROUND(K11*(1+VAT),2))</f>
        <v>107.1</v>
      </c>
      <c r="M11" s="73" t="s">
        <v>89</v>
      </c>
      <c r="N11" s="71"/>
      <c r="O11" s="73"/>
      <c r="P11" s="77"/>
      <c r="Q11" s="71"/>
      <c r="R11" s="78" t="s">
        <v>916</v>
      </c>
    </row>
    <row r="12" customFormat="false" ht="15" hidden="false" customHeight="false" outlineLevel="0" collapsed="false">
      <c r="A12" s="70" t="s">
        <v>917</v>
      </c>
      <c r="B12" s="71" t="s">
        <v>912</v>
      </c>
      <c r="C12" s="72" t="s">
        <v>918</v>
      </c>
      <c r="D12" s="71" t="s">
        <v>914</v>
      </c>
      <c r="E12" s="71" t="s">
        <v>915</v>
      </c>
      <c r="F12" s="71" t="s">
        <v>756</v>
      </c>
      <c r="G12" s="73" t="s">
        <v>622</v>
      </c>
      <c r="H12" s="79" t="n">
        <v>95</v>
      </c>
      <c r="I12" s="75" t="n">
        <v>0</v>
      </c>
      <c r="J12" s="76" t="n">
        <f aca="false">IF(H12="","",ROUND(H12*(1+I12),2))</f>
        <v>95</v>
      </c>
      <c r="K12" s="76" t="n">
        <f aca="false">IF(J12="","",ROUND(J12*(1+OHP),2))</f>
        <v>114</v>
      </c>
      <c r="L12" s="76" t="n">
        <f aca="false">IF(K12="","",ROUND(K12*(1+VAT),2))</f>
        <v>119.7</v>
      </c>
      <c r="M12" s="73" t="s">
        <v>89</v>
      </c>
      <c r="N12" s="71"/>
      <c r="O12" s="73"/>
      <c r="P12" s="77"/>
      <c r="Q12" s="71"/>
      <c r="R12" s="78" t="s">
        <v>916</v>
      </c>
    </row>
    <row r="13" customFormat="false" ht="15" hidden="false" customHeight="false" outlineLevel="0" collapsed="false">
      <c r="A13" s="70" t="s">
        <v>919</v>
      </c>
      <c r="B13" s="71" t="s">
        <v>912</v>
      </c>
      <c r="C13" s="72" t="s">
        <v>920</v>
      </c>
      <c r="D13" s="71" t="s">
        <v>914</v>
      </c>
      <c r="E13" s="71" t="s">
        <v>915</v>
      </c>
      <c r="F13" s="71" t="s">
        <v>756</v>
      </c>
      <c r="G13" s="73" t="s">
        <v>622</v>
      </c>
      <c r="H13" s="79" t="n">
        <v>95</v>
      </c>
      <c r="I13" s="75" t="n">
        <v>0</v>
      </c>
      <c r="J13" s="76" t="n">
        <f aca="false">IF(H13="","",ROUND(H13*(1+I13),2))</f>
        <v>95</v>
      </c>
      <c r="K13" s="76" t="n">
        <f aca="false">IF(J13="","",ROUND(J13*(1+OHP),2))</f>
        <v>114</v>
      </c>
      <c r="L13" s="76" t="n">
        <f aca="false">IF(K13="","",ROUND(K13*(1+VAT),2))</f>
        <v>119.7</v>
      </c>
      <c r="M13" s="73" t="s">
        <v>89</v>
      </c>
      <c r="N13" s="71"/>
      <c r="O13" s="73"/>
      <c r="P13" s="77"/>
      <c r="Q13" s="71"/>
      <c r="R13" s="78" t="s">
        <v>916</v>
      </c>
    </row>
    <row r="14" customFormat="false" ht="15" hidden="false" customHeight="false" outlineLevel="0" collapsed="false">
      <c r="A14" s="70" t="s">
        <v>921</v>
      </c>
      <c r="B14" s="71" t="s">
        <v>912</v>
      </c>
      <c r="C14" s="72" t="s">
        <v>922</v>
      </c>
      <c r="D14" s="71" t="s">
        <v>914</v>
      </c>
      <c r="E14" s="71" t="s">
        <v>923</v>
      </c>
      <c r="F14" s="71" t="s">
        <v>924</v>
      </c>
      <c r="G14" s="73" t="s">
        <v>622</v>
      </c>
      <c r="H14" s="79" t="n">
        <v>350</v>
      </c>
      <c r="I14" s="75" t="n">
        <v>0</v>
      </c>
      <c r="J14" s="76" t="n">
        <f aca="false">IF(H14="","",ROUND(H14*(1+I14),2))</f>
        <v>350</v>
      </c>
      <c r="K14" s="76" t="n">
        <f aca="false">IF(J14="","",ROUND(J14*(1+OHP),2))</f>
        <v>420</v>
      </c>
      <c r="L14" s="76" t="n">
        <f aca="false">IF(K14="","",ROUND(K14*(1+VAT),2))</f>
        <v>441</v>
      </c>
      <c r="M14" s="73" t="s">
        <v>89</v>
      </c>
      <c r="N14" s="71"/>
      <c r="O14" s="73"/>
      <c r="P14" s="77"/>
      <c r="Q14" s="71"/>
      <c r="R14" s="78" t="s">
        <v>925</v>
      </c>
    </row>
    <row r="15" customFormat="false" ht="15" hidden="false" customHeight="false" outlineLevel="0" collapsed="false">
      <c r="A15" s="70" t="s">
        <v>926</v>
      </c>
      <c r="B15" s="71" t="s">
        <v>912</v>
      </c>
      <c r="C15" s="72" t="s">
        <v>927</v>
      </c>
      <c r="D15" s="71" t="s">
        <v>928</v>
      </c>
      <c r="E15" s="71" t="s">
        <v>929</v>
      </c>
      <c r="F15" s="71" t="s">
        <v>217</v>
      </c>
      <c r="G15" s="73" t="s">
        <v>813</v>
      </c>
      <c r="H15" s="79" t="n">
        <v>60</v>
      </c>
      <c r="I15" s="75" t="n">
        <v>0</v>
      </c>
      <c r="J15" s="76" t="n">
        <f aca="false">IF(H15="","",ROUND(H15*(1+I15),2))</f>
        <v>60</v>
      </c>
      <c r="K15" s="76" t="n">
        <f aca="false">IF(J15="","",ROUND(J15*(1+OHP),2))</f>
        <v>72</v>
      </c>
      <c r="L15" s="76" t="n">
        <f aca="false">IF(K15="","",ROUND(K15*(1+VAT),2))</f>
        <v>75.6</v>
      </c>
      <c r="M15" s="73" t="s">
        <v>89</v>
      </c>
      <c r="N15" s="71"/>
      <c r="O15" s="73"/>
      <c r="P15" s="77"/>
      <c r="Q15" s="71"/>
      <c r="R15" s="78" t="s">
        <v>930</v>
      </c>
    </row>
    <row r="16" customFormat="false" ht="15" hidden="false" customHeight="false" outlineLevel="0" collapsed="false">
      <c r="A16" s="70" t="s">
        <v>931</v>
      </c>
      <c r="B16" s="71" t="s">
        <v>912</v>
      </c>
      <c r="C16" s="72" t="s">
        <v>932</v>
      </c>
      <c r="D16" s="71" t="s">
        <v>914</v>
      </c>
      <c r="E16" s="71" t="s">
        <v>933</v>
      </c>
      <c r="F16" s="71" t="s">
        <v>756</v>
      </c>
      <c r="G16" s="73" t="s">
        <v>622</v>
      </c>
      <c r="H16" s="79" t="n">
        <v>30</v>
      </c>
      <c r="I16" s="75" t="n">
        <v>0</v>
      </c>
      <c r="J16" s="76" t="n">
        <f aca="false">IF(H16="","",ROUND(H16*(1+I16),2))</f>
        <v>30</v>
      </c>
      <c r="K16" s="76" t="n">
        <f aca="false">IF(J16="","",ROUND(J16*(1+OHP),2))</f>
        <v>36</v>
      </c>
      <c r="L16" s="76" t="n">
        <f aca="false">IF(K16="","",ROUND(K16*(1+VAT),2))</f>
        <v>37.8</v>
      </c>
      <c r="M16" s="73" t="s">
        <v>89</v>
      </c>
      <c r="N16" s="71"/>
      <c r="O16" s="73"/>
      <c r="P16" s="77"/>
      <c r="Q16" s="71"/>
      <c r="R16" s="78" t="s">
        <v>925</v>
      </c>
    </row>
    <row r="17" customFormat="false" ht="15" hidden="false" customHeight="false" outlineLevel="0" collapsed="false">
      <c r="A17" s="70" t="s">
        <v>934</v>
      </c>
      <c r="B17" s="71" t="s">
        <v>912</v>
      </c>
      <c r="C17" s="72" t="s">
        <v>935</v>
      </c>
      <c r="D17" s="71" t="s">
        <v>914</v>
      </c>
      <c r="E17" s="71" t="s">
        <v>933</v>
      </c>
      <c r="F17" s="71" t="s">
        <v>756</v>
      </c>
      <c r="G17" s="73" t="s">
        <v>622</v>
      </c>
      <c r="H17" s="79" t="n">
        <v>35</v>
      </c>
      <c r="I17" s="75" t="n">
        <v>0</v>
      </c>
      <c r="J17" s="76" t="n">
        <f aca="false">IF(H17="","",ROUND(H17*(1+I17),2))</f>
        <v>35</v>
      </c>
      <c r="K17" s="76" t="n">
        <f aca="false">IF(J17="","",ROUND(J17*(1+OHP),2))</f>
        <v>42</v>
      </c>
      <c r="L17" s="76" t="n">
        <f aca="false">IF(K17="","",ROUND(K17*(1+VAT),2))</f>
        <v>44.1</v>
      </c>
      <c r="M17" s="73" t="s">
        <v>89</v>
      </c>
      <c r="N17" s="71"/>
      <c r="O17" s="73"/>
      <c r="P17" s="77"/>
      <c r="Q17" s="71"/>
      <c r="R17" s="78" t="s">
        <v>925</v>
      </c>
    </row>
    <row r="18" customFormat="false" ht="15" hidden="false" customHeight="false" outlineLevel="0" collapsed="false">
      <c r="A18" s="70" t="s">
        <v>936</v>
      </c>
      <c r="B18" s="71" t="s">
        <v>912</v>
      </c>
      <c r="C18" s="72" t="s">
        <v>937</v>
      </c>
      <c r="D18" s="71" t="s">
        <v>938</v>
      </c>
      <c r="E18" s="71" t="s">
        <v>933</v>
      </c>
      <c r="F18" s="71" t="s">
        <v>756</v>
      </c>
      <c r="G18" s="73" t="s">
        <v>738</v>
      </c>
      <c r="H18" s="79" t="n">
        <v>140</v>
      </c>
      <c r="I18" s="75" t="n">
        <v>0</v>
      </c>
      <c r="J18" s="76" t="n">
        <f aca="false">IF(H18="","",ROUND(H18*(1+I18),2))</f>
        <v>140</v>
      </c>
      <c r="K18" s="76" t="n">
        <f aca="false">IF(J18="","",ROUND(J18*(1+OHP),2))</f>
        <v>168</v>
      </c>
      <c r="L18" s="76" t="n">
        <f aca="false">IF(K18="","",ROUND(K18*(1+VAT),2))</f>
        <v>176.4</v>
      </c>
      <c r="M18" s="73" t="s">
        <v>89</v>
      </c>
      <c r="N18" s="71"/>
      <c r="O18" s="73"/>
      <c r="P18" s="77"/>
      <c r="Q18" s="71"/>
      <c r="R18" s="78" t="s">
        <v>939</v>
      </c>
    </row>
    <row r="19" customFormat="false" ht="15" hidden="false" customHeight="false" outlineLevel="0" collapsed="false">
      <c r="A19" s="70" t="s">
        <v>940</v>
      </c>
      <c r="B19" s="71" t="s">
        <v>912</v>
      </c>
      <c r="C19" s="72" t="s">
        <v>941</v>
      </c>
      <c r="D19" s="71" t="s">
        <v>942</v>
      </c>
      <c r="E19" s="71" t="s">
        <v>943</v>
      </c>
      <c r="F19" s="71" t="s">
        <v>756</v>
      </c>
      <c r="G19" s="73" t="s">
        <v>738</v>
      </c>
      <c r="H19" s="79" t="n">
        <v>450</v>
      </c>
      <c r="I19" s="75" t="n">
        <v>0</v>
      </c>
      <c r="J19" s="76" t="n">
        <f aca="false">IF(H19="","",ROUND(H19*(1+I19),2))</f>
        <v>450</v>
      </c>
      <c r="K19" s="76" t="n">
        <f aca="false">IF(J19="","",ROUND(J19*(1+OHP),2))</f>
        <v>540</v>
      </c>
      <c r="L19" s="76" t="n">
        <f aca="false">IF(K19="","",ROUND(K19*(1+VAT),2))</f>
        <v>567</v>
      </c>
      <c r="M19" s="73" t="s">
        <v>89</v>
      </c>
      <c r="N19" s="71"/>
      <c r="O19" s="73"/>
      <c r="P19" s="77"/>
      <c r="Q19" s="71"/>
      <c r="R19" s="78" t="s">
        <v>944</v>
      </c>
    </row>
    <row r="20" customFormat="false" ht="15" hidden="false" customHeight="false" outlineLevel="0" collapsed="false">
      <c r="A20" s="70" t="s">
        <v>945</v>
      </c>
      <c r="B20" s="71" t="s">
        <v>912</v>
      </c>
      <c r="C20" s="72" t="s">
        <v>946</v>
      </c>
      <c r="D20" s="71" t="s">
        <v>742</v>
      </c>
      <c r="E20" s="71" t="s">
        <v>393</v>
      </c>
      <c r="F20" s="71" t="s">
        <v>217</v>
      </c>
      <c r="G20" s="73" t="s">
        <v>218</v>
      </c>
      <c r="H20" s="79" t="n">
        <v>12</v>
      </c>
      <c r="I20" s="75" t="n">
        <v>0</v>
      </c>
      <c r="J20" s="76" t="n">
        <f aca="false">IF(H20="","",ROUND(H20*(1+I20),2))</f>
        <v>12</v>
      </c>
      <c r="K20" s="76" t="n">
        <f aca="false">IF(J20="","",ROUND(J20*(1+OHP),2))</f>
        <v>14.4</v>
      </c>
      <c r="L20" s="76" t="n">
        <f aca="false">IF(K20="","",ROUND(K20*(1+VAT),2))</f>
        <v>15.12</v>
      </c>
      <c r="M20" s="73" t="s">
        <v>89</v>
      </c>
      <c r="N20" s="71"/>
      <c r="O20" s="73"/>
      <c r="P20" s="77"/>
      <c r="Q20" s="71"/>
      <c r="R20" s="78" t="s">
        <v>947</v>
      </c>
    </row>
    <row r="21" customFormat="false" ht="15" hidden="false" customHeight="false" outlineLevel="0" collapsed="false">
      <c r="A21" s="70" t="s">
        <v>948</v>
      </c>
      <c r="B21" s="71" t="s">
        <v>912</v>
      </c>
      <c r="C21" s="72" t="s">
        <v>949</v>
      </c>
      <c r="D21" s="71" t="s">
        <v>742</v>
      </c>
      <c r="E21" s="71" t="s">
        <v>393</v>
      </c>
      <c r="F21" s="71" t="s">
        <v>217</v>
      </c>
      <c r="G21" s="73" t="s">
        <v>218</v>
      </c>
      <c r="H21" s="79" t="n">
        <v>22</v>
      </c>
      <c r="I21" s="75" t="n">
        <v>0</v>
      </c>
      <c r="J21" s="76" t="n">
        <f aca="false">IF(H21="","",ROUND(H21*(1+I21),2))</f>
        <v>22</v>
      </c>
      <c r="K21" s="76" t="n">
        <f aca="false">IF(J21="","",ROUND(J21*(1+OHP),2))</f>
        <v>26.4</v>
      </c>
      <c r="L21" s="76" t="n">
        <f aca="false">IF(K21="","",ROUND(K21*(1+VAT),2))</f>
        <v>27.72</v>
      </c>
      <c r="M21" s="73" t="s">
        <v>89</v>
      </c>
      <c r="N21" s="71"/>
      <c r="O21" s="73"/>
      <c r="P21" s="77"/>
      <c r="Q21" s="71"/>
      <c r="R21" s="78" t="s">
        <v>947</v>
      </c>
    </row>
    <row r="22" customFormat="false" ht="15" hidden="false" customHeight="false" outlineLevel="0" collapsed="false">
      <c r="A22" s="70" t="s">
        <v>950</v>
      </c>
      <c r="B22" s="71" t="s">
        <v>951</v>
      </c>
      <c r="C22" s="72" t="s">
        <v>952</v>
      </c>
      <c r="D22" s="71" t="s">
        <v>953</v>
      </c>
      <c r="E22" s="71" t="s">
        <v>743</v>
      </c>
      <c r="F22" s="71" t="s">
        <v>954</v>
      </c>
      <c r="G22" s="73" t="s">
        <v>738</v>
      </c>
      <c r="H22" s="79" t="n">
        <v>1800</v>
      </c>
      <c r="I22" s="75" t="n">
        <v>0</v>
      </c>
      <c r="J22" s="76" t="n">
        <f aca="false">IF(H22="","",ROUND(H22*(1+I22),2))</f>
        <v>1800</v>
      </c>
      <c r="K22" s="76" t="n">
        <f aca="false">IF(J22="","",ROUND(J22*(1+OHP),2))</f>
        <v>2160</v>
      </c>
      <c r="L22" s="76" t="n">
        <f aca="false">IF(K22="","",ROUND(K22*(1+VAT),2))</f>
        <v>2268</v>
      </c>
      <c r="M22" s="73" t="s">
        <v>89</v>
      </c>
      <c r="N22" s="71"/>
      <c r="O22" s="73"/>
      <c r="P22" s="77"/>
      <c r="Q22" s="71"/>
      <c r="R22" s="78" t="s">
        <v>671</v>
      </c>
    </row>
    <row r="23" customFormat="false" ht="15" hidden="false" customHeight="false" outlineLevel="0" collapsed="false">
      <c r="A23" s="70" t="s">
        <v>955</v>
      </c>
      <c r="B23" s="71" t="s">
        <v>951</v>
      </c>
      <c r="C23" s="72" t="s">
        <v>952</v>
      </c>
      <c r="D23" s="71" t="s">
        <v>953</v>
      </c>
      <c r="E23" s="71" t="s">
        <v>743</v>
      </c>
      <c r="F23" s="71" t="s">
        <v>756</v>
      </c>
      <c r="G23" s="73" t="s">
        <v>738</v>
      </c>
      <c r="H23" s="79" t="n">
        <v>650</v>
      </c>
      <c r="I23" s="75" t="n">
        <v>0</v>
      </c>
      <c r="J23" s="76" t="n">
        <f aca="false">IF(H23="","",ROUND(H23*(1+I23),2))</f>
        <v>650</v>
      </c>
      <c r="K23" s="76" t="n">
        <f aca="false">IF(J23="","",ROUND(J23*(1+OHP),2))</f>
        <v>780</v>
      </c>
      <c r="L23" s="76" t="n">
        <f aca="false">IF(K23="","",ROUND(K23*(1+VAT),2))</f>
        <v>819</v>
      </c>
      <c r="M23" s="73" t="s">
        <v>89</v>
      </c>
      <c r="N23" s="71"/>
      <c r="O23" s="73"/>
      <c r="P23" s="77"/>
      <c r="Q23" s="71"/>
      <c r="R23" s="78" t="s">
        <v>671</v>
      </c>
    </row>
    <row r="24" customFormat="false" ht="15" hidden="false" customHeight="false" outlineLevel="0" collapsed="false">
      <c r="A24" s="70" t="s">
        <v>956</v>
      </c>
      <c r="B24" s="71" t="s">
        <v>951</v>
      </c>
      <c r="C24" s="72" t="s">
        <v>957</v>
      </c>
      <c r="D24" s="71" t="s">
        <v>958</v>
      </c>
      <c r="E24" s="71" t="s">
        <v>457</v>
      </c>
      <c r="F24" s="71" t="s">
        <v>453</v>
      </c>
      <c r="G24" s="73" t="s">
        <v>622</v>
      </c>
      <c r="H24" s="79" t="n">
        <v>120</v>
      </c>
      <c r="I24" s="75" t="n">
        <v>0</v>
      </c>
      <c r="J24" s="76" t="n">
        <f aca="false">IF(H24="","",ROUND(H24*(1+I24),2))</f>
        <v>120</v>
      </c>
      <c r="K24" s="76" t="n">
        <f aca="false">IF(J24="","",ROUND(J24*(1+OHP),2))</f>
        <v>144</v>
      </c>
      <c r="L24" s="76" t="n">
        <f aca="false">IF(K24="","",ROUND(K24*(1+VAT),2))</f>
        <v>151.2</v>
      </c>
      <c r="M24" s="73" t="s">
        <v>89</v>
      </c>
      <c r="N24" s="71"/>
      <c r="O24" s="73"/>
      <c r="P24" s="77"/>
      <c r="Q24" s="71"/>
      <c r="R24" s="78"/>
    </row>
    <row r="25" customFormat="false" ht="15" hidden="false" customHeight="false" outlineLevel="0" collapsed="false">
      <c r="A25" s="70" t="s">
        <v>959</v>
      </c>
      <c r="B25" s="71" t="s">
        <v>951</v>
      </c>
      <c r="C25" s="72" t="s">
        <v>960</v>
      </c>
      <c r="D25" s="71" t="s">
        <v>457</v>
      </c>
      <c r="E25" s="71" t="s">
        <v>55</v>
      </c>
      <c r="F25" s="71" t="s">
        <v>217</v>
      </c>
      <c r="G25" s="73" t="s">
        <v>622</v>
      </c>
      <c r="H25" s="79" t="n">
        <v>25</v>
      </c>
      <c r="I25" s="75" t="n">
        <v>0</v>
      </c>
      <c r="J25" s="76" t="n">
        <f aca="false">IF(H25="","",ROUND(H25*(1+I25),2))</f>
        <v>25</v>
      </c>
      <c r="K25" s="76" t="n">
        <f aca="false">IF(J25="","",ROUND(J25*(1+OHP),2))</f>
        <v>30</v>
      </c>
      <c r="L25" s="76" t="n">
        <f aca="false">IF(K25="","",ROUND(K25*(1+VAT),2))</f>
        <v>31.5</v>
      </c>
      <c r="M25" s="73" t="s">
        <v>89</v>
      </c>
      <c r="N25" s="71"/>
      <c r="O25" s="73"/>
      <c r="P25" s="77"/>
      <c r="Q25" s="71"/>
      <c r="R25" s="78" t="s">
        <v>671</v>
      </c>
    </row>
    <row r="26" customFormat="false" ht="15" hidden="false" customHeight="false" outlineLevel="0" collapsed="false">
      <c r="A26" s="70" t="s">
        <v>961</v>
      </c>
      <c r="B26" s="71" t="s">
        <v>951</v>
      </c>
      <c r="C26" s="72" t="s">
        <v>962</v>
      </c>
      <c r="D26" s="71" t="s">
        <v>963</v>
      </c>
      <c r="E26" s="71" t="s">
        <v>55</v>
      </c>
      <c r="F26" s="71" t="s">
        <v>964</v>
      </c>
      <c r="G26" s="73" t="s">
        <v>965</v>
      </c>
      <c r="H26" s="79" t="n">
        <v>1600</v>
      </c>
      <c r="I26" s="75" t="n">
        <v>0</v>
      </c>
      <c r="J26" s="76" t="n">
        <f aca="false">IF(H26="","",ROUND(H26*(1+I26),2))</f>
        <v>1600</v>
      </c>
      <c r="K26" s="76" t="n">
        <f aca="false">IF(J26="","",ROUND(J26*(1+OHP),2))</f>
        <v>1920</v>
      </c>
      <c r="L26" s="76" t="n">
        <f aca="false">IF(K26="","",ROUND(K26*(1+VAT),2))</f>
        <v>2016</v>
      </c>
      <c r="M26" s="73" t="s">
        <v>89</v>
      </c>
      <c r="N26" s="71"/>
      <c r="O26" s="73"/>
      <c r="P26" s="77"/>
      <c r="Q26" s="71"/>
      <c r="R26" s="78" t="s">
        <v>671</v>
      </c>
    </row>
    <row r="27" customFormat="false" ht="15" hidden="false" customHeight="false" outlineLevel="0" collapsed="false">
      <c r="A27" s="70" t="s">
        <v>966</v>
      </c>
      <c r="B27" s="71" t="s">
        <v>951</v>
      </c>
      <c r="C27" s="72" t="s">
        <v>967</v>
      </c>
      <c r="D27" s="71" t="s">
        <v>796</v>
      </c>
      <c r="E27" s="71" t="s">
        <v>775</v>
      </c>
      <c r="F27" s="71" t="s">
        <v>349</v>
      </c>
      <c r="G27" s="73" t="s">
        <v>622</v>
      </c>
      <c r="H27" s="79" t="n">
        <v>120</v>
      </c>
      <c r="I27" s="75" t="n">
        <v>0</v>
      </c>
      <c r="J27" s="76" t="n">
        <f aca="false">IF(H27="","",ROUND(H27*(1+I27),2))</f>
        <v>120</v>
      </c>
      <c r="K27" s="76" t="n">
        <f aca="false">IF(J27="","",ROUND(J27*(1+OHP),2))</f>
        <v>144</v>
      </c>
      <c r="L27" s="76" t="n">
        <f aca="false">IF(K27="","",ROUND(K27*(1+VAT),2))</f>
        <v>151.2</v>
      </c>
      <c r="M27" s="73" t="s">
        <v>89</v>
      </c>
      <c r="N27" s="71"/>
      <c r="O27" s="73"/>
      <c r="P27" s="77"/>
      <c r="Q27" s="71"/>
      <c r="R27" s="78" t="s">
        <v>671</v>
      </c>
    </row>
    <row r="28" customFormat="false" ht="15" hidden="false" customHeight="false" outlineLevel="0" collapsed="false">
      <c r="A28" s="70" t="s">
        <v>968</v>
      </c>
      <c r="B28" s="71" t="s">
        <v>969</v>
      </c>
      <c r="C28" s="72" t="s">
        <v>970</v>
      </c>
      <c r="D28" s="71" t="s">
        <v>971</v>
      </c>
      <c r="E28" s="71" t="s">
        <v>820</v>
      </c>
      <c r="F28" s="71" t="s">
        <v>453</v>
      </c>
      <c r="G28" s="73" t="s">
        <v>622</v>
      </c>
      <c r="H28" s="79" t="n">
        <v>280</v>
      </c>
      <c r="I28" s="75" t="n">
        <v>0</v>
      </c>
      <c r="J28" s="76" t="n">
        <f aca="false">IF(H28="","",ROUND(H28*(1+I28),2))</f>
        <v>280</v>
      </c>
      <c r="K28" s="76" t="n">
        <f aca="false">IF(J28="","",ROUND(J28*(1+OHP),2))</f>
        <v>336</v>
      </c>
      <c r="L28" s="76" t="n">
        <f aca="false">IF(K28="","",ROUND(K28*(1+VAT),2))</f>
        <v>352.8</v>
      </c>
      <c r="M28" s="73" t="s">
        <v>89</v>
      </c>
      <c r="N28" s="71"/>
      <c r="O28" s="73"/>
      <c r="P28" s="77"/>
      <c r="Q28" s="71"/>
      <c r="R28" s="78" t="s">
        <v>972</v>
      </c>
    </row>
    <row r="29" customFormat="false" ht="15" hidden="false" customHeight="false" outlineLevel="0" collapsed="false">
      <c r="A29" s="70" t="s">
        <v>973</v>
      </c>
      <c r="B29" s="71" t="s">
        <v>969</v>
      </c>
      <c r="C29" s="72" t="s">
        <v>974</v>
      </c>
      <c r="D29" s="71" t="s">
        <v>853</v>
      </c>
      <c r="E29" s="71" t="s">
        <v>820</v>
      </c>
      <c r="F29" s="71" t="s">
        <v>453</v>
      </c>
      <c r="G29" s="73" t="s">
        <v>622</v>
      </c>
      <c r="H29" s="79" t="n">
        <v>190</v>
      </c>
      <c r="I29" s="75" t="n">
        <v>0</v>
      </c>
      <c r="J29" s="76" t="n">
        <f aca="false">IF(H29="","",ROUND(H29*(1+I29),2))</f>
        <v>190</v>
      </c>
      <c r="K29" s="76" t="n">
        <f aca="false">IF(J29="","",ROUND(J29*(1+OHP),2))</f>
        <v>228</v>
      </c>
      <c r="L29" s="76" t="n">
        <f aca="false">IF(K29="","",ROUND(K29*(1+VAT),2))</f>
        <v>239.4</v>
      </c>
      <c r="M29" s="73" t="s">
        <v>89</v>
      </c>
      <c r="N29" s="71"/>
      <c r="O29" s="73"/>
      <c r="P29" s="77"/>
      <c r="Q29" s="71"/>
      <c r="R29" s="78" t="s">
        <v>975</v>
      </c>
    </row>
    <row r="30" customFormat="false" ht="15" hidden="false" customHeight="false" outlineLevel="0" collapsed="false">
      <c r="A30" s="70" t="s">
        <v>976</v>
      </c>
      <c r="B30" s="71" t="s">
        <v>969</v>
      </c>
      <c r="C30" s="72" t="s">
        <v>977</v>
      </c>
      <c r="D30" s="71" t="s">
        <v>853</v>
      </c>
      <c r="E30" s="71" t="s">
        <v>820</v>
      </c>
      <c r="F30" s="71" t="s">
        <v>453</v>
      </c>
      <c r="G30" s="73" t="s">
        <v>622</v>
      </c>
      <c r="H30" s="79" t="n">
        <v>140</v>
      </c>
      <c r="I30" s="75" t="n">
        <v>0</v>
      </c>
      <c r="J30" s="76" t="n">
        <f aca="false">IF(H30="","",ROUND(H30*(1+I30),2))</f>
        <v>140</v>
      </c>
      <c r="K30" s="76" t="n">
        <f aca="false">IF(J30="","",ROUND(J30*(1+OHP),2))</f>
        <v>168</v>
      </c>
      <c r="L30" s="76" t="n">
        <f aca="false">IF(K30="","",ROUND(K30*(1+VAT),2))</f>
        <v>176.4</v>
      </c>
      <c r="M30" s="73" t="s">
        <v>89</v>
      </c>
      <c r="N30" s="71"/>
      <c r="O30" s="73"/>
      <c r="P30" s="77"/>
      <c r="Q30" s="71"/>
      <c r="R30" s="78" t="s">
        <v>975</v>
      </c>
    </row>
    <row r="31" customFormat="false" ht="19.4" hidden="false" customHeight="false" outlineLevel="0" collapsed="false">
      <c r="A31" s="70" t="s">
        <v>978</v>
      </c>
      <c r="B31" s="71" t="s">
        <v>969</v>
      </c>
      <c r="C31" s="72" t="s">
        <v>979</v>
      </c>
      <c r="D31" s="71" t="s">
        <v>980</v>
      </c>
      <c r="E31" s="71" t="s">
        <v>853</v>
      </c>
      <c r="F31" s="71" t="s">
        <v>453</v>
      </c>
      <c r="G31" s="73" t="s">
        <v>622</v>
      </c>
      <c r="H31" s="79" t="n">
        <v>120</v>
      </c>
      <c r="I31" s="75" t="n">
        <v>0</v>
      </c>
      <c r="J31" s="76" t="n">
        <f aca="false">IF(H31="","",ROUND(H31*(1+I31),2))</f>
        <v>120</v>
      </c>
      <c r="K31" s="76" t="n">
        <f aca="false">IF(J31="","",ROUND(J31*(1+OHP),2))</f>
        <v>144</v>
      </c>
      <c r="L31" s="76" t="n">
        <f aca="false">IF(K31="","",ROUND(K31*(1+VAT),2))</f>
        <v>151.2</v>
      </c>
      <c r="M31" s="73" t="s">
        <v>89</v>
      </c>
      <c r="N31" s="71"/>
      <c r="O31" s="73"/>
      <c r="P31" s="77"/>
      <c r="Q31" s="71"/>
      <c r="R31" s="78" t="s">
        <v>981</v>
      </c>
    </row>
    <row r="32" customFormat="false" ht="15" hidden="false" customHeight="false" outlineLevel="0" collapsed="false">
      <c r="A32" s="70" t="s">
        <v>982</v>
      </c>
      <c r="B32" s="71" t="s">
        <v>969</v>
      </c>
      <c r="C32" s="72" t="s">
        <v>983</v>
      </c>
      <c r="D32" s="71" t="s">
        <v>853</v>
      </c>
      <c r="E32" s="71" t="s">
        <v>853</v>
      </c>
      <c r="F32" s="71" t="s">
        <v>453</v>
      </c>
      <c r="G32" s="73" t="s">
        <v>622</v>
      </c>
      <c r="H32" s="79" t="n">
        <v>220</v>
      </c>
      <c r="I32" s="75" t="n">
        <v>0</v>
      </c>
      <c r="J32" s="76" t="n">
        <f aca="false">IF(H32="","",ROUND(H32*(1+I32),2))</f>
        <v>220</v>
      </c>
      <c r="K32" s="76" t="n">
        <f aca="false">IF(J32="","",ROUND(J32*(1+OHP),2))</f>
        <v>264</v>
      </c>
      <c r="L32" s="76" t="n">
        <f aca="false">IF(K32="","",ROUND(K32*(1+VAT),2))</f>
        <v>277.2</v>
      </c>
      <c r="M32" s="73" t="s">
        <v>89</v>
      </c>
      <c r="N32" s="71"/>
      <c r="O32" s="73"/>
      <c r="P32" s="77"/>
      <c r="Q32" s="71"/>
      <c r="R32" s="78" t="s">
        <v>975</v>
      </c>
    </row>
    <row r="33" customFormat="false" ht="15" hidden="false" customHeight="false" outlineLevel="0" collapsed="false">
      <c r="A33" s="70" t="s">
        <v>984</v>
      </c>
      <c r="B33" s="71" t="s">
        <v>969</v>
      </c>
      <c r="C33" s="72" t="s">
        <v>985</v>
      </c>
      <c r="D33" s="71" t="s">
        <v>986</v>
      </c>
      <c r="E33" s="71" t="s">
        <v>853</v>
      </c>
      <c r="F33" s="71" t="s">
        <v>453</v>
      </c>
      <c r="G33" s="73" t="s">
        <v>738</v>
      </c>
      <c r="H33" s="79" t="n">
        <v>650</v>
      </c>
      <c r="I33" s="75" t="n">
        <v>0</v>
      </c>
      <c r="J33" s="76" t="n">
        <f aca="false">IF(H33="","",ROUND(H33*(1+I33),2))</f>
        <v>650</v>
      </c>
      <c r="K33" s="76" t="n">
        <f aca="false">IF(J33="","",ROUND(J33*(1+OHP),2))</f>
        <v>780</v>
      </c>
      <c r="L33" s="76" t="n">
        <f aca="false">IF(K33="","",ROUND(K33*(1+VAT),2))</f>
        <v>819</v>
      </c>
      <c r="M33" s="73" t="s">
        <v>89</v>
      </c>
      <c r="N33" s="71"/>
      <c r="O33" s="73"/>
      <c r="P33" s="77"/>
      <c r="Q33" s="71"/>
      <c r="R33" s="78" t="s">
        <v>987</v>
      </c>
    </row>
    <row r="34" customFormat="false" ht="15" hidden="false" customHeight="false" outlineLevel="0" collapsed="false">
      <c r="A34" s="70" t="s">
        <v>988</v>
      </c>
      <c r="B34" s="71" t="s">
        <v>969</v>
      </c>
      <c r="C34" s="72" t="s">
        <v>989</v>
      </c>
      <c r="D34" s="71" t="s">
        <v>853</v>
      </c>
      <c r="E34" s="71" t="s">
        <v>853</v>
      </c>
      <c r="F34" s="71" t="s">
        <v>453</v>
      </c>
      <c r="G34" s="73" t="s">
        <v>622</v>
      </c>
      <c r="H34" s="79" t="n">
        <v>180</v>
      </c>
      <c r="I34" s="75" t="n">
        <v>0</v>
      </c>
      <c r="J34" s="76" t="n">
        <f aca="false">IF(H34="","",ROUND(H34*(1+I34),2))</f>
        <v>180</v>
      </c>
      <c r="K34" s="76" t="n">
        <f aca="false">IF(J34="","",ROUND(J34*(1+OHP),2))</f>
        <v>216</v>
      </c>
      <c r="L34" s="76" t="n">
        <f aca="false">IF(K34="","",ROUND(K34*(1+VAT),2))</f>
        <v>226.8</v>
      </c>
      <c r="M34" s="73" t="s">
        <v>89</v>
      </c>
      <c r="N34" s="71"/>
      <c r="O34" s="73"/>
      <c r="P34" s="77"/>
      <c r="Q34" s="71"/>
      <c r="R34" s="78" t="s">
        <v>987</v>
      </c>
    </row>
    <row r="35" customFormat="false" ht="15" hidden="false" customHeight="false" outlineLevel="0" collapsed="false">
      <c r="A35" s="80" t="str">
        <f aca="false">IF(C35="","","GF-"&amp;TEXT(ROW()-4,"000"))</f>
        <v/>
      </c>
      <c r="B35" s="81"/>
      <c r="C35" s="81"/>
      <c r="D35" s="81"/>
      <c r="E35" s="81"/>
      <c r="F35" s="81"/>
      <c r="G35" s="82"/>
      <c r="H35" s="83"/>
      <c r="I35" s="84"/>
      <c r="J35" s="85" t="str">
        <f aca="false">IF(H35="","",ROUND(H35*(1+I35),2))</f>
        <v/>
      </c>
      <c r="K35" s="85" t="str">
        <f aca="false">IF(J35="","",ROUND(J35*(1+OHP),2))</f>
        <v/>
      </c>
      <c r="L35" s="85" t="str">
        <f aca="false">IF(K35="","",ROUND(K35*(1+VAT),2))</f>
        <v/>
      </c>
      <c r="M35" s="82"/>
      <c r="N35" s="81"/>
      <c r="O35" s="82"/>
      <c r="P35" s="86"/>
      <c r="Q35" s="81"/>
      <c r="R35" s="87"/>
    </row>
    <row r="36" customFormat="false" ht="15" hidden="false" customHeight="false" outlineLevel="0" collapsed="false">
      <c r="A36" s="80" t="str">
        <f aca="false">IF(C36="","","GF-"&amp;TEXT(ROW()-4,"000"))</f>
        <v/>
      </c>
      <c r="B36" s="81"/>
      <c r="C36" s="81"/>
      <c r="D36" s="81"/>
      <c r="E36" s="81"/>
      <c r="F36" s="81"/>
      <c r="G36" s="82"/>
      <c r="H36" s="83"/>
      <c r="I36" s="84"/>
      <c r="J36" s="85" t="str">
        <f aca="false">IF(H36="","",ROUND(H36*(1+I36),2))</f>
        <v/>
      </c>
      <c r="K36" s="85" t="str">
        <f aca="false">IF(J36="","",ROUND(J36*(1+OHP),2))</f>
        <v/>
      </c>
      <c r="L36" s="85" t="str">
        <f aca="false">IF(K36="","",ROUND(K36*(1+VAT),2))</f>
        <v/>
      </c>
      <c r="M36" s="82"/>
      <c r="N36" s="81"/>
      <c r="O36" s="82"/>
      <c r="P36" s="86"/>
      <c r="Q36" s="81"/>
      <c r="R36" s="87"/>
    </row>
    <row r="37" customFormat="false" ht="15" hidden="false" customHeight="false" outlineLevel="0" collapsed="false">
      <c r="A37" s="80" t="str">
        <f aca="false">IF(C37="","","GF-"&amp;TEXT(ROW()-4,"000"))</f>
        <v/>
      </c>
      <c r="B37" s="81"/>
      <c r="C37" s="81"/>
      <c r="D37" s="81"/>
      <c r="E37" s="81"/>
      <c r="F37" s="81"/>
      <c r="G37" s="82"/>
      <c r="H37" s="83"/>
      <c r="I37" s="84"/>
      <c r="J37" s="85" t="str">
        <f aca="false">IF(H37="","",ROUND(H37*(1+I37),2))</f>
        <v/>
      </c>
      <c r="K37" s="85" t="str">
        <f aca="false">IF(J37="","",ROUND(J37*(1+OHP),2))</f>
        <v/>
      </c>
      <c r="L37" s="85" t="str">
        <f aca="false">IF(K37="","",ROUND(K37*(1+VAT),2))</f>
        <v/>
      </c>
      <c r="M37" s="82"/>
      <c r="N37" s="81"/>
      <c r="O37" s="82"/>
      <c r="P37" s="86"/>
      <c r="Q37" s="81"/>
      <c r="R37" s="87"/>
    </row>
    <row r="38" customFormat="false" ht="15" hidden="false" customHeight="false" outlineLevel="0" collapsed="false">
      <c r="A38" s="80" t="str">
        <f aca="false">IF(C38="","","GF-"&amp;TEXT(ROW()-4,"000"))</f>
        <v/>
      </c>
      <c r="B38" s="81"/>
      <c r="C38" s="81"/>
      <c r="D38" s="81"/>
      <c r="E38" s="81"/>
      <c r="F38" s="81"/>
      <c r="G38" s="82"/>
      <c r="H38" s="83"/>
      <c r="I38" s="84"/>
      <c r="J38" s="85" t="str">
        <f aca="false">IF(H38="","",ROUND(H38*(1+I38),2))</f>
        <v/>
      </c>
      <c r="K38" s="85" t="str">
        <f aca="false">IF(J38="","",ROUND(J38*(1+OHP),2))</f>
        <v/>
      </c>
      <c r="L38" s="85" t="str">
        <f aca="false">IF(K38="","",ROUND(K38*(1+VAT),2))</f>
        <v/>
      </c>
      <c r="M38" s="82"/>
      <c r="N38" s="81"/>
      <c r="O38" s="82"/>
      <c r="P38" s="86"/>
      <c r="Q38" s="81"/>
      <c r="R38" s="87"/>
    </row>
    <row r="39" customFormat="false" ht="15" hidden="false" customHeight="false" outlineLevel="0" collapsed="false">
      <c r="A39" s="80" t="str">
        <f aca="false">IF(C39="","","GF-"&amp;TEXT(ROW()-4,"000"))</f>
        <v/>
      </c>
      <c r="B39" s="81"/>
      <c r="C39" s="81"/>
      <c r="D39" s="81"/>
      <c r="E39" s="81"/>
      <c r="F39" s="81"/>
      <c r="G39" s="82"/>
      <c r="H39" s="83"/>
      <c r="I39" s="84"/>
      <c r="J39" s="85" t="str">
        <f aca="false">IF(H39="","",ROUND(H39*(1+I39),2))</f>
        <v/>
      </c>
      <c r="K39" s="85" t="str">
        <f aca="false">IF(J39="","",ROUND(J39*(1+OHP),2))</f>
        <v/>
      </c>
      <c r="L39" s="85" t="str">
        <f aca="false">IF(K39="","",ROUND(K39*(1+VAT),2))</f>
        <v/>
      </c>
      <c r="M39" s="82"/>
      <c r="N39" s="81"/>
      <c r="O39" s="82"/>
      <c r="P39" s="86"/>
      <c r="Q39" s="81"/>
      <c r="R39" s="87"/>
    </row>
    <row r="40" customFormat="false" ht="15" hidden="false" customHeight="false" outlineLevel="0" collapsed="false">
      <c r="A40" s="80" t="str">
        <f aca="false">IF(C40="","","GF-"&amp;TEXT(ROW()-4,"000"))</f>
        <v/>
      </c>
      <c r="B40" s="81"/>
      <c r="C40" s="81"/>
      <c r="D40" s="81"/>
      <c r="E40" s="81"/>
      <c r="F40" s="81"/>
      <c r="G40" s="82"/>
      <c r="H40" s="83"/>
      <c r="I40" s="84"/>
      <c r="J40" s="85" t="str">
        <f aca="false">IF(H40="","",ROUND(H40*(1+I40),2))</f>
        <v/>
      </c>
      <c r="K40" s="85" t="str">
        <f aca="false">IF(J40="","",ROUND(J40*(1+OHP),2))</f>
        <v/>
      </c>
      <c r="L40" s="85" t="str">
        <f aca="false">IF(K40="","",ROUND(K40*(1+VAT),2))</f>
        <v/>
      </c>
      <c r="M40" s="82"/>
      <c r="N40" s="81"/>
      <c r="O40" s="82"/>
      <c r="P40" s="86"/>
      <c r="Q40" s="81"/>
      <c r="R40" s="87"/>
    </row>
    <row r="41" customFormat="false" ht="15" hidden="false" customHeight="false" outlineLevel="0" collapsed="false">
      <c r="A41" s="80" t="str">
        <f aca="false">IF(C41="","","GF-"&amp;TEXT(ROW()-4,"000"))</f>
        <v/>
      </c>
      <c r="B41" s="81"/>
      <c r="C41" s="81"/>
      <c r="D41" s="81"/>
      <c r="E41" s="81"/>
      <c r="F41" s="81"/>
      <c r="G41" s="82"/>
      <c r="H41" s="83"/>
      <c r="I41" s="84"/>
      <c r="J41" s="85" t="str">
        <f aca="false">IF(H41="","",ROUND(H41*(1+I41),2))</f>
        <v/>
      </c>
      <c r="K41" s="85" t="str">
        <f aca="false">IF(J41="","",ROUND(J41*(1+OHP),2))</f>
        <v/>
      </c>
      <c r="L41" s="85" t="str">
        <f aca="false">IF(K41="","",ROUND(K41*(1+VAT),2))</f>
        <v/>
      </c>
      <c r="M41" s="82"/>
      <c r="N41" s="81"/>
      <c r="O41" s="82"/>
      <c r="P41" s="86"/>
      <c r="Q41" s="81"/>
      <c r="R41" s="87"/>
    </row>
    <row r="42" customFormat="false" ht="15" hidden="false" customHeight="false" outlineLevel="0" collapsed="false">
      <c r="A42" s="80" t="str">
        <f aca="false">IF(C42="","","GF-"&amp;TEXT(ROW()-4,"000"))</f>
        <v/>
      </c>
      <c r="B42" s="81"/>
      <c r="C42" s="81"/>
      <c r="D42" s="81"/>
      <c r="E42" s="81"/>
      <c r="F42" s="81"/>
      <c r="G42" s="82"/>
      <c r="H42" s="83"/>
      <c r="I42" s="84"/>
      <c r="J42" s="85" t="str">
        <f aca="false">IF(H42="","",ROUND(H42*(1+I42),2))</f>
        <v/>
      </c>
      <c r="K42" s="85" t="str">
        <f aca="false">IF(J42="","",ROUND(J42*(1+OHP),2))</f>
        <v/>
      </c>
      <c r="L42" s="85" t="str">
        <f aca="false">IF(K42="","",ROUND(K42*(1+VAT),2))</f>
        <v/>
      </c>
      <c r="M42" s="82"/>
      <c r="N42" s="81"/>
      <c r="O42" s="82"/>
      <c r="P42" s="86"/>
      <c r="Q42" s="81"/>
      <c r="R42" s="87"/>
    </row>
    <row r="43" customFormat="false" ht="15" hidden="false" customHeight="false" outlineLevel="0" collapsed="false">
      <c r="A43" s="80" t="str">
        <f aca="false">IF(C43="","","GF-"&amp;TEXT(ROW()-4,"000"))</f>
        <v/>
      </c>
      <c r="B43" s="81"/>
      <c r="C43" s="81"/>
      <c r="D43" s="81"/>
      <c r="E43" s="81"/>
      <c r="F43" s="81"/>
      <c r="G43" s="82"/>
      <c r="H43" s="83"/>
      <c r="I43" s="84"/>
      <c r="J43" s="85" t="str">
        <f aca="false">IF(H43="","",ROUND(H43*(1+I43),2))</f>
        <v/>
      </c>
      <c r="K43" s="85" t="str">
        <f aca="false">IF(J43="","",ROUND(J43*(1+OHP),2))</f>
        <v/>
      </c>
      <c r="L43" s="85" t="str">
        <f aca="false">IF(K43="","",ROUND(K43*(1+VAT),2))</f>
        <v/>
      </c>
      <c r="M43" s="82"/>
      <c r="N43" s="81"/>
      <c r="O43" s="82"/>
      <c r="P43" s="86"/>
      <c r="Q43" s="81"/>
      <c r="R43" s="87"/>
    </row>
    <row r="44" customFormat="false" ht="15" hidden="false" customHeight="false" outlineLevel="0" collapsed="false">
      <c r="A44" s="80" t="str">
        <f aca="false">IF(C44="","","GF-"&amp;TEXT(ROW()-4,"000"))</f>
        <v/>
      </c>
      <c r="B44" s="81"/>
      <c r="C44" s="81"/>
      <c r="D44" s="81"/>
      <c r="E44" s="81"/>
      <c r="F44" s="81"/>
      <c r="G44" s="82"/>
      <c r="H44" s="83"/>
      <c r="I44" s="84"/>
      <c r="J44" s="85" t="str">
        <f aca="false">IF(H44="","",ROUND(H44*(1+I44),2))</f>
        <v/>
      </c>
      <c r="K44" s="85" t="str">
        <f aca="false">IF(J44="","",ROUND(J44*(1+OHP),2))</f>
        <v/>
      </c>
      <c r="L44" s="85" t="str">
        <f aca="false">IF(K44="","",ROUND(K44*(1+VAT),2))</f>
        <v/>
      </c>
      <c r="M44" s="82"/>
      <c r="N44" s="81"/>
      <c r="O44" s="82"/>
      <c r="P44" s="86"/>
      <c r="Q44" s="81"/>
      <c r="R44" s="87"/>
    </row>
    <row r="45" customFormat="false" ht="15" hidden="false" customHeight="false" outlineLevel="0" collapsed="false">
      <c r="A45" s="80" t="str">
        <f aca="false">IF(C45="","","GF-"&amp;TEXT(ROW()-4,"000"))</f>
        <v/>
      </c>
      <c r="B45" s="81"/>
      <c r="C45" s="81"/>
      <c r="D45" s="81"/>
      <c r="E45" s="81"/>
      <c r="F45" s="81"/>
      <c r="G45" s="82"/>
      <c r="H45" s="83"/>
      <c r="I45" s="84"/>
      <c r="J45" s="85" t="str">
        <f aca="false">IF(H45="","",ROUND(H45*(1+I45),2))</f>
        <v/>
      </c>
      <c r="K45" s="85" t="str">
        <f aca="false">IF(J45="","",ROUND(J45*(1+OHP),2))</f>
        <v/>
      </c>
      <c r="L45" s="85" t="str">
        <f aca="false">IF(K45="","",ROUND(K45*(1+VAT),2))</f>
        <v/>
      </c>
      <c r="M45" s="82"/>
      <c r="N45" s="81"/>
      <c r="O45" s="82"/>
      <c r="P45" s="86"/>
      <c r="Q45" s="81"/>
      <c r="R45" s="87"/>
    </row>
    <row r="46" customFormat="false" ht="15" hidden="false" customHeight="false" outlineLevel="0" collapsed="false">
      <c r="A46" s="80" t="str">
        <f aca="false">IF(C46="","","GF-"&amp;TEXT(ROW()-4,"000"))</f>
        <v/>
      </c>
      <c r="B46" s="81"/>
      <c r="C46" s="81"/>
      <c r="D46" s="81"/>
      <c r="E46" s="81"/>
      <c r="F46" s="81"/>
      <c r="G46" s="82"/>
      <c r="H46" s="83"/>
      <c r="I46" s="84"/>
      <c r="J46" s="85" t="str">
        <f aca="false">IF(H46="","",ROUND(H46*(1+I46),2))</f>
        <v/>
      </c>
      <c r="K46" s="85" t="str">
        <f aca="false">IF(J46="","",ROUND(J46*(1+OHP),2))</f>
        <v/>
      </c>
      <c r="L46" s="85" t="str">
        <f aca="false">IF(K46="","",ROUND(K46*(1+VAT),2))</f>
        <v/>
      </c>
      <c r="M46" s="82"/>
      <c r="N46" s="81"/>
      <c r="O46" s="82"/>
      <c r="P46" s="86"/>
      <c r="Q46" s="81"/>
      <c r="R46" s="87"/>
    </row>
    <row r="47" customFormat="false" ht="15" hidden="false" customHeight="false" outlineLevel="0" collapsed="false">
      <c r="A47" s="80" t="str">
        <f aca="false">IF(C47="","","GF-"&amp;TEXT(ROW()-4,"000"))</f>
        <v/>
      </c>
      <c r="B47" s="81"/>
      <c r="C47" s="81"/>
      <c r="D47" s="81"/>
      <c r="E47" s="81"/>
      <c r="F47" s="81"/>
      <c r="G47" s="82"/>
      <c r="H47" s="83"/>
      <c r="I47" s="84"/>
      <c r="J47" s="85" t="str">
        <f aca="false">IF(H47="","",ROUND(H47*(1+I47),2))</f>
        <v/>
      </c>
      <c r="K47" s="85" t="str">
        <f aca="false">IF(J47="","",ROUND(J47*(1+OHP),2))</f>
        <v/>
      </c>
      <c r="L47" s="85" t="str">
        <f aca="false">IF(K47="","",ROUND(K47*(1+VAT),2))</f>
        <v/>
      </c>
      <c r="M47" s="82"/>
      <c r="N47" s="81"/>
      <c r="O47" s="82"/>
      <c r="P47" s="86"/>
      <c r="Q47" s="81"/>
      <c r="R47" s="87"/>
    </row>
    <row r="48" customFormat="false" ht="15" hidden="false" customHeight="false" outlineLevel="0" collapsed="false">
      <c r="A48" s="80" t="str">
        <f aca="false">IF(C48="","","GF-"&amp;TEXT(ROW()-4,"000"))</f>
        <v/>
      </c>
      <c r="B48" s="81"/>
      <c r="C48" s="81"/>
      <c r="D48" s="81"/>
      <c r="E48" s="81"/>
      <c r="F48" s="81"/>
      <c r="G48" s="82"/>
      <c r="H48" s="83"/>
      <c r="I48" s="84"/>
      <c r="J48" s="85" t="str">
        <f aca="false">IF(H48="","",ROUND(H48*(1+I48),2))</f>
        <v/>
      </c>
      <c r="K48" s="85" t="str">
        <f aca="false">IF(J48="","",ROUND(J48*(1+OHP),2))</f>
        <v/>
      </c>
      <c r="L48" s="85" t="str">
        <f aca="false">IF(K48="","",ROUND(K48*(1+VAT),2))</f>
        <v/>
      </c>
      <c r="M48" s="82"/>
      <c r="N48" s="81"/>
      <c r="O48" s="82"/>
      <c r="P48" s="86"/>
      <c r="Q48" s="81"/>
      <c r="R48" s="87"/>
    </row>
    <row r="49" customFormat="false" ht="15" hidden="false" customHeight="false" outlineLevel="0" collapsed="false">
      <c r="A49" s="80" t="str">
        <f aca="false">IF(C49="","","GF-"&amp;TEXT(ROW()-4,"000"))</f>
        <v/>
      </c>
      <c r="B49" s="81"/>
      <c r="C49" s="81"/>
      <c r="D49" s="81"/>
      <c r="E49" s="81"/>
      <c r="F49" s="81"/>
      <c r="G49" s="82"/>
      <c r="H49" s="83"/>
      <c r="I49" s="84"/>
      <c r="J49" s="85" t="str">
        <f aca="false">IF(H49="","",ROUND(H49*(1+I49),2))</f>
        <v/>
      </c>
      <c r="K49" s="85" t="str">
        <f aca="false">IF(J49="","",ROUND(J49*(1+OHP),2))</f>
        <v/>
      </c>
      <c r="L49" s="85" t="str">
        <f aca="false">IF(K49="","",ROUND(K49*(1+VAT),2))</f>
        <v/>
      </c>
      <c r="M49" s="82"/>
      <c r="N49" s="81"/>
      <c r="O49" s="82"/>
      <c r="P49" s="86"/>
      <c r="Q49" s="81"/>
      <c r="R49" s="87"/>
    </row>
  </sheetData>
  <autoFilter ref="A4:R49"/>
  <mergeCells count="2">
    <mergeCell ref="A1:R1"/>
    <mergeCell ref="A2:R2"/>
  </mergeCells>
  <conditionalFormatting sqref="A5:R49">
    <cfRule type="expression" priority="2" aboveAverage="0" equalAverage="0" bottom="0" percent="0" rank="0" text="" dxfId="1">
      <formula>AND($C5&lt;&gt;"",MOD(ROW(),2)=0,$M5&lt;&gt;"Obsolete")</formula>
    </cfRule>
    <cfRule type="expression" priority="3" aboveAverage="0" equalAverage="0" bottom="0" percent="0" rank="0" text="" dxfId="12">
      <formula>$M5="Obsolete"</formula>
    </cfRule>
  </conditionalFormatting>
  <conditionalFormatting sqref="M5:M49">
    <cfRule type="expression" priority="4" aboveAverage="0" equalAverage="0" bottom="0" percent="0" rank="0" text="" dxfId="13">
      <formula>$M5="Indicative"</formula>
    </cfRule>
    <cfRule type="expression" priority="5" aboveAverage="0" equalAverage="0" bottom="0" percent="0" rank="0" text="" dxfId="14">
      <formula>$M5="Quoted"</formula>
    </cfRule>
    <cfRule type="expression" priority="6" aboveAverage="0" equalAverage="0" bottom="0" percent="0" rank="0" text="" dxfId="15">
      <formula>$M5="Verified"</formula>
    </cfRule>
    <cfRule type="expression" priority="7" aboveAverage="0" equalAverage="0" bottom="0" percent="0" rank="0" text="" dxfId="16">
      <formula>$M5="Obsolete"</formula>
    </cfRule>
  </conditionalFormatting>
  <dataValidations count="2">
    <dataValidation allowBlank="true" error="Enter wastage as a percentage, e.g. 5%" errorStyle="stop" operator="between" showDropDown="false" showErrorMessage="false" showInputMessage="false" sqref="I5:I49" type="decimal">
      <formula1>0</formula1>
      <formula2>1</formula2>
    </dataValidation>
    <dataValidation allowBlank="true" errorStyle="stop" operator="between" showDropDown="false" showErrorMessage="false" showInputMessage="false" sqref="M5:M49" type="list">
      <formula1>"Indicative,Quoted,Verified,Obsolete"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&amp;L&amp;8Glass Fittings - Partition, Shower Spider&amp;C&amp;8Page &amp;P of &amp;N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E699"/>
    <pageSetUpPr fitToPage="true"/>
  </sheetPr>
  <dimension ref="A1:R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32"/>
    <col collapsed="false" customWidth="true" hidden="false" outlineLevel="0" max="5" min="5" style="0" width="20"/>
    <col collapsed="false" customWidth="true" hidden="false" outlineLevel="0" max="6" min="6" style="0" width="26"/>
    <col collapsed="false" customWidth="true" hidden="false" outlineLevel="0" max="7" min="7" style="0" width="7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1" min="10" style="0" width="13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20"/>
    <col collapsed="false" customWidth="true" hidden="false" outlineLevel="0" max="15" min="15" style="0" width="13"/>
    <col collapsed="false" customWidth="true" hidden="false" outlineLevel="0" max="16" min="16" style="0" width="12"/>
    <col collapsed="false" customWidth="true" hidden="false" outlineLevel="0" max="17" min="17" style="0" width="26"/>
    <col collapsed="false" customWidth="true" hidden="false" outlineLevel="0" max="18" min="18" style="0" width="34"/>
  </cols>
  <sheetData>
    <row r="1" customFormat="false" ht="30" hidden="false" customHeight="true" outlineLevel="0" collapsed="false">
      <c r="A1" s="65" t="s">
        <v>990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</row>
    <row r="2" customFormat="false" ht="15" hidden="false" customHeight="false" outlineLevel="0" collapsed="false">
      <c r="A2" s="93" t="s">
        <v>991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</row>
    <row r="3" customFormat="false" ht="15" hidden="false" customHeight="false" outlineLevel="0" collapsed="false">
      <c r="A3" s="7" t="str">
        <f aca="false">HYPERLINK("#Index!A1","&lt;&lt; Back to Index")</f>
        <v>&lt;&lt; Back to Index</v>
      </c>
      <c r="D3" s="67" t="s">
        <v>180</v>
      </c>
      <c r="E3" s="68" t="n">
        <f aca="false">COUNTA(C5:C42)</f>
        <v>23</v>
      </c>
      <c r="H3" s="69" t="s">
        <v>181</v>
      </c>
    </row>
    <row r="4" customFormat="false" ht="31.5" hidden="false" customHeight="true" outlineLevel="0" collapsed="false">
      <c r="A4" s="8" t="s">
        <v>110</v>
      </c>
      <c r="B4" s="8" t="s">
        <v>121</v>
      </c>
      <c r="C4" s="8" t="s">
        <v>111</v>
      </c>
      <c r="D4" s="8" t="s">
        <v>112</v>
      </c>
      <c r="E4" s="8" t="s">
        <v>113</v>
      </c>
      <c r="F4" s="8" t="s">
        <v>114</v>
      </c>
      <c r="G4" s="8" t="s">
        <v>115</v>
      </c>
      <c r="H4" s="8" t="s">
        <v>182</v>
      </c>
      <c r="I4" s="8" t="s">
        <v>183</v>
      </c>
      <c r="J4" s="8" t="s">
        <v>184</v>
      </c>
      <c r="K4" s="8" t="s">
        <v>185</v>
      </c>
      <c r="L4" s="8" t="s">
        <v>186</v>
      </c>
      <c r="M4" s="8" t="s">
        <v>119</v>
      </c>
      <c r="N4" s="8" t="s">
        <v>187</v>
      </c>
      <c r="O4" s="8" t="s">
        <v>188</v>
      </c>
      <c r="P4" s="8" t="s">
        <v>189</v>
      </c>
      <c r="Q4" s="8" t="s">
        <v>190</v>
      </c>
      <c r="R4" s="8" t="s">
        <v>191</v>
      </c>
    </row>
    <row r="5" customFormat="false" ht="19.4" hidden="false" customHeight="false" outlineLevel="0" collapsed="false">
      <c r="A5" s="70" t="s">
        <v>992</v>
      </c>
      <c r="B5" s="71" t="s">
        <v>993</v>
      </c>
      <c r="C5" s="72" t="s">
        <v>994</v>
      </c>
      <c r="D5" s="71" t="s">
        <v>995</v>
      </c>
      <c r="E5" s="71" t="s">
        <v>812</v>
      </c>
      <c r="F5" s="71" t="s">
        <v>756</v>
      </c>
      <c r="G5" s="73" t="s">
        <v>622</v>
      </c>
      <c r="H5" s="79" t="n">
        <v>260</v>
      </c>
      <c r="I5" s="75" t="n">
        <v>0</v>
      </c>
      <c r="J5" s="76" t="n">
        <f aca="false">IF(H5="","",ROUND(H5*(1+I5),2))</f>
        <v>260</v>
      </c>
      <c r="K5" s="76" t="n">
        <f aca="false">IF(J5="","",ROUND(J5*(1+OHP),2))</f>
        <v>312</v>
      </c>
      <c r="L5" s="76" t="n">
        <f aca="false">IF(K5="","",ROUND(K5*(1+VAT),2))</f>
        <v>327.6</v>
      </c>
      <c r="M5" s="73" t="s">
        <v>89</v>
      </c>
      <c r="N5" s="71"/>
      <c r="O5" s="73"/>
      <c r="P5" s="77"/>
      <c r="Q5" s="71"/>
      <c r="R5" s="78" t="s">
        <v>996</v>
      </c>
    </row>
    <row r="6" customFormat="false" ht="19.4" hidden="false" customHeight="false" outlineLevel="0" collapsed="false">
      <c r="A6" s="70" t="s">
        <v>997</v>
      </c>
      <c r="B6" s="71" t="s">
        <v>993</v>
      </c>
      <c r="C6" s="72" t="s">
        <v>994</v>
      </c>
      <c r="D6" s="71" t="s">
        <v>995</v>
      </c>
      <c r="E6" s="71" t="s">
        <v>820</v>
      </c>
      <c r="F6" s="71" t="s">
        <v>756</v>
      </c>
      <c r="G6" s="73" t="s">
        <v>622</v>
      </c>
      <c r="H6" s="79" t="n">
        <v>340</v>
      </c>
      <c r="I6" s="75" t="n">
        <v>0</v>
      </c>
      <c r="J6" s="76" t="n">
        <f aca="false">IF(H6="","",ROUND(H6*(1+I6),2))</f>
        <v>340</v>
      </c>
      <c r="K6" s="76" t="n">
        <f aca="false">IF(J6="","",ROUND(J6*(1+OHP),2))</f>
        <v>408</v>
      </c>
      <c r="L6" s="76" t="n">
        <f aca="false">IF(K6="","",ROUND(K6*(1+VAT),2))</f>
        <v>428.4</v>
      </c>
      <c r="M6" s="73" t="s">
        <v>89</v>
      </c>
      <c r="N6" s="71"/>
      <c r="O6" s="73"/>
      <c r="P6" s="77"/>
      <c r="Q6" s="71"/>
      <c r="R6" s="78" t="s">
        <v>998</v>
      </c>
    </row>
    <row r="7" customFormat="false" ht="19.4" hidden="false" customHeight="false" outlineLevel="0" collapsed="false">
      <c r="A7" s="70" t="s">
        <v>999</v>
      </c>
      <c r="B7" s="71" t="s">
        <v>993</v>
      </c>
      <c r="C7" s="72" t="s">
        <v>1000</v>
      </c>
      <c r="D7" s="71" t="s">
        <v>1001</v>
      </c>
      <c r="E7" s="71" t="s">
        <v>812</v>
      </c>
      <c r="F7" s="71" t="s">
        <v>756</v>
      </c>
      <c r="G7" s="73" t="s">
        <v>622</v>
      </c>
      <c r="H7" s="79" t="n">
        <v>280</v>
      </c>
      <c r="I7" s="75" t="n">
        <v>0</v>
      </c>
      <c r="J7" s="76" t="n">
        <f aca="false">IF(H7="","",ROUND(H7*(1+I7),2))</f>
        <v>280</v>
      </c>
      <c r="K7" s="76" t="n">
        <f aca="false">IF(J7="","",ROUND(J7*(1+OHP),2))</f>
        <v>336</v>
      </c>
      <c r="L7" s="76" t="n">
        <f aca="false">IF(K7="","",ROUND(K7*(1+VAT),2))</f>
        <v>352.8</v>
      </c>
      <c r="M7" s="73" t="s">
        <v>89</v>
      </c>
      <c r="N7" s="71"/>
      <c r="O7" s="73"/>
      <c r="P7" s="77"/>
      <c r="Q7" s="71"/>
      <c r="R7" s="78" t="s">
        <v>1002</v>
      </c>
    </row>
    <row r="8" customFormat="false" ht="15" hidden="false" customHeight="false" outlineLevel="0" collapsed="false">
      <c r="A8" s="70" t="s">
        <v>1003</v>
      </c>
      <c r="B8" s="71" t="s">
        <v>993</v>
      </c>
      <c r="C8" s="72" t="s">
        <v>1004</v>
      </c>
      <c r="D8" s="71" t="s">
        <v>1005</v>
      </c>
      <c r="E8" s="71" t="s">
        <v>820</v>
      </c>
      <c r="F8" s="71" t="s">
        <v>217</v>
      </c>
      <c r="G8" s="73" t="s">
        <v>622</v>
      </c>
      <c r="H8" s="79" t="n">
        <v>320</v>
      </c>
      <c r="I8" s="75" t="n">
        <v>0</v>
      </c>
      <c r="J8" s="76" t="n">
        <f aca="false">IF(H8="","",ROUND(H8*(1+I8),2))</f>
        <v>320</v>
      </c>
      <c r="K8" s="76" t="n">
        <f aca="false">IF(J8="","",ROUND(J8*(1+OHP),2))</f>
        <v>384</v>
      </c>
      <c r="L8" s="76" t="n">
        <f aca="false">IF(K8="","",ROUND(K8*(1+VAT),2))</f>
        <v>403.2</v>
      </c>
      <c r="M8" s="73" t="s">
        <v>89</v>
      </c>
      <c r="N8" s="71"/>
      <c r="O8" s="73"/>
      <c r="P8" s="77"/>
      <c r="Q8" s="71"/>
      <c r="R8" s="78" t="s">
        <v>1006</v>
      </c>
    </row>
    <row r="9" customFormat="false" ht="15" hidden="false" customHeight="false" outlineLevel="0" collapsed="false">
      <c r="A9" s="70" t="s">
        <v>1007</v>
      </c>
      <c r="B9" s="71" t="s">
        <v>1008</v>
      </c>
      <c r="C9" s="72" t="s">
        <v>1009</v>
      </c>
      <c r="D9" s="71" t="s">
        <v>1010</v>
      </c>
      <c r="E9" s="71" t="s">
        <v>737</v>
      </c>
      <c r="F9" s="71" t="s">
        <v>756</v>
      </c>
      <c r="G9" s="73" t="s">
        <v>622</v>
      </c>
      <c r="H9" s="79" t="n">
        <v>35</v>
      </c>
      <c r="I9" s="75" t="n">
        <v>0</v>
      </c>
      <c r="J9" s="76" t="n">
        <f aca="false">IF(H9="","",ROUND(H9*(1+I9),2))</f>
        <v>35</v>
      </c>
      <c r="K9" s="76" t="n">
        <f aca="false">IF(J9="","",ROUND(J9*(1+OHP),2))</f>
        <v>42</v>
      </c>
      <c r="L9" s="76" t="n">
        <f aca="false">IF(K9="","",ROUND(K9*(1+VAT),2))</f>
        <v>44.1</v>
      </c>
      <c r="M9" s="73" t="s">
        <v>89</v>
      </c>
      <c r="N9" s="71"/>
      <c r="O9" s="73"/>
      <c r="P9" s="77"/>
      <c r="Q9" s="71"/>
      <c r="R9" s="78" t="s">
        <v>1011</v>
      </c>
    </row>
    <row r="10" customFormat="false" ht="15" hidden="false" customHeight="false" outlineLevel="0" collapsed="false">
      <c r="A10" s="70" t="s">
        <v>1012</v>
      </c>
      <c r="B10" s="71" t="s">
        <v>1008</v>
      </c>
      <c r="C10" s="72" t="s">
        <v>1009</v>
      </c>
      <c r="D10" s="71" t="s">
        <v>1010</v>
      </c>
      <c r="E10" s="71" t="s">
        <v>853</v>
      </c>
      <c r="F10" s="71" t="s">
        <v>756</v>
      </c>
      <c r="G10" s="73" t="s">
        <v>622</v>
      </c>
      <c r="H10" s="79" t="n">
        <v>50</v>
      </c>
      <c r="I10" s="75" t="n">
        <v>0</v>
      </c>
      <c r="J10" s="76" t="n">
        <f aca="false">IF(H10="","",ROUND(H10*(1+I10),2))</f>
        <v>50</v>
      </c>
      <c r="K10" s="76" t="n">
        <f aca="false">IF(J10="","",ROUND(J10*(1+OHP),2))</f>
        <v>60</v>
      </c>
      <c r="L10" s="76" t="n">
        <f aca="false">IF(K10="","",ROUND(K10*(1+VAT),2))</f>
        <v>63</v>
      </c>
      <c r="M10" s="73" t="s">
        <v>89</v>
      </c>
      <c r="N10" s="71"/>
      <c r="O10" s="73"/>
      <c r="P10" s="77"/>
      <c r="Q10" s="71"/>
      <c r="R10" s="78" t="s">
        <v>1013</v>
      </c>
    </row>
    <row r="11" customFormat="false" ht="15" hidden="false" customHeight="false" outlineLevel="0" collapsed="false">
      <c r="A11" s="70" t="s">
        <v>1014</v>
      </c>
      <c r="B11" s="71" t="s">
        <v>1008</v>
      </c>
      <c r="C11" s="72" t="s">
        <v>1015</v>
      </c>
      <c r="D11" s="71" t="s">
        <v>1016</v>
      </c>
      <c r="E11" s="71" t="s">
        <v>1017</v>
      </c>
      <c r="F11" s="71" t="s">
        <v>453</v>
      </c>
      <c r="G11" s="73" t="s">
        <v>622</v>
      </c>
      <c r="H11" s="79" t="n">
        <v>260</v>
      </c>
      <c r="I11" s="75" t="n">
        <v>0</v>
      </c>
      <c r="J11" s="76" t="n">
        <f aca="false">IF(H11="","",ROUND(H11*(1+I11),2))</f>
        <v>260</v>
      </c>
      <c r="K11" s="76" t="n">
        <f aca="false">IF(J11="","",ROUND(J11*(1+OHP),2))</f>
        <v>312</v>
      </c>
      <c r="L11" s="76" t="n">
        <f aca="false">IF(K11="","",ROUND(K11*(1+VAT),2))</f>
        <v>327.6</v>
      </c>
      <c r="M11" s="73" t="s">
        <v>89</v>
      </c>
      <c r="N11" s="71"/>
      <c r="O11" s="73"/>
      <c r="P11" s="77"/>
      <c r="Q11" s="71"/>
      <c r="R11" s="78" t="s">
        <v>1018</v>
      </c>
    </row>
    <row r="12" customFormat="false" ht="15" hidden="false" customHeight="false" outlineLevel="0" collapsed="false">
      <c r="A12" s="70" t="s">
        <v>1019</v>
      </c>
      <c r="B12" s="71" t="s">
        <v>1008</v>
      </c>
      <c r="C12" s="72" t="s">
        <v>1020</v>
      </c>
      <c r="D12" s="71" t="s">
        <v>1016</v>
      </c>
      <c r="E12" s="71" t="s">
        <v>853</v>
      </c>
      <c r="F12" s="71" t="s">
        <v>756</v>
      </c>
      <c r="G12" s="73" t="s">
        <v>622</v>
      </c>
      <c r="H12" s="79" t="n">
        <v>180</v>
      </c>
      <c r="I12" s="75" t="n">
        <v>0</v>
      </c>
      <c r="J12" s="76" t="n">
        <f aca="false">IF(H12="","",ROUND(H12*(1+I12),2))</f>
        <v>180</v>
      </c>
      <c r="K12" s="76" t="n">
        <f aca="false">IF(J12="","",ROUND(J12*(1+OHP),2))</f>
        <v>216</v>
      </c>
      <c r="L12" s="76" t="n">
        <f aca="false">IF(K12="","",ROUND(K12*(1+VAT),2))</f>
        <v>226.8</v>
      </c>
      <c r="M12" s="73" t="s">
        <v>89</v>
      </c>
      <c r="N12" s="71"/>
      <c r="O12" s="73"/>
      <c r="P12" s="77"/>
      <c r="Q12" s="71"/>
      <c r="R12" s="78" t="s">
        <v>1021</v>
      </c>
    </row>
    <row r="13" customFormat="false" ht="15" hidden="false" customHeight="false" outlineLevel="0" collapsed="false">
      <c r="A13" s="70" t="s">
        <v>1022</v>
      </c>
      <c r="B13" s="71" t="s">
        <v>1008</v>
      </c>
      <c r="C13" s="72" t="s">
        <v>1023</v>
      </c>
      <c r="D13" s="71" t="s">
        <v>1024</v>
      </c>
      <c r="E13" s="71" t="s">
        <v>853</v>
      </c>
      <c r="F13" s="71" t="s">
        <v>756</v>
      </c>
      <c r="G13" s="73" t="s">
        <v>622</v>
      </c>
      <c r="H13" s="79" t="n">
        <v>75</v>
      </c>
      <c r="I13" s="75" t="n">
        <v>0</v>
      </c>
      <c r="J13" s="76" t="n">
        <f aca="false">IF(H13="","",ROUND(H13*(1+I13),2))</f>
        <v>75</v>
      </c>
      <c r="K13" s="76" t="n">
        <f aca="false">IF(J13="","",ROUND(J13*(1+OHP),2))</f>
        <v>90</v>
      </c>
      <c r="L13" s="76" t="n">
        <f aca="false">IF(K13="","",ROUND(K13*(1+VAT),2))</f>
        <v>94.5</v>
      </c>
      <c r="M13" s="73" t="s">
        <v>89</v>
      </c>
      <c r="N13" s="71"/>
      <c r="O13" s="73"/>
      <c r="P13" s="77"/>
      <c r="Q13" s="71"/>
      <c r="R13" s="78" t="s">
        <v>1025</v>
      </c>
    </row>
    <row r="14" customFormat="false" ht="15" hidden="false" customHeight="false" outlineLevel="0" collapsed="false">
      <c r="A14" s="70" t="s">
        <v>1026</v>
      </c>
      <c r="B14" s="71" t="s">
        <v>1008</v>
      </c>
      <c r="C14" s="72" t="s">
        <v>1027</v>
      </c>
      <c r="D14" s="71" t="s">
        <v>742</v>
      </c>
      <c r="E14" s="71" t="s">
        <v>1028</v>
      </c>
      <c r="F14" s="71" t="s">
        <v>349</v>
      </c>
      <c r="G14" s="73" t="s">
        <v>218</v>
      </c>
      <c r="H14" s="79" t="n">
        <v>40</v>
      </c>
      <c r="I14" s="75" t="n">
        <v>0</v>
      </c>
      <c r="J14" s="76" t="n">
        <f aca="false">IF(H14="","",ROUND(H14*(1+I14),2))</f>
        <v>40</v>
      </c>
      <c r="K14" s="76" t="n">
        <f aca="false">IF(J14="","",ROUND(J14*(1+OHP),2))</f>
        <v>48</v>
      </c>
      <c r="L14" s="76" t="n">
        <f aca="false">IF(K14="","",ROUND(K14*(1+VAT),2))</f>
        <v>50.4</v>
      </c>
      <c r="M14" s="73" t="s">
        <v>89</v>
      </c>
      <c r="N14" s="71"/>
      <c r="O14" s="73"/>
      <c r="P14" s="77"/>
      <c r="Q14" s="71"/>
      <c r="R14" s="78" t="s">
        <v>1029</v>
      </c>
    </row>
    <row r="15" customFormat="false" ht="23.85" hidden="false" customHeight="false" outlineLevel="0" collapsed="false">
      <c r="A15" s="70" t="s">
        <v>1030</v>
      </c>
      <c r="B15" s="71" t="s">
        <v>1008</v>
      </c>
      <c r="C15" s="72" t="s">
        <v>1031</v>
      </c>
      <c r="D15" s="71" t="s">
        <v>457</v>
      </c>
      <c r="E15" s="71" t="s">
        <v>1032</v>
      </c>
      <c r="F15" s="71" t="s">
        <v>217</v>
      </c>
      <c r="G15" s="73" t="s">
        <v>622</v>
      </c>
      <c r="H15" s="79" t="n">
        <v>45</v>
      </c>
      <c r="I15" s="75" t="n">
        <v>0</v>
      </c>
      <c r="J15" s="76" t="n">
        <f aca="false">IF(H15="","",ROUND(H15*(1+I15),2))</f>
        <v>45</v>
      </c>
      <c r="K15" s="76" t="n">
        <f aca="false">IF(J15="","",ROUND(J15*(1+OHP),2))</f>
        <v>54</v>
      </c>
      <c r="L15" s="76" t="n">
        <f aca="false">IF(K15="","",ROUND(K15*(1+VAT),2))</f>
        <v>56.7</v>
      </c>
      <c r="M15" s="73" t="s">
        <v>89</v>
      </c>
      <c r="N15" s="71"/>
      <c r="O15" s="73"/>
      <c r="P15" s="77"/>
      <c r="Q15" s="71"/>
      <c r="R15" s="78" t="s">
        <v>1033</v>
      </c>
    </row>
    <row r="16" customFormat="false" ht="15" hidden="false" customHeight="false" outlineLevel="0" collapsed="false">
      <c r="A16" s="70" t="s">
        <v>1034</v>
      </c>
      <c r="B16" s="71" t="s">
        <v>1008</v>
      </c>
      <c r="C16" s="72" t="s">
        <v>1035</v>
      </c>
      <c r="D16" s="71" t="s">
        <v>742</v>
      </c>
      <c r="E16" s="71" t="s">
        <v>812</v>
      </c>
      <c r="F16" s="71" t="s">
        <v>217</v>
      </c>
      <c r="G16" s="73" t="s">
        <v>218</v>
      </c>
      <c r="H16" s="79" t="n">
        <v>120</v>
      </c>
      <c r="I16" s="75" t="n">
        <v>0</v>
      </c>
      <c r="J16" s="76" t="n">
        <f aca="false">IF(H16="","",ROUND(H16*(1+I16),2))</f>
        <v>120</v>
      </c>
      <c r="K16" s="76" t="n">
        <f aca="false">IF(J16="","",ROUND(J16*(1+OHP),2))</f>
        <v>144</v>
      </c>
      <c r="L16" s="76" t="n">
        <f aca="false">IF(K16="","",ROUND(K16*(1+VAT),2))</f>
        <v>151.2</v>
      </c>
      <c r="M16" s="73" t="s">
        <v>89</v>
      </c>
      <c r="N16" s="71"/>
      <c r="O16" s="73"/>
      <c r="P16" s="77"/>
      <c r="Q16" s="71"/>
      <c r="R16" s="78" t="s">
        <v>1036</v>
      </c>
    </row>
    <row r="17" customFormat="false" ht="19.4" hidden="false" customHeight="false" outlineLevel="0" collapsed="false">
      <c r="A17" s="70" t="s">
        <v>1037</v>
      </c>
      <c r="B17" s="71" t="s">
        <v>1038</v>
      </c>
      <c r="C17" s="72" t="s">
        <v>1039</v>
      </c>
      <c r="D17" s="71" t="s">
        <v>1040</v>
      </c>
      <c r="E17" s="71" t="s">
        <v>737</v>
      </c>
      <c r="F17" s="71" t="s">
        <v>756</v>
      </c>
      <c r="G17" s="73" t="s">
        <v>622</v>
      </c>
      <c r="H17" s="79" t="n">
        <v>35</v>
      </c>
      <c r="I17" s="75" t="n">
        <v>0</v>
      </c>
      <c r="J17" s="76" t="n">
        <f aca="false">IF(H17="","",ROUND(H17*(1+I17),2))</f>
        <v>35</v>
      </c>
      <c r="K17" s="76" t="n">
        <f aca="false">IF(J17="","",ROUND(J17*(1+OHP),2))</f>
        <v>42</v>
      </c>
      <c r="L17" s="76" t="n">
        <f aca="false">IF(K17="","",ROUND(K17*(1+VAT),2))</f>
        <v>44.1</v>
      </c>
      <c r="M17" s="73" t="s">
        <v>89</v>
      </c>
      <c r="N17" s="71"/>
      <c r="O17" s="73"/>
      <c r="P17" s="77"/>
      <c r="Q17" s="71"/>
      <c r="R17" s="78" t="s">
        <v>1041</v>
      </c>
    </row>
    <row r="18" customFormat="false" ht="19.4" hidden="false" customHeight="false" outlineLevel="0" collapsed="false">
      <c r="A18" s="70" t="s">
        <v>1042</v>
      </c>
      <c r="B18" s="71" t="s">
        <v>1038</v>
      </c>
      <c r="C18" s="72" t="s">
        <v>1039</v>
      </c>
      <c r="D18" s="71" t="s">
        <v>1040</v>
      </c>
      <c r="E18" s="71" t="s">
        <v>853</v>
      </c>
      <c r="F18" s="71" t="s">
        <v>756</v>
      </c>
      <c r="G18" s="73" t="s">
        <v>622</v>
      </c>
      <c r="H18" s="79" t="n">
        <v>50</v>
      </c>
      <c r="I18" s="75" t="n">
        <v>0</v>
      </c>
      <c r="J18" s="76" t="n">
        <f aca="false">IF(H18="","",ROUND(H18*(1+I18),2))</f>
        <v>50</v>
      </c>
      <c r="K18" s="76" t="n">
        <f aca="false">IF(J18="","",ROUND(J18*(1+OHP),2))</f>
        <v>60</v>
      </c>
      <c r="L18" s="76" t="n">
        <f aca="false">IF(K18="","",ROUND(K18*(1+VAT),2))</f>
        <v>63</v>
      </c>
      <c r="M18" s="73" t="s">
        <v>89</v>
      </c>
      <c r="N18" s="71"/>
      <c r="O18" s="73"/>
      <c r="P18" s="77"/>
      <c r="Q18" s="71"/>
      <c r="R18" s="78" t="s">
        <v>1043</v>
      </c>
    </row>
    <row r="19" customFormat="false" ht="19.4" hidden="false" customHeight="false" outlineLevel="0" collapsed="false">
      <c r="A19" s="70" t="s">
        <v>1044</v>
      </c>
      <c r="B19" s="71" t="s">
        <v>1038</v>
      </c>
      <c r="C19" s="72" t="s">
        <v>1045</v>
      </c>
      <c r="D19" s="71" t="s">
        <v>1046</v>
      </c>
      <c r="E19" s="71" t="s">
        <v>853</v>
      </c>
      <c r="F19" s="71" t="s">
        <v>756</v>
      </c>
      <c r="G19" s="73" t="s">
        <v>622</v>
      </c>
      <c r="H19" s="79" t="n">
        <v>65</v>
      </c>
      <c r="I19" s="75" t="n">
        <v>0</v>
      </c>
      <c r="J19" s="76" t="n">
        <f aca="false">IF(H19="","",ROUND(H19*(1+I19),2))</f>
        <v>65</v>
      </c>
      <c r="K19" s="76" t="n">
        <f aca="false">IF(J19="","",ROUND(J19*(1+OHP),2))</f>
        <v>78</v>
      </c>
      <c r="L19" s="76" t="n">
        <f aca="false">IF(K19="","",ROUND(K19*(1+VAT),2))</f>
        <v>81.9</v>
      </c>
      <c r="M19" s="73" t="s">
        <v>89</v>
      </c>
      <c r="N19" s="71"/>
      <c r="O19" s="73"/>
      <c r="P19" s="77"/>
      <c r="Q19" s="71"/>
      <c r="R19" s="78" t="s">
        <v>1047</v>
      </c>
    </row>
    <row r="20" customFormat="false" ht="19.4" hidden="false" customHeight="false" outlineLevel="0" collapsed="false">
      <c r="A20" s="70" t="s">
        <v>1048</v>
      </c>
      <c r="B20" s="71" t="s">
        <v>1038</v>
      </c>
      <c r="C20" s="72" t="s">
        <v>1049</v>
      </c>
      <c r="D20" s="71" t="s">
        <v>1050</v>
      </c>
      <c r="E20" s="71" t="s">
        <v>737</v>
      </c>
      <c r="F20" s="71" t="s">
        <v>217</v>
      </c>
      <c r="G20" s="73" t="s">
        <v>622</v>
      </c>
      <c r="H20" s="79" t="n">
        <v>25</v>
      </c>
      <c r="I20" s="75" t="n">
        <v>0</v>
      </c>
      <c r="J20" s="76" t="n">
        <f aca="false">IF(H20="","",ROUND(H20*(1+I20),2))</f>
        <v>25</v>
      </c>
      <c r="K20" s="76" t="n">
        <f aca="false">IF(J20="","",ROUND(J20*(1+OHP),2))</f>
        <v>30</v>
      </c>
      <c r="L20" s="76" t="n">
        <f aca="false">IF(K20="","",ROUND(K20*(1+VAT),2))</f>
        <v>31.5</v>
      </c>
      <c r="M20" s="73" t="s">
        <v>89</v>
      </c>
      <c r="N20" s="71"/>
      <c r="O20" s="73"/>
      <c r="P20" s="77"/>
      <c r="Q20" s="71"/>
      <c r="R20" s="78" t="s">
        <v>1051</v>
      </c>
    </row>
    <row r="21" customFormat="false" ht="19.4" hidden="false" customHeight="false" outlineLevel="0" collapsed="false">
      <c r="A21" s="70" t="s">
        <v>1052</v>
      </c>
      <c r="B21" s="71" t="s">
        <v>1038</v>
      </c>
      <c r="C21" s="72" t="s">
        <v>1053</v>
      </c>
      <c r="D21" s="71" t="s">
        <v>1054</v>
      </c>
      <c r="E21" s="71" t="s">
        <v>812</v>
      </c>
      <c r="F21" s="71" t="s">
        <v>756</v>
      </c>
      <c r="G21" s="73" t="s">
        <v>218</v>
      </c>
      <c r="H21" s="79" t="n">
        <v>110</v>
      </c>
      <c r="I21" s="75" t="n">
        <v>0</v>
      </c>
      <c r="J21" s="76" t="n">
        <f aca="false">IF(H21="","",ROUND(H21*(1+I21),2))</f>
        <v>110</v>
      </c>
      <c r="K21" s="76" t="n">
        <f aca="false">IF(J21="","",ROUND(J21*(1+OHP),2))</f>
        <v>132</v>
      </c>
      <c r="L21" s="76" t="n">
        <f aca="false">IF(K21="","",ROUND(K21*(1+VAT),2))</f>
        <v>138.6</v>
      </c>
      <c r="M21" s="73" t="s">
        <v>89</v>
      </c>
      <c r="N21" s="71"/>
      <c r="O21" s="73"/>
      <c r="P21" s="77"/>
      <c r="Q21" s="71"/>
      <c r="R21" s="78" t="s">
        <v>1055</v>
      </c>
    </row>
    <row r="22" customFormat="false" ht="19.4" hidden="false" customHeight="false" outlineLevel="0" collapsed="false">
      <c r="A22" s="70" t="s">
        <v>1056</v>
      </c>
      <c r="B22" s="71" t="s">
        <v>1038</v>
      </c>
      <c r="C22" s="72" t="s">
        <v>1053</v>
      </c>
      <c r="D22" s="71" t="s">
        <v>1054</v>
      </c>
      <c r="E22" s="71" t="s">
        <v>820</v>
      </c>
      <c r="F22" s="71" t="s">
        <v>756</v>
      </c>
      <c r="G22" s="73" t="s">
        <v>218</v>
      </c>
      <c r="H22" s="79" t="n">
        <v>150</v>
      </c>
      <c r="I22" s="75" t="n">
        <v>0</v>
      </c>
      <c r="J22" s="76" t="n">
        <f aca="false">IF(H22="","",ROUND(H22*(1+I22),2))</f>
        <v>150</v>
      </c>
      <c r="K22" s="76" t="n">
        <f aca="false">IF(J22="","",ROUND(J22*(1+OHP),2))</f>
        <v>180</v>
      </c>
      <c r="L22" s="76" t="n">
        <f aca="false">IF(K22="","",ROUND(K22*(1+VAT),2))</f>
        <v>189</v>
      </c>
      <c r="M22" s="73" t="s">
        <v>89</v>
      </c>
      <c r="N22" s="71"/>
      <c r="O22" s="73"/>
      <c r="P22" s="77"/>
      <c r="Q22" s="71"/>
      <c r="R22" s="78" t="s">
        <v>1057</v>
      </c>
    </row>
    <row r="23" customFormat="false" ht="15" hidden="false" customHeight="false" outlineLevel="0" collapsed="false">
      <c r="A23" s="70" t="s">
        <v>1058</v>
      </c>
      <c r="B23" s="71" t="s">
        <v>1059</v>
      </c>
      <c r="C23" s="72" t="s">
        <v>1060</v>
      </c>
      <c r="D23" s="71" t="s">
        <v>1061</v>
      </c>
      <c r="E23" s="71" t="s">
        <v>853</v>
      </c>
      <c r="F23" s="71" t="s">
        <v>453</v>
      </c>
      <c r="G23" s="73" t="s">
        <v>218</v>
      </c>
      <c r="H23" s="79" t="n">
        <v>8</v>
      </c>
      <c r="I23" s="75" t="n">
        <v>0</v>
      </c>
      <c r="J23" s="76" t="n">
        <f aca="false">IF(H23="","",ROUND(H23*(1+I23),2))</f>
        <v>8</v>
      </c>
      <c r="K23" s="76" t="n">
        <f aca="false">IF(J23="","",ROUND(J23*(1+OHP),2))</f>
        <v>9.6</v>
      </c>
      <c r="L23" s="76" t="n">
        <f aca="false">IF(K23="","",ROUND(K23*(1+VAT),2))</f>
        <v>10.08</v>
      </c>
      <c r="M23" s="73" t="s">
        <v>89</v>
      </c>
      <c r="N23" s="71"/>
      <c r="O23" s="73"/>
      <c r="P23" s="77"/>
      <c r="Q23" s="71"/>
      <c r="R23" s="78" t="s">
        <v>1062</v>
      </c>
    </row>
    <row r="24" customFormat="false" ht="15" hidden="false" customHeight="false" outlineLevel="0" collapsed="false">
      <c r="A24" s="70" t="s">
        <v>1063</v>
      </c>
      <c r="B24" s="71" t="s">
        <v>1059</v>
      </c>
      <c r="C24" s="72" t="s">
        <v>1064</v>
      </c>
      <c r="D24" s="71" t="s">
        <v>736</v>
      </c>
      <c r="E24" s="71" t="s">
        <v>853</v>
      </c>
      <c r="F24" s="71" t="s">
        <v>453</v>
      </c>
      <c r="G24" s="73" t="s">
        <v>738</v>
      </c>
      <c r="H24" s="79" t="n">
        <v>75</v>
      </c>
      <c r="I24" s="75" t="n">
        <v>0</v>
      </c>
      <c r="J24" s="76" t="n">
        <f aca="false">IF(H24="","",ROUND(H24*(1+I24),2))</f>
        <v>75</v>
      </c>
      <c r="K24" s="76" t="n">
        <f aca="false">IF(J24="","",ROUND(J24*(1+OHP),2))</f>
        <v>90</v>
      </c>
      <c r="L24" s="76" t="n">
        <f aca="false">IF(K24="","",ROUND(K24*(1+VAT),2))</f>
        <v>94.5</v>
      </c>
      <c r="M24" s="73" t="s">
        <v>89</v>
      </c>
      <c r="N24" s="71"/>
      <c r="O24" s="73"/>
      <c r="P24" s="77"/>
      <c r="Q24" s="71"/>
      <c r="R24" s="78" t="s">
        <v>975</v>
      </c>
    </row>
    <row r="25" customFormat="false" ht="15" hidden="false" customHeight="false" outlineLevel="0" collapsed="false">
      <c r="A25" s="70" t="s">
        <v>1065</v>
      </c>
      <c r="B25" s="71" t="s">
        <v>1059</v>
      </c>
      <c r="C25" s="72" t="s">
        <v>1066</v>
      </c>
      <c r="D25" s="71" t="s">
        <v>1067</v>
      </c>
      <c r="E25" s="71" t="s">
        <v>812</v>
      </c>
      <c r="F25" s="71" t="s">
        <v>217</v>
      </c>
      <c r="G25" s="73" t="s">
        <v>218</v>
      </c>
      <c r="H25" s="79" t="n">
        <v>18</v>
      </c>
      <c r="I25" s="75" t="n">
        <v>0</v>
      </c>
      <c r="J25" s="76" t="n">
        <f aca="false">IF(H25="","",ROUND(H25*(1+I25),2))</f>
        <v>18</v>
      </c>
      <c r="K25" s="76" t="n">
        <f aca="false">IF(J25="","",ROUND(J25*(1+OHP),2))</f>
        <v>21.6</v>
      </c>
      <c r="L25" s="76" t="n">
        <f aca="false">IF(K25="","",ROUND(K25*(1+VAT),2))</f>
        <v>22.68</v>
      </c>
      <c r="M25" s="73" t="s">
        <v>89</v>
      </c>
      <c r="N25" s="71"/>
      <c r="O25" s="73"/>
      <c r="P25" s="77"/>
      <c r="Q25" s="71"/>
      <c r="R25" s="78" t="s">
        <v>1011</v>
      </c>
    </row>
    <row r="26" customFormat="false" ht="15" hidden="false" customHeight="false" outlineLevel="0" collapsed="false">
      <c r="A26" s="70" t="s">
        <v>1068</v>
      </c>
      <c r="B26" s="71" t="s">
        <v>1059</v>
      </c>
      <c r="C26" s="72" t="s">
        <v>1069</v>
      </c>
      <c r="D26" s="71" t="s">
        <v>1067</v>
      </c>
      <c r="E26" s="71" t="s">
        <v>737</v>
      </c>
      <c r="F26" s="71" t="s">
        <v>217</v>
      </c>
      <c r="G26" s="73" t="s">
        <v>622</v>
      </c>
      <c r="H26" s="79" t="n">
        <v>10</v>
      </c>
      <c r="I26" s="75" t="n">
        <v>0</v>
      </c>
      <c r="J26" s="76" t="n">
        <f aca="false">IF(H26="","",ROUND(H26*(1+I26),2))</f>
        <v>10</v>
      </c>
      <c r="K26" s="76" t="n">
        <f aca="false">IF(J26="","",ROUND(J26*(1+OHP),2))</f>
        <v>12</v>
      </c>
      <c r="L26" s="76" t="n">
        <f aca="false">IF(K26="","",ROUND(K26*(1+VAT),2))</f>
        <v>12.6</v>
      </c>
      <c r="M26" s="73" t="s">
        <v>89</v>
      </c>
      <c r="N26" s="71"/>
      <c r="O26" s="73"/>
      <c r="P26" s="77"/>
      <c r="Q26" s="71"/>
      <c r="R26" s="78" t="s">
        <v>1011</v>
      </c>
    </row>
    <row r="27" customFormat="false" ht="15" hidden="false" customHeight="false" outlineLevel="0" collapsed="false">
      <c r="A27" s="70" t="s">
        <v>1070</v>
      </c>
      <c r="B27" s="71" t="s">
        <v>1059</v>
      </c>
      <c r="C27" s="72" t="s">
        <v>1071</v>
      </c>
      <c r="D27" s="71" t="s">
        <v>1072</v>
      </c>
      <c r="E27" s="71" t="s">
        <v>737</v>
      </c>
      <c r="F27" s="71" t="s">
        <v>217</v>
      </c>
      <c r="G27" s="73" t="s">
        <v>378</v>
      </c>
      <c r="H27" s="79" t="n">
        <v>380</v>
      </c>
      <c r="I27" s="75" t="n">
        <v>0</v>
      </c>
      <c r="J27" s="76" t="n">
        <f aca="false">IF(H27="","",ROUND(H27*(1+I27),2))</f>
        <v>380</v>
      </c>
      <c r="K27" s="76" t="n">
        <f aca="false">IF(J27="","",ROUND(J27*(1+OHP),2))</f>
        <v>456</v>
      </c>
      <c r="L27" s="76" t="n">
        <f aca="false">IF(K27="","",ROUND(K27*(1+VAT),2))</f>
        <v>478.8</v>
      </c>
      <c r="M27" s="73" t="s">
        <v>89</v>
      </c>
      <c r="N27" s="71"/>
      <c r="O27" s="73"/>
      <c r="P27" s="77"/>
      <c r="Q27" s="71"/>
      <c r="R27" s="78" t="s">
        <v>1073</v>
      </c>
    </row>
    <row r="28" customFormat="false" ht="15" hidden="false" customHeight="false" outlineLevel="0" collapsed="false">
      <c r="A28" s="80" t="str">
        <f aca="false">IF(C28="","","BH-"&amp;TEXT(ROW()-4,"000"))</f>
        <v/>
      </c>
      <c r="B28" s="81"/>
      <c r="C28" s="81"/>
      <c r="D28" s="81"/>
      <c r="E28" s="81"/>
      <c r="F28" s="81"/>
      <c r="G28" s="82"/>
      <c r="H28" s="83"/>
      <c r="I28" s="84"/>
      <c r="J28" s="85" t="str">
        <f aca="false">IF(H28="","",ROUND(H28*(1+I28),2))</f>
        <v/>
      </c>
      <c r="K28" s="85" t="str">
        <f aca="false">IF(J28="","",ROUND(J28*(1+OHP),2))</f>
        <v/>
      </c>
      <c r="L28" s="85" t="str">
        <f aca="false">IF(K28="","",ROUND(K28*(1+VAT),2))</f>
        <v/>
      </c>
      <c r="M28" s="82"/>
      <c r="N28" s="81"/>
      <c r="O28" s="82"/>
      <c r="P28" s="86"/>
      <c r="Q28" s="81"/>
      <c r="R28" s="87"/>
    </row>
    <row r="29" customFormat="false" ht="15" hidden="false" customHeight="false" outlineLevel="0" collapsed="false">
      <c r="A29" s="80" t="str">
        <f aca="false">IF(C29="","","BH-"&amp;TEXT(ROW()-4,"000"))</f>
        <v/>
      </c>
      <c r="B29" s="81"/>
      <c r="C29" s="81"/>
      <c r="D29" s="81"/>
      <c r="E29" s="81"/>
      <c r="F29" s="81"/>
      <c r="G29" s="82"/>
      <c r="H29" s="83"/>
      <c r="I29" s="84"/>
      <c r="J29" s="85" t="str">
        <f aca="false">IF(H29="","",ROUND(H29*(1+I29),2))</f>
        <v/>
      </c>
      <c r="K29" s="85" t="str">
        <f aca="false">IF(J29="","",ROUND(J29*(1+OHP),2))</f>
        <v/>
      </c>
      <c r="L29" s="85" t="str">
        <f aca="false">IF(K29="","",ROUND(K29*(1+VAT),2))</f>
        <v/>
      </c>
      <c r="M29" s="82"/>
      <c r="N29" s="81"/>
      <c r="O29" s="82"/>
      <c r="P29" s="86"/>
      <c r="Q29" s="81"/>
      <c r="R29" s="87"/>
    </row>
    <row r="30" customFormat="false" ht="15" hidden="false" customHeight="false" outlineLevel="0" collapsed="false">
      <c r="A30" s="80" t="str">
        <f aca="false">IF(C30="","","BH-"&amp;TEXT(ROW()-4,"000"))</f>
        <v/>
      </c>
      <c r="B30" s="81"/>
      <c r="C30" s="81"/>
      <c r="D30" s="81"/>
      <c r="E30" s="81"/>
      <c r="F30" s="81"/>
      <c r="G30" s="82"/>
      <c r="H30" s="83"/>
      <c r="I30" s="84"/>
      <c r="J30" s="85" t="str">
        <f aca="false">IF(H30="","",ROUND(H30*(1+I30),2))</f>
        <v/>
      </c>
      <c r="K30" s="85" t="str">
        <f aca="false">IF(J30="","",ROUND(J30*(1+OHP),2))</f>
        <v/>
      </c>
      <c r="L30" s="85" t="str">
        <f aca="false">IF(K30="","",ROUND(K30*(1+VAT),2))</f>
        <v/>
      </c>
      <c r="M30" s="82"/>
      <c r="N30" s="81"/>
      <c r="O30" s="82"/>
      <c r="P30" s="86"/>
      <c r="Q30" s="81"/>
      <c r="R30" s="87"/>
    </row>
    <row r="31" customFormat="false" ht="15" hidden="false" customHeight="false" outlineLevel="0" collapsed="false">
      <c r="A31" s="80" t="str">
        <f aca="false">IF(C31="","","BH-"&amp;TEXT(ROW()-4,"000"))</f>
        <v/>
      </c>
      <c r="B31" s="81"/>
      <c r="C31" s="81"/>
      <c r="D31" s="81"/>
      <c r="E31" s="81"/>
      <c r="F31" s="81"/>
      <c r="G31" s="82"/>
      <c r="H31" s="83"/>
      <c r="I31" s="84"/>
      <c r="J31" s="85" t="str">
        <f aca="false">IF(H31="","",ROUND(H31*(1+I31),2))</f>
        <v/>
      </c>
      <c r="K31" s="85" t="str">
        <f aca="false">IF(J31="","",ROUND(J31*(1+OHP),2))</f>
        <v/>
      </c>
      <c r="L31" s="85" t="str">
        <f aca="false">IF(K31="","",ROUND(K31*(1+VAT),2))</f>
        <v/>
      </c>
      <c r="M31" s="82"/>
      <c r="N31" s="81"/>
      <c r="O31" s="82"/>
      <c r="P31" s="86"/>
      <c r="Q31" s="81"/>
      <c r="R31" s="87"/>
    </row>
    <row r="32" customFormat="false" ht="15" hidden="false" customHeight="false" outlineLevel="0" collapsed="false">
      <c r="A32" s="80" t="str">
        <f aca="false">IF(C32="","","BH-"&amp;TEXT(ROW()-4,"000"))</f>
        <v/>
      </c>
      <c r="B32" s="81"/>
      <c r="C32" s="81"/>
      <c r="D32" s="81"/>
      <c r="E32" s="81"/>
      <c r="F32" s="81"/>
      <c r="G32" s="82"/>
      <c r="H32" s="83"/>
      <c r="I32" s="84"/>
      <c r="J32" s="85" t="str">
        <f aca="false">IF(H32="","",ROUND(H32*(1+I32),2))</f>
        <v/>
      </c>
      <c r="K32" s="85" t="str">
        <f aca="false">IF(J32="","",ROUND(J32*(1+OHP),2))</f>
        <v/>
      </c>
      <c r="L32" s="85" t="str">
        <f aca="false">IF(K32="","",ROUND(K32*(1+VAT),2))</f>
        <v/>
      </c>
      <c r="M32" s="82"/>
      <c r="N32" s="81"/>
      <c r="O32" s="82"/>
      <c r="P32" s="86"/>
      <c r="Q32" s="81"/>
      <c r="R32" s="87"/>
    </row>
    <row r="33" customFormat="false" ht="15" hidden="false" customHeight="false" outlineLevel="0" collapsed="false">
      <c r="A33" s="80" t="str">
        <f aca="false">IF(C33="","","BH-"&amp;TEXT(ROW()-4,"000"))</f>
        <v/>
      </c>
      <c r="B33" s="81"/>
      <c r="C33" s="81"/>
      <c r="D33" s="81"/>
      <c r="E33" s="81"/>
      <c r="F33" s="81"/>
      <c r="G33" s="82"/>
      <c r="H33" s="83"/>
      <c r="I33" s="84"/>
      <c r="J33" s="85" t="str">
        <f aca="false">IF(H33="","",ROUND(H33*(1+I33),2))</f>
        <v/>
      </c>
      <c r="K33" s="85" t="str">
        <f aca="false">IF(J33="","",ROUND(J33*(1+OHP),2))</f>
        <v/>
      </c>
      <c r="L33" s="85" t="str">
        <f aca="false">IF(K33="","",ROUND(K33*(1+VAT),2))</f>
        <v/>
      </c>
      <c r="M33" s="82"/>
      <c r="N33" s="81"/>
      <c r="O33" s="82"/>
      <c r="P33" s="86"/>
      <c r="Q33" s="81"/>
      <c r="R33" s="87"/>
    </row>
    <row r="34" customFormat="false" ht="15" hidden="false" customHeight="false" outlineLevel="0" collapsed="false">
      <c r="A34" s="80" t="str">
        <f aca="false">IF(C34="","","BH-"&amp;TEXT(ROW()-4,"000"))</f>
        <v/>
      </c>
      <c r="B34" s="81"/>
      <c r="C34" s="81"/>
      <c r="D34" s="81"/>
      <c r="E34" s="81"/>
      <c r="F34" s="81"/>
      <c r="G34" s="82"/>
      <c r="H34" s="83"/>
      <c r="I34" s="84"/>
      <c r="J34" s="85" t="str">
        <f aca="false">IF(H34="","",ROUND(H34*(1+I34),2))</f>
        <v/>
      </c>
      <c r="K34" s="85" t="str">
        <f aca="false">IF(J34="","",ROUND(J34*(1+OHP),2))</f>
        <v/>
      </c>
      <c r="L34" s="85" t="str">
        <f aca="false">IF(K34="","",ROUND(K34*(1+VAT),2))</f>
        <v/>
      </c>
      <c r="M34" s="82"/>
      <c r="N34" s="81"/>
      <c r="O34" s="82"/>
      <c r="P34" s="86"/>
      <c r="Q34" s="81"/>
      <c r="R34" s="87"/>
    </row>
    <row r="35" customFormat="false" ht="15" hidden="false" customHeight="false" outlineLevel="0" collapsed="false">
      <c r="A35" s="80" t="str">
        <f aca="false">IF(C35="","","BH-"&amp;TEXT(ROW()-4,"000"))</f>
        <v/>
      </c>
      <c r="B35" s="81"/>
      <c r="C35" s="81"/>
      <c r="D35" s="81"/>
      <c r="E35" s="81"/>
      <c r="F35" s="81"/>
      <c r="G35" s="82"/>
      <c r="H35" s="83"/>
      <c r="I35" s="84"/>
      <c r="J35" s="85" t="str">
        <f aca="false">IF(H35="","",ROUND(H35*(1+I35),2))</f>
        <v/>
      </c>
      <c r="K35" s="85" t="str">
        <f aca="false">IF(J35="","",ROUND(J35*(1+OHP),2))</f>
        <v/>
      </c>
      <c r="L35" s="85" t="str">
        <f aca="false">IF(K35="","",ROUND(K35*(1+VAT),2))</f>
        <v/>
      </c>
      <c r="M35" s="82"/>
      <c r="N35" s="81"/>
      <c r="O35" s="82"/>
      <c r="P35" s="86"/>
      <c r="Q35" s="81"/>
      <c r="R35" s="87"/>
    </row>
    <row r="36" customFormat="false" ht="15" hidden="false" customHeight="false" outlineLevel="0" collapsed="false">
      <c r="A36" s="80" t="str">
        <f aca="false">IF(C36="","","BH-"&amp;TEXT(ROW()-4,"000"))</f>
        <v/>
      </c>
      <c r="B36" s="81"/>
      <c r="C36" s="81"/>
      <c r="D36" s="81"/>
      <c r="E36" s="81"/>
      <c r="F36" s="81"/>
      <c r="G36" s="82"/>
      <c r="H36" s="83"/>
      <c r="I36" s="84"/>
      <c r="J36" s="85" t="str">
        <f aca="false">IF(H36="","",ROUND(H36*(1+I36),2))</f>
        <v/>
      </c>
      <c r="K36" s="85" t="str">
        <f aca="false">IF(J36="","",ROUND(J36*(1+OHP),2))</f>
        <v/>
      </c>
      <c r="L36" s="85" t="str">
        <f aca="false">IF(K36="","",ROUND(K36*(1+VAT),2))</f>
        <v/>
      </c>
      <c r="M36" s="82"/>
      <c r="N36" s="81"/>
      <c r="O36" s="82"/>
      <c r="P36" s="86"/>
      <c r="Q36" s="81"/>
      <c r="R36" s="87"/>
    </row>
    <row r="37" customFormat="false" ht="15" hidden="false" customHeight="false" outlineLevel="0" collapsed="false">
      <c r="A37" s="80" t="str">
        <f aca="false">IF(C37="","","BH-"&amp;TEXT(ROW()-4,"000"))</f>
        <v/>
      </c>
      <c r="B37" s="81"/>
      <c r="C37" s="81"/>
      <c r="D37" s="81"/>
      <c r="E37" s="81"/>
      <c r="F37" s="81"/>
      <c r="G37" s="82"/>
      <c r="H37" s="83"/>
      <c r="I37" s="84"/>
      <c r="J37" s="85" t="str">
        <f aca="false">IF(H37="","",ROUND(H37*(1+I37),2))</f>
        <v/>
      </c>
      <c r="K37" s="85" t="str">
        <f aca="false">IF(J37="","",ROUND(J37*(1+OHP),2))</f>
        <v/>
      </c>
      <c r="L37" s="85" t="str">
        <f aca="false">IF(K37="","",ROUND(K37*(1+VAT),2))</f>
        <v/>
      </c>
      <c r="M37" s="82"/>
      <c r="N37" s="81"/>
      <c r="O37" s="82"/>
      <c r="P37" s="86"/>
      <c r="Q37" s="81"/>
      <c r="R37" s="87"/>
    </row>
    <row r="38" customFormat="false" ht="15" hidden="false" customHeight="false" outlineLevel="0" collapsed="false">
      <c r="A38" s="80" t="str">
        <f aca="false">IF(C38="","","BH-"&amp;TEXT(ROW()-4,"000"))</f>
        <v/>
      </c>
      <c r="B38" s="81"/>
      <c r="C38" s="81"/>
      <c r="D38" s="81"/>
      <c r="E38" s="81"/>
      <c r="F38" s="81"/>
      <c r="G38" s="82"/>
      <c r="H38" s="83"/>
      <c r="I38" s="84"/>
      <c r="J38" s="85" t="str">
        <f aca="false">IF(H38="","",ROUND(H38*(1+I38),2))</f>
        <v/>
      </c>
      <c r="K38" s="85" t="str">
        <f aca="false">IF(J38="","",ROUND(J38*(1+OHP),2))</f>
        <v/>
      </c>
      <c r="L38" s="85" t="str">
        <f aca="false">IF(K38="","",ROUND(K38*(1+VAT),2))</f>
        <v/>
      </c>
      <c r="M38" s="82"/>
      <c r="N38" s="81"/>
      <c r="O38" s="82"/>
      <c r="P38" s="86"/>
      <c r="Q38" s="81"/>
      <c r="R38" s="87"/>
    </row>
    <row r="39" customFormat="false" ht="15" hidden="false" customHeight="false" outlineLevel="0" collapsed="false">
      <c r="A39" s="80" t="str">
        <f aca="false">IF(C39="","","BH-"&amp;TEXT(ROW()-4,"000"))</f>
        <v/>
      </c>
      <c r="B39" s="81"/>
      <c r="C39" s="81"/>
      <c r="D39" s="81"/>
      <c r="E39" s="81"/>
      <c r="F39" s="81"/>
      <c r="G39" s="82"/>
      <c r="H39" s="83"/>
      <c r="I39" s="84"/>
      <c r="J39" s="85" t="str">
        <f aca="false">IF(H39="","",ROUND(H39*(1+I39),2))</f>
        <v/>
      </c>
      <c r="K39" s="85" t="str">
        <f aca="false">IF(J39="","",ROUND(J39*(1+OHP),2))</f>
        <v/>
      </c>
      <c r="L39" s="85" t="str">
        <f aca="false">IF(K39="","",ROUND(K39*(1+VAT),2))</f>
        <v/>
      </c>
      <c r="M39" s="82"/>
      <c r="N39" s="81"/>
      <c r="O39" s="82"/>
      <c r="P39" s="86"/>
      <c r="Q39" s="81"/>
      <c r="R39" s="87"/>
    </row>
    <row r="40" customFormat="false" ht="15" hidden="false" customHeight="false" outlineLevel="0" collapsed="false">
      <c r="A40" s="80" t="str">
        <f aca="false">IF(C40="","","BH-"&amp;TEXT(ROW()-4,"000"))</f>
        <v/>
      </c>
      <c r="B40" s="81"/>
      <c r="C40" s="81"/>
      <c r="D40" s="81"/>
      <c r="E40" s="81"/>
      <c r="F40" s="81"/>
      <c r="G40" s="82"/>
      <c r="H40" s="83"/>
      <c r="I40" s="84"/>
      <c r="J40" s="85" t="str">
        <f aca="false">IF(H40="","",ROUND(H40*(1+I40),2))</f>
        <v/>
      </c>
      <c r="K40" s="85" t="str">
        <f aca="false">IF(J40="","",ROUND(J40*(1+OHP),2))</f>
        <v/>
      </c>
      <c r="L40" s="85" t="str">
        <f aca="false">IF(K40="","",ROUND(K40*(1+VAT),2))</f>
        <v/>
      </c>
      <c r="M40" s="82"/>
      <c r="N40" s="81"/>
      <c r="O40" s="82"/>
      <c r="P40" s="86"/>
      <c r="Q40" s="81"/>
      <c r="R40" s="87"/>
    </row>
    <row r="41" customFormat="false" ht="15" hidden="false" customHeight="false" outlineLevel="0" collapsed="false">
      <c r="A41" s="80" t="str">
        <f aca="false">IF(C41="","","BH-"&amp;TEXT(ROW()-4,"000"))</f>
        <v/>
      </c>
      <c r="B41" s="81"/>
      <c r="C41" s="81"/>
      <c r="D41" s="81"/>
      <c r="E41" s="81"/>
      <c r="F41" s="81"/>
      <c r="G41" s="82"/>
      <c r="H41" s="83"/>
      <c r="I41" s="84"/>
      <c r="J41" s="85" t="str">
        <f aca="false">IF(H41="","",ROUND(H41*(1+I41),2))</f>
        <v/>
      </c>
      <c r="K41" s="85" t="str">
        <f aca="false">IF(J41="","",ROUND(J41*(1+OHP),2))</f>
        <v/>
      </c>
      <c r="L41" s="85" t="str">
        <f aca="false">IF(K41="","",ROUND(K41*(1+VAT),2))</f>
        <v/>
      </c>
      <c r="M41" s="82"/>
      <c r="N41" s="81"/>
      <c r="O41" s="82"/>
      <c r="P41" s="86"/>
      <c r="Q41" s="81"/>
      <c r="R41" s="87"/>
    </row>
    <row r="42" customFormat="false" ht="15" hidden="false" customHeight="false" outlineLevel="0" collapsed="false">
      <c r="A42" s="80" t="str">
        <f aca="false">IF(C42="","","BH-"&amp;TEXT(ROW()-4,"000"))</f>
        <v/>
      </c>
      <c r="B42" s="81"/>
      <c r="C42" s="81"/>
      <c r="D42" s="81"/>
      <c r="E42" s="81"/>
      <c r="F42" s="81"/>
      <c r="G42" s="82"/>
      <c r="H42" s="83"/>
      <c r="I42" s="84"/>
      <c r="J42" s="85" t="str">
        <f aca="false">IF(H42="","",ROUND(H42*(1+I42),2))</f>
        <v/>
      </c>
      <c r="K42" s="85" t="str">
        <f aca="false">IF(J42="","",ROUND(J42*(1+OHP),2))</f>
        <v/>
      </c>
      <c r="L42" s="85" t="str">
        <f aca="false">IF(K42="","",ROUND(K42*(1+VAT),2))</f>
        <v/>
      </c>
      <c r="M42" s="82"/>
      <c r="N42" s="81"/>
      <c r="O42" s="82"/>
      <c r="P42" s="86"/>
      <c r="Q42" s="81"/>
      <c r="R42" s="87"/>
    </row>
  </sheetData>
  <autoFilter ref="A4:R42"/>
  <mergeCells count="2">
    <mergeCell ref="A1:R1"/>
    <mergeCell ref="A2:R2"/>
  </mergeCells>
  <conditionalFormatting sqref="A5:R42">
    <cfRule type="expression" priority="2" aboveAverage="0" equalAverage="0" bottom="0" percent="0" rank="0" text="" dxfId="1">
      <formula>AND($C5&lt;&gt;"",MOD(ROW(),2)=0,$M5&lt;&gt;"Obsolete")</formula>
    </cfRule>
    <cfRule type="expression" priority="3" aboveAverage="0" equalAverage="0" bottom="0" percent="0" rank="0" text="" dxfId="12">
      <formula>$M5="Obsolete"</formula>
    </cfRule>
  </conditionalFormatting>
  <conditionalFormatting sqref="M5:M42">
    <cfRule type="expression" priority="4" aboveAverage="0" equalAverage="0" bottom="0" percent="0" rank="0" text="" dxfId="13">
      <formula>$M5="Indicative"</formula>
    </cfRule>
    <cfRule type="expression" priority="5" aboveAverage="0" equalAverage="0" bottom="0" percent="0" rank="0" text="" dxfId="14">
      <formula>$M5="Quoted"</formula>
    </cfRule>
    <cfRule type="expression" priority="6" aboveAverage="0" equalAverage="0" bottom="0" percent="0" rank="0" text="" dxfId="15">
      <formula>$M5="Verified"</formula>
    </cfRule>
    <cfRule type="expression" priority="7" aboveAverage="0" equalAverage="0" bottom="0" percent="0" rank="0" text="" dxfId="16">
      <formula>$M5="Obsolete"</formula>
    </cfRule>
  </conditionalFormatting>
  <dataValidations count="2">
    <dataValidation allowBlank="true" error="Enter wastage as a percentage, e.g. 5%" errorStyle="stop" operator="between" showDropDown="false" showErrorMessage="false" showInputMessage="false" sqref="I5:I42" type="decimal">
      <formula1>0</formula1>
      <formula2>1</formula2>
    </dataValidation>
    <dataValidation allowBlank="true" errorStyle="stop" operator="between" showDropDown="false" showErrorMessage="false" showInputMessage="false" sqref="M5:M42" type="list">
      <formula1>"Indicative,Quoted,Verified,Obsolete"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&amp;L&amp;8Balustrade Handrail Components&amp;C&amp;8Page &amp;P of &amp;N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E0B4"/>
    <pageSetUpPr fitToPage="true"/>
  </sheetPr>
  <dimension ref="A1:R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32"/>
    <col collapsed="false" customWidth="true" hidden="false" outlineLevel="0" max="5" min="5" style="0" width="20"/>
    <col collapsed="false" customWidth="true" hidden="false" outlineLevel="0" max="6" min="6" style="0" width="26"/>
    <col collapsed="false" customWidth="true" hidden="false" outlineLevel="0" max="7" min="7" style="0" width="7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1" min="10" style="0" width="13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20"/>
    <col collapsed="false" customWidth="true" hidden="false" outlineLevel="0" max="15" min="15" style="0" width="13"/>
    <col collapsed="false" customWidth="true" hidden="false" outlineLevel="0" max="16" min="16" style="0" width="12"/>
    <col collapsed="false" customWidth="true" hidden="false" outlineLevel="0" max="17" min="17" style="0" width="26"/>
    <col collapsed="false" customWidth="true" hidden="false" outlineLevel="0" max="18" min="18" style="0" width="34"/>
  </cols>
  <sheetData>
    <row r="1" customFormat="false" ht="30" hidden="false" customHeight="true" outlineLevel="0" collapsed="false">
      <c r="A1" s="65" t="s">
        <v>1074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</row>
    <row r="2" customFormat="false" ht="15" hidden="false" customHeight="false" outlineLevel="0" collapsed="false">
      <c r="A2" s="94" t="s">
        <v>1075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</row>
    <row r="3" customFormat="false" ht="15" hidden="false" customHeight="false" outlineLevel="0" collapsed="false">
      <c r="A3" s="7" t="str">
        <f aca="false">HYPERLINK("#Index!A1","&lt;&lt; Back to Index")</f>
        <v>&lt;&lt; Back to Index</v>
      </c>
      <c r="D3" s="67" t="s">
        <v>180</v>
      </c>
      <c r="E3" s="68" t="n">
        <f aca="false">COUNTA(C5:C65)</f>
        <v>46</v>
      </c>
      <c r="H3" s="69" t="s">
        <v>181</v>
      </c>
    </row>
    <row r="4" customFormat="false" ht="31.5" hidden="false" customHeight="true" outlineLevel="0" collapsed="false">
      <c r="A4" s="8" t="s">
        <v>110</v>
      </c>
      <c r="B4" s="8" t="s">
        <v>121</v>
      </c>
      <c r="C4" s="8" t="s">
        <v>111</v>
      </c>
      <c r="D4" s="8" t="s">
        <v>112</v>
      </c>
      <c r="E4" s="8" t="s">
        <v>113</v>
      </c>
      <c r="F4" s="8" t="s">
        <v>114</v>
      </c>
      <c r="G4" s="8" t="s">
        <v>115</v>
      </c>
      <c r="H4" s="8" t="s">
        <v>182</v>
      </c>
      <c r="I4" s="8" t="s">
        <v>183</v>
      </c>
      <c r="J4" s="8" t="s">
        <v>184</v>
      </c>
      <c r="K4" s="8" t="s">
        <v>185</v>
      </c>
      <c r="L4" s="8" t="s">
        <v>186</v>
      </c>
      <c r="M4" s="8" t="s">
        <v>119</v>
      </c>
      <c r="N4" s="8" t="s">
        <v>187</v>
      </c>
      <c r="O4" s="8" t="s">
        <v>188</v>
      </c>
      <c r="P4" s="8" t="s">
        <v>189</v>
      </c>
      <c r="Q4" s="8" t="s">
        <v>190</v>
      </c>
      <c r="R4" s="8" t="s">
        <v>191</v>
      </c>
    </row>
    <row r="5" customFormat="false" ht="15" hidden="false" customHeight="false" outlineLevel="0" collapsed="false">
      <c r="A5" s="70" t="s">
        <v>1076</v>
      </c>
      <c r="B5" s="71" t="s">
        <v>1077</v>
      </c>
      <c r="C5" s="72" t="s">
        <v>1078</v>
      </c>
      <c r="D5" s="71" t="s">
        <v>1079</v>
      </c>
      <c r="E5" s="71" t="s">
        <v>1080</v>
      </c>
      <c r="F5" s="71" t="s">
        <v>1081</v>
      </c>
      <c r="G5" s="73" t="s">
        <v>198</v>
      </c>
      <c r="H5" s="79" t="n">
        <v>45</v>
      </c>
      <c r="I5" s="75" t="n">
        <v>0.1</v>
      </c>
      <c r="J5" s="76" t="n">
        <f aca="false">IF(H5="","",ROUND(H5*(1+I5),2))</f>
        <v>49.5</v>
      </c>
      <c r="K5" s="76" t="n">
        <f aca="false">IF(J5="","",ROUND(J5*(1+OHP),2))</f>
        <v>59.4</v>
      </c>
      <c r="L5" s="76" t="n">
        <f aca="false">IF(K5="","",ROUND(K5*(1+VAT),2))</f>
        <v>62.37</v>
      </c>
      <c r="M5" s="73" t="s">
        <v>89</v>
      </c>
      <c r="N5" s="71"/>
      <c r="O5" s="73"/>
      <c r="P5" s="77"/>
      <c r="Q5" s="71"/>
      <c r="R5" s="78" t="s">
        <v>1082</v>
      </c>
    </row>
    <row r="6" customFormat="false" ht="15" hidden="false" customHeight="false" outlineLevel="0" collapsed="false">
      <c r="A6" s="70" t="s">
        <v>1083</v>
      </c>
      <c r="B6" s="71" t="s">
        <v>1077</v>
      </c>
      <c r="C6" s="72" t="s">
        <v>1084</v>
      </c>
      <c r="D6" s="71" t="s">
        <v>1085</v>
      </c>
      <c r="E6" s="71" t="s">
        <v>1080</v>
      </c>
      <c r="F6" s="71" t="s">
        <v>1086</v>
      </c>
      <c r="G6" s="73" t="s">
        <v>622</v>
      </c>
      <c r="H6" s="79" t="n">
        <v>34</v>
      </c>
      <c r="I6" s="75" t="n">
        <v>0.1</v>
      </c>
      <c r="J6" s="76" t="n">
        <f aca="false">IF(H6="","",ROUND(H6*(1+I6),2))</f>
        <v>37.4</v>
      </c>
      <c r="K6" s="76" t="n">
        <f aca="false">IF(J6="","",ROUND(J6*(1+OHP),2))</f>
        <v>44.88</v>
      </c>
      <c r="L6" s="76" t="n">
        <f aca="false">IF(K6="","",ROUND(K6*(1+VAT),2))</f>
        <v>47.12</v>
      </c>
      <c r="M6" s="73" t="s">
        <v>89</v>
      </c>
      <c r="N6" s="71"/>
      <c r="O6" s="73"/>
      <c r="P6" s="77"/>
      <c r="Q6" s="71"/>
      <c r="R6" s="78" t="s">
        <v>1082</v>
      </c>
    </row>
    <row r="7" customFormat="false" ht="15" hidden="false" customHeight="false" outlineLevel="0" collapsed="false">
      <c r="A7" s="70" t="s">
        <v>1087</v>
      </c>
      <c r="B7" s="71" t="s">
        <v>1077</v>
      </c>
      <c r="C7" s="72" t="s">
        <v>1088</v>
      </c>
      <c r="D7" s="71" t="s">
        <v>1085</v>
      </c>
      <c r="E7" s="71" t="s">
        <v>1089</v>
      </c>
      <c r="F7" s="71" t="s">
        <v>1090</v>
      </c>
      <c r="G7" s="73" t="s">
        <v>622</v>
      </c>
      <c r="H7" s="79" t="n">
        <v>28</v>
      </c>
      <c r="I7" s="75" t="n">
        <v>0.1</v>
      </c>
      <c r="J7" s="76" t="n">
        <f aca="false">IF(H7="","",ROUND(H7*(1+I7),2))</f>
        <v>30.8</v>
      </c>
      <c r="K7" s="76" t="n">
        <f aca="false">IF(J7="","",ROUND(J7*(1+OHP),2))</f>
        <v>36.96</v>
      </c>
      <c r="L7" s="76" t="n">
        <f aca="false">IF(K7="","",ROUND(K7*(1+VAT),2))</f>
        <v>38.81</v>
      </c>
      <c r="M7" s="73" t="s">
        <v>89</v>
      </c>
      <c r="N7" s="71"/>
      <c r="O7" s="73"/>
      <c r="P7" s="77"/>
      <c r="Q7" s="71"/>
      <c r="R7" s="78" t="s">
        <v>1082</v>
      </c>
    </row>
    <row r="8" customFormat="false" ht="15" hidden="false" customHeight="false" outlineLevel="0" collapsed="false">
      <c r="A8" s="70" t="s">
        <v>1091</v>
      </c>
      <c r="B8" s="71" t="s">
        <v>1077</v>
      </c>
      <c r="C8" s="72" t="s">
        <v>1088</v>
      </c>
      <c r="D8" s="71" t="s">
        <v>1092</v>
      </c>
      <c r="E8" s="71" t="s">
        <v>1089</v>
      </c>
      <c r="F8" s="71" t="s">
        <v>1093</v>
      </c>
      <c r="G8" s="73" t="s">
        <v>622</v>
      </c>
      <c r="H8" s="79" t="n">
        <v>16</v>
      </c>
      <c r="I8" s="75" t="n">
        <v>0.1</v>
      </c>
      <c r="J8" s="76" t="n">
        <f aca="false">IF(H8="","",ROUND(H8*(1+I8),2))</f>
        <v>17.6</v>
      </c>
      <c r="K8" s="76" t="n">
        <f aca="false">IF(J8="","",ROUND(J8*(1+OHP),2))</f>
        <v>21.12</v>
      </c>
      <c r="L8" s="76" t="n">
        <f aca="false">IF(K8="","",ROUND(K8*(1+VAT),2))</f>
        <v>22.18</v>
      </c>
      <c r="M8" s="73" t="s">
        <v>89</v>
      </c>
      <c r="N8" s="71"/>
      <c r="O8" s="73"/>
      <c r="P8" s="77"/>
      <c r="Q8" s="71"/>
      <c r="R8" s="78" t="s">
        <v>1082</v>
      </c>
    </row>
    <row r="9" customFormat="false" ht="15" hidden="false" customHeight="false" outlineLevel="0" collapsed="false">
      <c r="A9" s="70" t="s">
        <v>1094</v>
      </c>
      <c r="B9" s="71" t="s">
        <v>1077</v>
      </c>
      <c r="C9" s="72" t="s">
        <v>1095</v>
      </c>
      <c r="D9" s="71" t="s">
        <v>1092</v>
      </c>
      <c r="E9" s="71" t="s">
        <v>1096</v>
      </c>
      <c r="F9" s="71" t="s">
        <v>1097</v>
      </c>
      <c r="G9" s="73" t="s">
        <v>622</v>
      </c>
      <c r="H9" s="79" t="n">
        <v>10</v>
      </c>
      <c r="I9" s="75" t="n">
        <v>0.1</v>
      </c>
      <c r="J9" s="76" t="n">
        <f aca="false">IF(H9="","",ROUND(H9*(1+I9),2))</f>
        <v>11</v>
      </c>
      <c r="K9" s="76" t="n">
        <f aca="false">IF(J9="","",ROUND(J9*(1+OHP),2))</f>
        <v>13.2</v>
      </c>
      <c r="L9" s="76" t="n">
        <f aca="false">IF(K9="","",ROUND(K9*(1+VAT),2))</f>
        <v>13.86</v>
      </c>
      <c r="M9" s="73" t="s">
        <v>89</v>
      </c>
      <c r="N9" s="71"/>
      <c r="O9" s="73"/>
      <c r="P9" s="77"/>
      <c r="Q9" s="71"/>
      <c r="R9" s="78" t="s">
        <v>1082</v>
      </c>
    </row>
    <row r="10" customFormat="false" ht="15" hidden="false" customHeight="false" outlineLevel="0" collapsed="false">
      <c r="A10" s="70" t="s">
        <v>1098</v>
      </c>
      <c r="B10" s="71" t="s">
        <v>1077</v>
      </c>
      <c r="C10" s="72" t="s">
        <v>1099</v>
      </c>
      <c r="D10" s="71" t="s">
        <v>1092</v>
      </c>
      <c r="E10" s="71" t="s">
        <v>1100</v>
      </c>
      <c r="F10" s="71" t="s">
        <v>732</v>
      </c>
      <c r="G10" s="73" t="s">
        <v>622</v>
      </c>
      <c r="H10" s="79" t="n">
        <v>18</v>
      </c>
      <c r="I10" s="75" t="n">
        <v>0.1</v>
      </c>
      <c r="J10" s="76" t="n">
        <f aca="false">IF(H10="","",ROUND(H10*(1+I10),2))</f>
        <v>19.8</v>
      </c>
      <c r="K10" s="76" t="n">
        <f aca="false">IF(J10="","",ROUND(J10*(1+OHP),2))</f>
        <v>23.76</v>
      </c>
      <c r="L10" s="76" t="n">
        <f aca="false">IF(K10="","",ROUND(K10*(1+VAT),2))</f>
        <v>24.95</v>
      </c>
      <c r="M10" s="73" t="s">
        <v>89</v>
      </c>
      <c r="N10" s="71"/>
      <c r="O10" s="73"/>
      <c r="P10" s="77"/>
      <c r="Q10" s="71"/>
      <c r="R10" s="78" t="s">
        <v>1101</v>
      </c>
    </row>
    <row r="11" customFormat="false" ht="15" hidden="false" customHeight="false" outlineLevel="0" collapsed="false">
      <c r="A11" s="70" t="s">
        <v>1102</v>
      </c>
      <c r="B11" s="71" t="s">
        <v>1077</v>
      </c>
      <c r="C11" s="72" t="s">
        <v>1103</v>
      </c>
      <c r="D11" s="71" t="s">
        <v>1104</v>
      </c>
      <c r="E11" s="71" t="s">
        <v>1080</v>
      </c>
      <c r="F11" s="71" t="s">
        <v>1105</v>
      </c>
      <c r="G11" s="73" t="s">
        <v>198</v>
      </c>
      <c r="H11" s="79" t="n">
        <v>38</v>
      </c>
      <c r="I11" s="75" t="n">
        <v>0.1</v>
      </c>
      <c r="J11" s="76" t="n">
        <f aca="false">IF(H11="","",ROUND(H11*(1+I11),2))</f>
        <v>41.8</v>
      </c>
      <c r="K11" s="76" t="n">
        <f aca="false">IF(J11="","",ROUND(J11*(1+OHP),2))</f>
        <v>50.16</v>
      </c>
      <c r="L11" s="76" t="n">
        <f aca="false">IF(K11="","",ROUND(K11*(1+VAT),2))</f>
        <v>52.67</v>
      </c>
      <c r="M11" s="73" t="s">
        <v>89</v>
      </c>
      <c r="N11" s="71"/>
      <c r="O11" s="73"/>
      <c r="P11" s="77"/>
      <c r="Q11" s="71"/>
      <c r="R11" s="78" t="s">
        <v>1106</v>
      </c>
    </row>
    <row r="12" customFormat="false" ht="23.85" hidden="false" customHeight="false" outlineLevel="0" collapsed="false">
      <c r="A12" s="70" t="s">
        <v>1107</v>
      </c>
      <c r="B12" s="71" t="s">
        <v>1108</v>
      </c>
      <c r="C12" s="72" t="s">
        <v>1109</v>
      </c>
      <c r="D12" s="71" t="s">
        <v>1085</v>
      </c>
      <c r="E12" s="71" t="s">
        <v>1110</v>
      </c>
      <c r="F12" s="71" t="s">
        <v>1111</v>
      </c>
      <c r="G12" s="73" t="s">
        <v>622</v>
      </c>
      <c r="H12" s="79" t="n">
        <v>30</v>
      </c>
      <c r="I12" s="75" t="n">
        <v>0.1</v>
      </c>
      <c r="J12" s="76" t="n">
        <f aca="false">IF(H12="","",ROUND(H12*(1+I12),2))</f>
        <v>33</v>
      </c>
      <c r="K12" s="76" t="n">
        <f aca="false">IF(J12="","",ROUND(J12*(1+OHP),2))</f>
        <v>39.6</v>
      </c>
      <c r="L12" s="76" t="n">
        <f aca="false">IF(K12="","",ROUND(K12*(1+VAT),2))</f>
        <v>41.58</v>
      </c>
      <c r="M12" s="73" t="s">
        <v>89</v>
      </c>
      <c r="N12" s="71"/>
      <c r="O12" s="73"/>
      <c r="P12" s="77"/>
      <c r="Q12" s="71"/>
      <c r="R12" s="78" t="s">
        <v>1112</v>
      </c>
    </row>
    <row r="13" customFormat="false" ht="23.85" hidden="false" customHeight="false" outlineLevel="0" collapsed="false">
      <c r="A13" s="70" t="s">
        <v>1113</v>
      </c>
      <c r="B13" s="71" t="s">
        <v>1108</v>
      </c>
      <c r="C13" s="72" t="s">
        <v>1114</v>
      </c>
      <c r="D13" s="71" t="s">
        <v>1115</v>
      </c>
      <c r="E13" s="71" t="s">
        <v>457</v>
      </c>
      <c r="F13" s="71" t="s">
        <v>349</v>
      </c>
      <c r="G13" s="73" t="s">
        <v>622</v>
      </c>
      <c r="H13" s="79" t="n">
        <v>18</v>
      </c>
      <c r="I13" s="75" t="n">
        <v>0.1</v>
      </c>
      <c r="J13" s="76" t="n">
        <f aca="false">IF(H13="","",ROUND(H13*(1+I13),2))</f>
        <v>19.8</v>
      </c>
      <c r="K13" s="76" t="n">
        <f aca="false">IF(J13="","",ROUND(J13*(1+OHP),2))</f>
        <v>23.76</v>
      </c>
      <c r="L13" s="76" t="n">
        <f aca="false">IF(K13="","",ROUND(K13*(1+VAT),2))</f>
        <v>24.95</v>
      </c>
      <c r="M13" s="73" t="s">
        <v>89</v>
      </c>
      <c r="N13" s="71"/>
      <c r="O13" s="73"/>
      <c r="P13" s="77"/>
      <c r="Q13" s="71"/>
      <c r="R13" s="78" t="s">
        <v>1112</v>
      </c>
    </row>
    <row r="14" customFormat="false" ht="23.85" hidden="false" customHeight="false" outlineLevel="0" collapsed="false">
      <c r="A14" s="70" t="s">
        <v>1116</v>
      </c>
      <c r="B14" s="71" t="s">
        <v>1108</v>
      </c>
      <c r="C14" s="72" t="s">
        <v>1117</v>
      </c>
      <c r="D14" s="71" t="s">
        <v>731</v>
      </c>
      <c r="E14" s="71" t="s">
        <v>1118</v>
      </c>
      <c r="F14" s="71" t="s">
        <v>1119</v>
      </c>
      <c r="G14" s="73" t="s">
        <v>622</v>
      </c>
      <c r="H14" s="79" t="n">
        <v>45</v>
      </c>
      <c r="I14" s="75" t="n">
        <v>0.1</v>
      </c>
      <c r="J14" s="76" t="n">
        <f aca="false">IF(H14="","",ROUND(H14*(1+I14),2))</f>
        <v>49.5</v>
      </c>
      <c r="K14" s="76" t="n">
        <f aca="false">IF(J14="","",ROUND(J14*(1+OHP),2))</f>
        <v>59.4</v>
      </c>
      <c r="L14" s="76" t="n">
        <f aca="false">IF(K14="","",ROUND(K14*(1+VAT),2))</f>
        <v>62.37</v>
      </c>
      <c r="M14" s="73" t="s">
        <v>89</v>
      </c>
      <c r="N14" s="71"/>
      <c r="O14" s="73"/>
      <c r="P14" s="77"/>
      <c r="Q14" s="71"/>
      <c r="R14" s="78" t="s">
        <v>1120</v>
      </c>
    </row>
    <row r="15" customFormat="false" ht="23.85" hidden="false" customHeight="false" outlineLevel="0" collapsed="false">
      <c r="A15" s="70" t="s">
        <v>1121</v>
      </c>
      <c r="B15" s="71" t="s">
        <v>1108</v>
      </c>
      <c r="C15" s="72" t="s">
        <v>1122</v>
      </c>
      <c r="D15" s="71" t="s">
        <v>1115</v>
      </c>
      <c r="E15" s="71" t="s">
        <v>457</v>
      </c>
      <c r="F15" s="71" t="s">
        <v>1123</v>
      </c>
      <c r="G15" s="73" t="s">
        <v>622</v>
      </c>
      <c r="H15" s="79" t="n">
        <v>55</v>
      </c>
      <c r="I15" s="75" t="n">
        <v>0.1</v>
      </c>
      <c r="J15" s="76" t="n">
        <f aca="false">IF(H15="","",ROUND(H15*(1+I15),2))</f>
        <v>60.5</v>
      </c>
      <c r="K15" s="76" t="n">
        <f aca="false">IF(J15="","",ROUND(J15*(1+OHP),2))</f>
        <v>72.6</v>
      </c>
      <c r="L15" s="76" t="n">
        <f aca="false">IF(K15="","",ROUND(K15*(1+VAT),2))</f>
        <v>76.23</v>
      </c>
      <c r="M15" s="73" t="s">
        <v>89</v>
      </c>
      <c r="N15" s="71"/>
      <c r="O15" s="73"/>
      <c r="P15" s="77"/>
      <c r="Q15" s="71"/>
      <c r="R15" s="78" t="s">
        <v>1120</v>
      </c>
    </row>
    <row r="16" customFormat="false" ht="23.85" hidden="false" customHeight="false" outlineLevel="0" collapsed="false">
      <c r="A16" s="70" t="s">
        <v>1124</v>
      </c>
      <c r="B16" s="71" t="s">
        <v>1108</v>
      </c>
      <c r="C16" s="72" t="s">
        <v>1125</v>
      </c>
      <c r="D16" s="71" t="s">
        <v>1126</v>
      </c>
      <c r="E16" s="71" t="s">
        <v>457</v>
      </c>
      <c r="F16" s="71" t="s">
        <v>1127</v>
      </c>
      <c r="G16" s="73" t="s">
        <v>622</v>
      </c>
      <c r="H16" s="79" t="n">
        <v>75</v>
      </c>
      <c r="I16" s="75" t="n">
        <v>0.1</v>
      </c>
      <c r="J16" s="76" t="n">
        <f aca="false">IF(H16="","",ROUND(H16*(1+I16),2))</f>
        <v>82.5</v>
      </c>
      <c r="K16" s="76" t="n">
        <f aca="false">IF(J16="","",ROUND(J16*(1+OHP),2))</f>
        <v>99</v>
      </c>
      <c r="L16" s="76" t="n">
        <f aca="false">IF(K16="","",ROUND(K16*(1+VAT),2))</f>
        <v>103.95</v>
      </c>
      <c r="M16" s="73" t="s">
        <v>89</v>
      </c>
      <c r="N16" s="71"/>
      <c r="O16" s="73"/>
      <c r="P16" s="77"/>
      <c r="Q16" s="71"/>
      <c r="R16" s="78" t="s">
        <v>1128</v>
      </c>
    </row>
    <row r="17" customFormat="false" ht="23.85" hidden="false" customHeight="false" outlineLevel="0" collapsed="false">
      <c r="A17" s="70" t="s">
        <v>1129</v>
      </c>
      <c r="B17" s="71" t="s">
        <v>1108</v>
      </c>
      <c r="C17" s="72" t="s">
        <v>1130</v>
      </c>
      <c r="D17" s="71" t="s">
        <v>1131</v>
      </c>
      <c r="E17" s="71" t="s">
        <v>457</v>
      </c>
      <c r="F17" s="71" t="s">
        <v>1132</v>
      </c>
      <c r="G17" s="73" t="s">
        <v>1133</v>
      </c>
      <c r="H17" s="79" t="n">
        <v>65</v>
      </c>
      <c r="I17" s="75" t="n">
        <v>0.1</v>
      </c>
      <c r="J17" s="76" t="n">
        <f aca="false">IF(H17="","",ROUND(H17*(1+I17),2))</f>
        <v>71.5</v>
      </c>
      <c r="K17" s="76" t="n">
        <f aca="false">IF(J17="","",ROUND(J17*(1+OHP),2))</f>
        <v>85.8</v>
      </c>
      <c r="L17" s="76" t="n">
        <f aca="false">IF(K17="","",ROUND(K17*(1+VAT),2))</f>
        <v>90.09</v>
      </c>
      <c r="M17" s="73" t="s">
        <v>89</v>
      </c>
      <c r="N17" s="71"/>
      <c r="O17" s="73"/>
      <c r="P17" s="77"/>
      <c r="Q17" s="71"/>
      <c r="R17" s="78" t="s">
        <v>1082</v>
      </c>
    </row>
    <row r="18" customFormat="false" ht="23.85" hidden="false" customHeight="false" outlineLevel="0" collapsed="false">
      <c r="A18" s="70" t="s">
        <v>1134</v>
      </c>
      <c r="B18" s="71" t="s">
        <v>1108</v>
      </c>
      <c r="C18" s="72" t="s">
        <v>1135</v>
      </c>
      <c r="D18" s="71" t="s">
        <v>1136</v>
      </c>
      <c r="E18" s="71" t="s">
        <v>457</v>
      </c>
      <c r="F18" s="71" t="s">
        <v>217</v>
      </c>
      <c r="G18" s="73" t="s">
        <v>1137</v>
      </c>
      <c r="H18" s="79" t="n">
        <v>6</v>
      </c>
      <c r="I18" s="75" t="n">
        <v>0.1</v>
      </c>
      <c r="J18" s="76" t="n">
        <f aca="false">IF(H18="","",ROUND(H18*(1+I18),2))</f>
        <v>6.6</v>
      </c>
      <c r="K18" s="76" t="n">
        <f aca="false">IF(J18="","",ROUND(J18*(1+OHP),2))</f>
        <v>7.92</v>
      </c>
      <c r="L18" s="76" t="n">
        <f aca="false">IF(K18="","",ROUND(K18*(1+VAT),2))</f>
        <v>8.32</v>
      </c>
      <c r="M18" s="73" t="s">
        <v>89</v>
      </c>
      <c r="N18" s="71"/>
      <c r="O18" s="73"/>
      <c r="P18" s="77"/>
      <c r="Q18" s="71"/>
      <c r="R18" s="78" t="s">
        <v>1138</v>
      </c>
    </row>
    <row r="19" customFormat="false" ht="15" hidden="false" customHeight="false" outlineLevel="0" collapsed="false">
      <c r="A19" s="70" t="s">
        <v>1139</v>
      </c>
      <c r="B19" s="71" t="s">
        <v>1140</v>
      </c>
      <c r="C19" s="72" t="s">
        <v>1141</v>
      </c>
      <c r="D19" s="71" t="s">
        <v>742</v>
      </c>
      <c r="E19" s="71" t="s">
        <v>1080</v>
      </c>
      <c r="F19" s="71" t="s">
        <v>349</v>
      </c>
      <c r="G19" s="73" t="s">
        <v>218</v>
      </c>
      <c r="H19" s="79" t="n">
        <v>2.5</v>
      </c>
      <c r="I19" s="75" t="n">
        <v>0.1</v>
      </c>
      <c r="J19" s="76" t="n">
        <f aca="false">IF(H19="","",ROUND(H19*(1+I19),2))</f>
        <v>2.75</v>
      </c>
      <c r="K19" s="76" t="n">
        <f aca="false">IF(J19="","",ROUND(J19*(1+OHP),2))</f>
        <v>3.3</v>
      </c>
      <c r="L19" s="76" t="n">
        <f aca="false">IF(K19="","",ROUND(K19*(1+VAT),2))</f>
        <v>3.47</v>
      </c>
      <c r="M19" s="73" t="s">
        <v>89</v>
      </c>
      <c r="N19" s="71"/>
      <c r="O19" s="73"/>
      <c r="P19" s="77"/>
      <c r="Q19" s="71"/>
      <c r="R19" s="78" t="s">
        <v>1142</v>
      </c>
    </row>
    <row r="20" customFormat="false" ht="15" hidden="false" customHeight="false" outlineLevel="0" collapsed="false">
      <c r="A20" s="70" t="s">
        <v>1143</v>
      </c>
      <c r="B20" s="71" t="s">
        <v>1140</v>
      </c>
      <c r="C20" s="72" t="s">
        <v>1144</v>
      </c>
      <c r="D20" s="71" t="s">
        <v>742</v>
      </c>
      <c r="E20" s="71" t="s">
        <v>1080</v>
      </c>
      <c r="F20" s="71" t="s">
        <v>349</v>
      </c>
      <c r="G20" s="73" t="s">
        <v>218</v>
      </c>
      <c r="H20" s="79" t="n">
        <v>4</v>
      </c>
      <c r="I20" s="75" t="n">
        <v>0.1</v>
      </c>
      <c r="J20" s="76" t="n">
        <f aca="false">IF(H20="","",ROUND(H20*(1+I20),2))</f>
        <v>4.4</v>
      </c>
      <c r="K20" s="76" t="n">
        <f aca="false">IF(J20="","",ROUND(J20*(1+OHP),2))</f>
        <v>5.28</v>
      </c>
      <c r="L20" s="76" t="n">
        <f aca="false">IF(K20="","",ROUND(K20*(1+VAT),2))</f>
        <v>5.54</v>
      </c>
      <c r="M20" s="73" t="s">
        <v>89</v>
      </c>
      <c r="N20" s="71"/>
      <c r="O20" s="73"/>
      <c r="P20" s="77"/>
      <c r="Q20" s="71"/>
      <c r="R20" s="78" t="s">
        <v>1142</v>
      </c>
    </row>
    <row r="21" customFormat="false" ht="15" hidden="false" customHeight="false" outlineLevel="0" collapsed="false">
      <c r="A21" s="70" t="s">
        <v>1145</v>
      </c>
      <c r="B21" s="71" t="s">
        <v>1140</v>
      </c>
      <c r="C21" s="72" t="s">
        <v>1146</v>
      </c>
      <c r="D21" s="71" t="s">
        <v>742</v>
      </c>
      <c r="E21" s="71" t="s">
        <v>1080</v>
      </c>
      <c r="F21" s="71" t="s">
        <v>453</v>
      </c>
      <c r="G21" s="73" t="s">
        <v>218</v>
      </c>
      <c r="H21" s="79" t="n">
        <v>7</v>
      </c>
      <c r="I21" s="75" t="n">
        <v>0.1</v>
      </c>
      <c r="J21" s="76" t="n">
        <f aca="false">IF(H21="","",ROUND(H21*(1+I21),2))</f>
        <v>7.7</v>
      </c>
      <c r="K21" s="76" t="n">
        <f aca="false">IF(J21="","",ROUND(J21*(1+OHP),2))</f>
        <v>9.24</v>
      </c>
      <c r="L21" s="76" t="n">
        <f aca="false">IF(K21="","",ROUND(K21*(1+VAT),2))</f>
        <v>9.7</v>
      </c>
      <c r="M21" s="73" t="s">
        <v>89</v>
      </c>
      <c r="N21" s="71"/>
      <c r="O21" s="73"/>
      <c r="P21" s="77"/>
      <c r="Q21" s="71"/>
      <c r="R21" s="78" t="s">
        <v>1147</v>
      </c>
    </row>
    <row r="22" customFormat="false" ht="15" hidden="false" customHeight="false" outlineLevel="0" collapsed="false">
      <c r="A22" s="70" t="s">
        <v>1148</v>
      </c>
      <c r="B22" s="71" t="s">
        <v>1140</v>
      </c>
      <c r="C22" s="72" t="s">
        <v>1149</v>
      </c>
      <c r="D22" s="71" t="s">
        <v>1150</v>
      </c>
      <c r="E22" s="71" t="s">
        <v>457</v>
      </c>
      <c r="F22" s="71" t="s">
        <v>217</v>
      </c>
      <c r="G22" s="73" t="s">
        <v>218</v>
      </c>
      <c r="H22" s="79" t="n">
        <v>0.5</v>
      </c>
      <c r="I22" s="75" t="n">
        <v>0.1</v>
      </c>
      <c r="J22" s="76" t="n">
        <f aca="false">IF(H22="","",ROUND(H22*(1+I22),2))</f>
        <v>0.55</v>
      </c>
      <c r="K22" s="76" t="n">
        <f aca="false">IF(J22="","",ROUND(J22*(1+OHP),2))</f>
        <v>0.66</v>
      </c>
      <c r="L22" s="76" t="n">
        <f aca="false">IF(K22="","",ROUND(K22*(1+VAT),2))</f>
        <v>0.69</v>
      </c>
      <c r="M22" s="73" t="s">
        <v>89</v>
      </c>
      <c r="N22" s="71"/>
      <c r="O22" s="73"/>
      <c r="P22" s="77"/>
      <c r="Q22" s="71"/>
      <c r="R22" s="78" t="s">
        <v>1151</v>
      </c>
    </row>
    <row r="23" customFormat="false" ht="15" hidden="false" customHeight="false" outlineLevel="0" collapsed="false">
      <c r="A23" s="70" t="s">
        <v>1152</v>
      </c>
      <c r="B23" s="71" t="s">
        <v>1140</v>
      </c>
      <c r="C23" s="72" t="s">
        <v>1153</v>
      </c>
      <c r="D23" s="71" t="s">
        <v>742</v>
      </c>
      <c r="E23" s="71" t="s">
        <v>457</v>
      </c>
      <c r="F23" s="71" t="s">
        <v>1154</v>
      </c>
      <c r="G23" s="73" t="s">
        <v>218</v>
      </c>
      <c r="H23" s="79" t="n">
        <v>6</v>
      </c>
      <c r="I23" s="75" t="n">
        <v>0.1</v>
      </c>
      <c r="J23" s="76" t="n">
        <f aca="false">IF(H23="","",ROUND(H23*(1+I23),2))</f>
        <v>6.6</v>
      </c>
      <c r="K23" s="76" t="n">
        <f aca="false">IF(J23="","",ROUND(J23*(1+OHP),2))</f>
        <v>7.92</v>
      </c>
      <c r="L23" s="76" t="n">
        <f aca="false">IF(K23="","",ROUND(K23*(1+VAT),2))</f>
        <v>8.32</v>
      </c>
      <c r="M23" s="73" t="s">
        <v>89</v>
      </c>
      <c r="N23" s="71"/>
      <c r="O23" s="73"/>
      <c r="P23" s="77"/>
      <c r="Q23" s="71"/>
      <c r="R23" s="78" t="s">
        <v>1142</v>
      </c>
    </row>
    <row r="24" customFormat="false" ht="15" hidden="false" customHeight="false" outlineLevel="0" collapsed="false">
      <c r="A24" s="70" t="s">
        <v>1155</v>
      </c>
      <c r="B24" s="71" t="s">
        <v>1140</v>
      </c>
      <c r="C24" s="72" t="s">
        <v>1156</v>
      </c>
      <c r="D24" s="71" t="s">
        <v>742</v>
      </c>
      <c r="E24" s="71" t="s">
        <v>457</v>
      </c>
      <c r="F24" s="71" t="s">
        <v>1157</v>
      </c>
      <c r="G24" s="73" t="s">
        <v>218</v>
      </c>
      <c r="H24" s="79" t="n">
        <v>2</v>
      </c>
      <c r="I24" s="75" t="n">
        <v>0.1</v>
      </c>
      <c r="J24" s="76" t="n">
        <f aca="false">IF(H24="","",ROUND(H24*(1+I24),2))</f>
        <v>2.2</v>
      </c>
      <c r="K24" s="76" t="n">
        <f aca="false">IF(J24="","",ROUND(J24*(1+OHP),2))</f>
        <v>2.64</v>
      </c>
      <c r="L24" s="76" t="n">
        <f aca="false">IF(K24="","",ROUND(K24*(1+VAT),2))</f>
        <v>2.77</v>
      </c>
      <c r="M24" s="73" t="s">
        <v>89</v>
      </c>
      <c r="N24" s="71"/>
      <c r="O24" s="73"/>
      <c r="P24" s="77"/>
      <c r="Q24" s="71"/>
      <c r="R24" s="78" t="s">
        <v>1142</v>
      </c>
    </row>
    <row r="25" customFormat="false" ht="15" hidden="false" customHeight="false" outlineLevel="0" collapsed="false">
      <c r="A25" s="70" t="s">
        <v>1158</v>
      </c>
      <c r="B25" s="71" t="s">
        <v>1140</v>
      </c>
      <c r="C25" s="72" t="s">
        <v>1159</v>
      </c>
      <c r="D25" s="71" t="s">
        <v>1160</v>
      </c>
      <c r="E25" s="71" t="s">
        <v>457</v>
      </c>
      <c r="F25" s="71" t="s">
        <v>349</v>
      </c>
      <c r="G25" s="73" t="s">
        <v>218</v>
      </c>
      <c r="H25" s="79" t="n">
        <v>12</v>
      </c>
      <c r="I25" s="75" t="n">
        <v>0.1</v>
      </c>
      <c r="J25" s="76" t="n">
        <f aca="false">IF(H25="","",ROUND(H25*(1+I25),2))</f>
        <v>13.2</v>
      </c>
      <c r="K25" s="76" t="n">
        <f aca="false">IF(J25="","",ROUND(J25*(1+OHP),2))</f>
        <v>15.84</v>
      </c>
      <c r="L25" s="76" t="n">
        <f aca="false">IF(K25="","",ROUND(K25*(1+VAT),2))</f>
        <v>16.63</v>
      </c>
      <c r="M25" s="73" t="s">
        <v>89</v>
      </c>
      <c r="N25" s="71"/>
      <c r="O25" s="73"/>
      <c r="P25" s="77"/>
      <c r="Q25" s="71"/>
      <c r="R25" s="78" t="s">
        <v>1161</v>
      </c>
    </row>
    <row r="26" customFormat="false" ht="15" hidden="false" customHeight="false" outlineLevel="0" collapsed="false">
      <c r="A26" s="70" t="s">
        <v>1162</v>
      </c>
      <c r="B26" s="71" t="s">
        <v>1140</v>
      </c>
      <c r="C26" s="72" t="s">
        <v>1163</v>
      </c>
      <c r="D26" s="71" t="s">
        <v>1164</v>
      </c>
      <c r="E26" s="71" t="s">
        <v>457</v>
      </c>
      <c r="F26" s="71" t="s">
        <v>217</v>
      </c>
      <c r="G26" s="73" t="s">
        <v>622</v>
      </c>
      <c r="H26" s="79" t="n">
        <v>1</v>
      </c>
      <c r="I26" s="75" t="n">
        <v>0.1</v>
      </c>
      <c r="J26" s="76" t="n">
        <f aca="false">IF(H26="","",ROUND(H26*(1+I26),2))</f>
        <v>1.1</v>
      </c>
      <c r="K26" s="76" t="n">
        <f aca="false">IF(J26="","",ROUND(J26*(1+OHP),2))</f>
        <v>1.32</v>
      </c>
      <c r="L26" s="76" t="n">
        <f aca="false">IF(K26="","",ROUND(K26*(1+VAT),2))</f>
        <v>1.39</v>
      </c>
      <c r="M26" s="73" t="s">
        <v>89</v>
      </c>
      <c r="N26" s="71"/>
      <c r="O26" s="73"/>
      <c r="P26" s="77"/>
      <c r="Q26" s="71"/>
      <c r="R26" s="78" t="s">
        <v>1165</v>
      </c>
    </row>
    <row r="27" customFormat="false" ht="15" hidden="false" customHeight="false" outlineLevel="0" collapsed="false">
      <c r="A27" s="70" t="s">
        <v>1166</v>
      </c>
      <c r="B27" s="71" t="s">
        <v>1140</v>
      </c>
      <c r="C27" s="72" t="s">
        <v>1167</v>
      </c>
      <c r="D27" s="71" t="s">
        <v>1168</v>
      </c>
      <c r="E27" s="71" t="s">
        <v>457</v>
      </c>
      <c r="F27" s="71" t="s">
        <v>217</v>
      </c>
      <c r="G27" s="73" t="s">
        <v>1169</v>
      </c>
      <c r="H27" s="79" t="n">
        <v>15</v>
      </c>
      <c r="I27" s="75" t="n">
        <v>0.1</v>
      </c>
      <c r="J27" s="76" t="n">
        <f aca="false">IF(H27="","",ROUND(H27*(1+I27),2))</f>
        <v>16.5</v>
      </c>
      <c r="K27" s="76" t="n">
        <f aca="false">IF(J27="","",ROUND(J27*(1+OHP),2))</f>
        <v>19.8</v>
      </c>
      <c r="L27" s="76" t="n">
        <f aca="false">IF(K27="","",ROUND(K27*(1+VAT),2))</f>
        <v>20.79</v>
      </c>
      <c r="M27" s="73" t="s">
        <v>89</v>
      </c>
      <c r="N27" s="71"/>
      <c r="O27" s="73"/>
      <c r="P27" s="77"/>
      <c r="Q27" s="71"/>
      <c r="R27" s="78" t="s">
        <v>1170</v>
      </c>
    </row>
    <row r="28" customFormat="false" ht="15" hidden="false" customHeight="false" outlineLevel="0" collapsed="false">
      <c r="A28" s="70" t="s">
        <v>1171</v>
      </c>
      <c r="B28" s="71" t="s">
        <v>1172</v>
      </c>
      <c r="C28" s="72" t="s">
        <v>1173</v>
      </c>
      <c r="D28" s="71" t="s">
        <v>1174</v>
      </c>
      <c r="E28" s="71" t="s">
        <v>1175</v>
      </c>
      <c r="F28" s="71" t="s">
        <v>1176</v>
      </c>
      <c r="G28" s="73" t="s">
        <v>622</v>
      </c>
      <c r="H28" s="79" t="n">
        <v>8</v>
      </c>
      <c r="I28" s="75" t="n">
        <v>0.1</v>
      </c>
      <c r="J28" s="76" t="n">
        <f aca="false">IF(H28="","",ROUND(H28*(1+I28),2))</f>
        <v>8.8</v>
      </c>
      <c r="K28" s="76" t="n">
        <f aca="false">IF(J28="","",ROUND(J28*(1+OHP),2))</f>
        <v>10.56</v>
      </c>
      <c r="L28" s="76" t="n">
        <f aca="false">IF(K28="","",ROUND(K28*(1+VAT),2))</f>
        <v>11.09</v>
      </c>
      <c r="M28" s="73" t="s">
        <v>89</v>
      </c>
      <c r="N28" s="71"/>
      <c r="O28" s="73"/>
      <c r="P28" s="77"/>
      <c r="Q28" s="71"/>
      <c r="R28" s="78" t="s">
        <v>1177</v>
      </c>
    </row>
    <row r="29" customFormat="false" ht="15" hidden="false" customHeight="false" outlineLevel="0" collapsed="false">
      <c r="A29" s="70" t="s">
        <v>1178</v>
      </c>
      <c r="B29" s="71" t="s">
        <v>1172</v>
      </c>
      <c r="C29" s="72" t="s">
        <v>1173</v>
      </c>
      <c r="D29" s="71" t="s">
        <v>1179</v>
      </c>
      <c r="E29" s="71" t="s">
        <v>1175</v>
      </c>
      <c r="F29" s="71" t="s">
        <v>1176</v>
      </c>
      <c r="G29" s="73" t="s">
        <v>622</v>
      </c>
      <c r="H29" s="79" t="n">
        <v>11</v>
      </c>
      <c r="I29" s="75" t="n">
        <v>0.1</v>
      </c>
      <c r="J29" s="76" t="n">
        <f aca="false">IF(H29="","",ROUND(H29*(1+I29),2))</f>
        <v>12.1</v>
      </c>
      <c r="K29" s="76" t="n">
        <f aca="false">IF(J29="","",ROUND(J29*(1+OHP),2))</f>
        <v>14.52</v>
      </c>
      <c r="L29" s="76" t="n">
        <f aca="false">IF(K29="","",ROUND(K29*(1+VAT),2))</f>
        <v>15.25</v>
      </c>
      <c r="M29" s="73" t="s">
        <v>89</v>
      </c>
      <c r="N29" s="71"/>
      <c r="O29" s="73"/>
      <c r="P29" s="77"/>
      <c r="Q29" s="71"/>
      <c r="R29" s="78" t="s">
        <v>1180</v>
      </c>
    </row>
    <row r="30" customFormat="false" ht="19.4" hidden="false" customHeight="false" outlineLevel="0" collapsed="false">
      <c r="A30" s="70" t="s">
        <v>1181</v>
      </c>
      <c r="B30" s="71" t="s">
        <v>1172</v>
      </c>
      <c r="C30" s="72" t="s">
        <v>1182</v>
      </c>
      <c r="D30" s="71" t="s">
        <v>1174</v>
      </c>
      <c r="E30" s="71" t="s">
        <v>853</v>
      </c>
      <c r="F30" s="71" t="s">
        <v>1183</v>
      </c>
      <c r="G30" s="73" t="s">
        <v>622</v>
      </c>
      <c r="H30" s="79" t="n">
        <v>18</v>
      </c>
      <c r="I30" s="75" t="n">
        <v>0.1</v>
      </c>
      <c r="J30" s="76" t="n">
        <f aca="false">IF(H30="","",ROUND(H30*(1+I30),2))</f>
        <v>19.8</v>
      </c>
      <c r="K30" s="76" t="n">
        <f aca="false">IF(J30="","",ROUND(J30*(1+OHP),2))</f>
        <v>23.76</v>
      </c>
      <c r="L30" s="76" t="n">
        <f aca="false">IF(K30="","",ROUND(K30*(1+VAT),2))</f>
        <v>24.95</v>
      </c>
      <c r="M30" s="73" t="s">
        <v>89</v>
      </c>
      <c r="N30" s="71"/>
      <c r="O30" s="73"/>
      <c r="P30" s="77"/>
      <c r="Q30" s="71"/>
      <c r="R30" s="78" t="s">
        <v>1184</v>
      </c>
    </row>
    <row r="31" customFormat="false" ht="19.4" hidden="false" customHeight="false" outlineLevel="0" collapsed="false">
      <c r="A31" s="70" t="s">
        <v>1185</v>
      </c>
      <c r="B31" s="71" t="s">
        <v>1172</v>
      </c>
      <c r="C31" s="72" t="s">
        <v>1186</v>
      </c>
      <c r="D31" s="71" t="s">
        <v>1187</v>
      </c>
      <c r="E31" s="71" t="s">
        <v>1188</v>
      </c>
      <c r="F31" s="71" t="s">
        <v>349</v>
      </c>
      <c r="G31" s="73" t="s">
        <v>622</v>
      </c>
      <c r="H31" s="79" t="n">
        <v>14</v>
      </c>
      <c r="I31" s="75" t="n">
        <v>0.1</v>
      </c>
      <c r="J31" s="76" t="n">
        <f aca="false">IF(H31="","",ROUND(H31*(1+I31),2))</f>
        <v>15.4</v>
      </c>
      <c r="K31" s="76" t="n">
        <f aca="false">IF(J31="","",ROUND(J31*(1+OHP),2))</f>
        <v>18.48</v>
      </c>
      <c r="L31" s="76" t="n">
        <f aca="false">IF(K31="","",ROUND(K31*(1+VAT),2))</f>
        <v>19.4</v>
      </c>
      <c r="M31" s="73" t="s">
        <v>89</v>
      </c>
      <c r="N31" s="71"/>
      <c r="O31" s="73"/>
      <c r="P31" s="77"/>
      <c r="Q31" s="71"/>
      <c r="R31" s="78" t="s">
        <v>1189</v>
      </c>
    </row>
    <row r="32" customFormat="false" ht="15" hidden="false" customHeight="false" outlineLevel="0" collapsed="false">
      <c r="A32" s="70" t="s">
        <v>1190</v>
      </c>
      <c r="B32" s="71" t="s">
        <v>1172</v>
      </c>
      <c r="C32" s="72" t="s">
        <v>1191</v>
      </c>
      <c r="D32" s="71" t="s">
        <v>1192</v>
      </c>
      <c r="E32" s="71" t="s">
        <v>457</v>
      </c>
      <c r="F32" s="71" t="s">
        <v>1193</v>
      </c>
      <c r="G32" s="73" t="s">
        <v>622</v>
      </c>
      <c r="H32" s="79" t="n">
        <v>1.2</v>
      </c>
      <c r="I32" s="75" t="n">
        <v>0.1</v>
      </c>
      <c r="J32" s="76" t="n">
        <f aca="false">IF(H32="","",ROUND(H32*(1+I32),2))</f>
        <v>1.32</v>
      </c>
      <c r="K32" s="76" t="n">
        <f aca="false">IF(J32="","",ROUND(J32*(1+OHP),2))</f>
        <v>1.58</v>
      </c>
      <c r="L32" s="76" t="n">
        <f aca="false">IF(K32="","",ROUND(K32*(1+VAT),2))</f>
        <v>1.66</v>
      </c>
      <c r="M32" s="73" t="s">
        <v>89</v>
      </c>
      <c r="N32" s="71"/>
      <c r="O32" s="73"/>
      <c r="P32" s="77"/>
      <c r="Q32" s="71"/>
      <c r="R32" s="78" t="s">
        <v>1194</v>
      </c>
    </row>
    <row r="33" customFormat="false" ht="15" hidden="false" customHeight="false" outlineLevel="0" collapsed="false">
      <c r="A33" s="70" t="s">
        <v>1195</v>
      </c>
      <c r="B33" s="71" t="s">
        <v>1172</v>
      </c>
      <c r="C33" s="72" t="s">
        <v>1196</v>
      </c>
      <c r="D33" s="71" t="s">
        <v>1197</v>
      </c>
      <c r="E33" s="71" t="s">
        <v>1198</v>
      </c>
      <c r="F33" s="71" t="s">
        <v>217</v>
      </c>
      <c r="G33" s="73" t="s">
        <v>1199</v>
      </c>
      <c r="H33" s="79" t="n">
        <v>35</v>
      </c>
      <c r="I33" s="75" t="n">
        <v>0.1</v>
      </c>
      <c r="J33" s="76" t="n">
        <f aca="false">IF(H33="","",ROUND(H33*(1+I33),2))</f>
        <v>38.5</v>
      </c>
      <c r="K33" s="76" t="n">
        <f aca="false">IF(J33="","",ROUND(J33*(1+OHP),2))</f>
        <v>46.2</v>
      </c>
      <c r="L33" s="76" t="n">
        <f aca="false">IF(K33="","",ROUND(K33*(1+VAT),2))</f>
        <v>48.51</v>
      </c>
      <c r="M33" s="73" t="s">
        <v>89</v>
      </c>
      <c r="N33" s="71"/>
      <c r="O33" s="73"/>
      <c r="P33" s="77"/>
      <c r="Q33" s="71"/>
      <c r="R33" s="78" t="s">
        <v>1200</v>
      </c>
    </row>
    <row r="34" customFormat="false" ht="15" hidden="false" customHeight="false" outlineLevel="0" collapsed="false">
      <c r="A34" s="70" t="s">
        <v>1201</v>
      </c>
      <c r="B34" s="71" t="s">
        <v>1172</v>
      </c>
      <c r="C34" s="72" t="s">
        <v>1202</v>
      </c>
      <c r="D34" s="71" t="s">
        <v>1203</v>
      </c>
      <c r="E34" s="71" t="s">
        <v>737</v>
      </c>
      <c r="F34" s="71" t="s">
        <v>217</v>
      </c>
      <c r="G34" s="73" t="s">
        <v>1199</v>
      </c>
      <c r="H34" s="79" t="n">
        <v>45</v>
      </c>
      <c r="I34" s="75" t="n">
        <v>0.1</v>
      </c>
      <c r="J34" s="76" t="n">
        <f aca="false">IF(H34="","",ROUND(H34*(1+I34),2))</f>
        <v>49.5</v>
      </c>
      <c r="K34" s="76" t="n">
        <f aca="false">IF(J34="","",ROUND(J34*(1+OHP),2))</f>
        <v>59.4</v>
      </c>
      <c r="L34" s="76" t="n">
        <f aca="false">IF(K34="","",ROUND(K34*(1+VAT),2))</f>
        <v>62.37</v>
      </c>
      <c r="M34" s="73" t="s">
        <v>89</v>
      </c>
      <c r="N34" s="71"/>
      <c r="O34" s="73"/>
      <c r="P34" s="77"/>
      <c r="Q34" s="71"/>
      <c r="R34" s="78" t="s">
        <v>1204</v>
      </c>
    </row>
    <row r="35" customFormat="false" ht="19.4" hidden="false" customHeight="false" outlineLevel="0" collapsed="false">
      <c r="A35" s="70" t="s">
        <v>1205</v>
      </c>
      <c r="B35" s="71" t="s">
        <v>1172</v>
      </c>
      <c r="C35" s="72" t="s">
        <v>1206</v>
      </c>
      <c r="D35" s="71" t="s">
        <v>1207</v>
      </c>
      <c r="E35" s="71" t="s">
        <v>737</v>
      </c>
      <c r="F35" s="71" t="s">
        <v>217</v>
      </c>
      <c r="G35" s="73" t="s">
        <v>738</v>
      </c>
      <c r="H35" s="79" t="n">
        <v>3</v>
      </c>
      <c r="I35" s="75" t="n">
        <v>0.1</v>
      </c>
      <c r="J35" s="76" t="n">
        <f aca="false">IF(H35="","",ROUND(H35*(1+I35),2))</f>
        <v>3.3</v>
      </c>
      <c r="K35" s="76" t="n">
        <f aca="false">IF(J35="","",ROUND(J35*(1+OHP),2))</f>
        <v>3.96</v>
      </c>
      <c r="L35" s="76" t="n">
        <f aca="false">IF(K35="","",ROUND(K35*(1+VAT),2))</f>
        <v>4.16</v>
      </c>
      <c r="M35" s="73" t="s">
        <v>89</v>
      </c>
      <c r="N35" s="71"/>
      <c r="O35" s="73"/>
      <c r="P35" s="77"/>
      <c r="Q35" s="71"/>
      <c r="R35" s="78" t="s">
        <v>1208</v>
      </c>
    </row>
    <row r="36" customFormat="false" ht="19.4" hidden="false" customHeight="false" outlineLevel="0" collapsed="false">
      <c r="A36" s="70" t="s">
        <v>1209</v>
      </c>
      <c r="B36" s="71" t="s">
        <v>1172</v>
      </c>
      <c r="C36" s="72" t="s">
        <v>1206</v>
      </c>
      <c r="D36" s="71" t="s">
        <v>1210</v>
      </c>
      <c r="E36" s="71" t="s">
        <v>853</v>
      </c>
      <c r="F36" s="71" t="s">
        <v>217</v>
      </c>
      <c r="G36" s="73" t="s">
        <v>738</v>
      </c>
      <c r="H36" s="79" t="n">
        <v>6.5</v>
      </c>
      <c r="I36" s="75" t="n">
        <v>0.1</v>
      </c>
      <c r="J36" s="76" t="n">
        <f aca="false">IF(H36="","",ROUND(H36*(1+I36),2))</f>
        <v>7.15</v>
      </c>
      <c r="K36" s="76" t="n">
        <f aca="false">IF(J36="","",ROUND(J36*(1+OHP),2))</f>
        <v>8.58</v>
      </c>
      <c r="L36" s="76" t="n">
        <f aca="false">IF(K36="","",ROUND(K36*(1+VAT),2))</f>
        <v>9.01</v>
      </c>
      <c r="M36" s="73" t="s">
        <v>89</v>
      </c>
      <c r="N36" s="71"/>
      <c r="O36" s="73"/>
      <c r="P36" s="77"/>
      <c r="Q36" s="71"/>
      <c r="R36" s="78" t="s">
        <v>1211</v>
      </c>
    </row>
    <row r="37" customFormat="false" ht="15" hidden="false" customHeight="false" outlineLevel="0" collapsed="false">
      <c r="A37" s="70" t="s">
        <v>1212</v>
      </c>
      <c r="B37" s="71" t="s">
        <v>1172</v>
      </c>
      <c r="C37" s="72" t="s">
        <v>1213</v>
      </c>
      <c r="D37" s="71" t="s">
        <v>1214</v>
      </c>
      <c r="E37" s="71" t="s">
        <v>457</v>
      </c>
      <c r="F37" s="71" t="s">
        <v>217</v>
      </c>
      <c r="G37" s="73" t="s">
        <v>1199</v>
      </c>
      <c r="H37" s="79" t="n">
        <v>40</v>
      </c>
      <c r="I37" s="75" t="n">
        <v>0.1</v>
      </c>
      <c r="J37" s="76" t="n">
        <f aca="false">IF(H37="","",ROUND(H37*(1+I37),2))</f>
        <v>44</v>
      </c>
      <c r="K37" s="76" t="n">
        <f aca="false">IF(J37="","",ROUND(J37*(1+OHP),2))</f>
        <v>52.8</v>
      </c>
      <c r="L37" s="76" t="n">
        <f aca="false">IF(K37="","",ROUND(K37*(1+VAT),2))</f>
        <v>55.44</v>
      </c>
      <c r="M37" s="73" t="s">
        <v>89</v>
      </c>
      <c r="N37" s="71"/>
      <c r="O37" s="73"/>
      <c r="P37" s="77"/>
      <c r="Q37" s="71"/>
      <c r="R37" s="78" t="s">
        <v>1215</v>
      </c>
    </row>
    <row r="38" customFormat="false" ht="15" hidden="false" customHeight="false" outlineLevel="0" collapsed="false">
      <c r="A38" s="70" t="s">
        <v>1216</v>
      </c>
      <c r="B38" s="71" t="s">
        <v>1217</v>
      </c>
      <c r="C38" s="72" t="s">
        <v>1218</v>
      </c>
      <c r="D38" s="71" t="s">
        <v>1219</v>
      </c>
      <c r="E38" s="71" t="s">
        <v>196</v>
      </c>
      <c r="F38" s="71" t="s">
        <v>217</v>
      </c>
      <c r="G38" s="73" t="s">
        <v>622</v>
      </c>
      <c r="H38" s="79" t="n">
        <v>45</v>
      </c>
      <c r="I38" s="75" t="n">
        <v>0.1</v>
      </c>
      <c r="J38" s="76" t="n">
        <f aca="false">IF(H38="","",ROUND(H38*(1+I38),2))</f>
        <v>49.5</v>
      </c>
      <c r="K38" s="76" t="n">
        <f aca="false">IF(J38="","",ROUND(J38*(1+OHP),2))</f>
        <v>59.4</v>
      </c>
      <c r="L38" s="76" t="n">
        <f aca="false">IF(K38="","",ROUND(K38*(1+VAT),2))</f>
        <v>62.37</v>
      </c>
      <c r="M38" s="73" t="s">
        <v>89</v>
      </c>
      <c r="N38" s="71"/>
      <c r="O38" s="73"/>
      <c r="P38" s="77"/>
      <c r="Q38" s="71"/>
      <c r="R38" s="78" t="s">
        <v>199</v>
      </c>
    </row>
    <row r="39" customFormat="false" ht="15" hidden="false" customHeight="false" outlineLevel="0" collapsed="false">
      <c r="A39" s="70" t="s">
        <v>1220</v>
      </c>
      <c r="B39" s="71" t="s">
        <v>1217</v>
      </c>
      <c r="C39" s="72" t="s">
        <v>1221</v>
      </c>
      <c r="D39" s="71" t="s">
        <v>1222</v>
      </c>
      <c r="E39" s="71" t="s">
        <v>1223</v>
      </c>
      <c r="F39" s="71" t="s">
        <v>1224</v>
      </c>
      <c r="G39" s="73" t="s">
        <v>622</v>
      </c>
      <c r="H39" s="79" t="n">
        <v>30</v>
      </c>
      <c r="I39" s="75" t="n">
        <v>0.1</v>
      </c>
      <c r="J39" s="76" t="n">
        <f aca="false">IF(H39="","",ROUND(H39*(1+I39),2))</f>
        <v>33</v>
      </c>
      <c r="K39" s="76" t="n">
        <f aca="false">IF(J39="","",ROUND(J39*(1+OHP),2))</f>
        <v>39.6</v>
      </c>
      <c r="L39" s="76" t="n">
        <f aca="false">IF(K39="","",ROUND(K39*(1+VAT),2))</f>
        <v>41.58</v>
      </c>
      <c r="M39" s="73" t="s">
        <v>89</v>
      </c>
      <c r="N39" s="71"/>
      <c r="O39" s="73"/>
      <c r="P39" s="77"/>
      <c r="Q39" s="71"/>
      <c r="R39" s="78" t="s">
        <v>1225</v>
      </c>
    </row>
    <row r="40" customFormat="false" ht="15" hidden="false" customHeight="false" outlineLevel="0" collapsed="false">
      <c r="A40" s="70" t="s">
        <v>1226</v>
      </c>
      <c r="B40" s="71" t="s">
        <v>1217</v>
      </c>
      <c r="C40" s="72" t="s">
        <v>1227</v>
      </c>
      <c r="D40" s="71" t="s">
        <v>742</v>
      </c>
      <c r="E40" s="71" t="s">
        <v>1223</v>
      </c>
      <c r="F40" s="71" t="s">
        <v>1228</v>
      </c>
      <c r="G40" s="73" t="s">
        <v>218</v>
      </c>
      <c r="H40" s="79" t="n">
        <v>140</v>
      </c>
      <c r="I40" s="75" t="n">
        <v>0.1</v>
      </c>
      <c r="J40" s="76" t="n">
        <f aca="false">IF(H40="","",ROUND(H40*(1+I40),2))</f>
        <v>154</v>
      </c>
      <c r="K40" s="76" t="n">
        <f aca="false">IF(J40="","",ROUND(J40*(1+OHP),2))</f>
        <v>184.8</v>
      </c>
      <c r="L40" s="76" t="n">
        <f aca="false">IF(K40="","",ROUND(K40*(1+VAT),2))</f>
        <v>194.04</v>
      </c>
      <c r="M40" s="73" t="s">
        <v>89</v>
      </c>
      <c r="N40" s="71"/>
      <c r="O40" s="73"/>
      <c r="P40" s="77"/>
      <c r="Q40" s="71"/>
      <c r="R40" s="78" t="s">
        <v>1229</v>
      </c>
    </row>
    <row r="41" customFormat="false" ht="15" hidden="false" customHeight="false" outlineLevel="0" collapsed="false">
      <c r="A41" s="70" t="s">
        <v>1230</v>
      </c>
      <c r="B41" s="71" t="s">
        <v>1217</v>
      </c>
      <c r="C41" s="72" t="s">
        <v>1231</v>
      </c>
      <c r="D41" s="71" t="s">
        <v>642</v>
      </c>
      <c r="E41" s="71" t="s">
        <v>196</v>
      </c>
      <c r="F41" s="71" t="s">
        <v>217</v>
      </c>
      <c r="G41" s="73" t="s">
        <v>622</v>
      </c>
      <c r="H41" s="79" t="n">
        <v>6</v>
      </c>
      <c r="I41" s="75" t="n">
        <v>0.1</v>
      </c>
      <c r="J41" s="76" t="n">
        <f aca="false">IF(H41="","",ROUND(H41*(1+I41),2))</f>
        <v>6.6</v>
      </c>
      <c r="K41" s="76" t="n">
        <f aca="false">IF(J41="","",ROUND(J41*(1+OHP),2))</f>
        <v>7.92</v>
      </c>
      <c r="L41" s="76" t="n">
        <f aca="false">IF(K41="","",ROUND(K41*(1+VAT),2))</f>
        <v>8.32</v>
      </c>
      <c r="M41" s="73" t="s">
        <v>89</v>
      </c>
      <c r="N41" s="71"/>
      <c r="O41" s="73"/>
      <c r="P41" s="77"/>
      <c r="Q41" s="71"/>
      <c r="R41" s="78" t="s">
        <v>199</v>
      </c>
    </row>
    <row r="42" customFormat="false" ht="15" hidden="false" customHeight="false" outlineLevel="0" collapsed="false">
      <c r="A42" s="70" t="s">
        <v>1232</v>
      </c>
      <c r="B42" s="71" t="s">
        <v>1217</v>
      </c>
      <c r="C42" s="72" t="s">
        <v>1233</v>
      </c>
      <c r="D42" s="71" t="s">
        <v>1234</v>
      </c>
      <c r="E42" s="71" t="s">
        <v>457</v>
      </c>
      <c r="F42" s="71" t="s">
        <v>217</v>
      </c>
      <c r="G42" s="73" t="s">
        <v>622</v>
      </c>
      <c r="H42" s="79" t="n">
        <v>1.5</v>
      </c>
      <c r="I42" s="75" t="n">
        <v>0.1</v>
      </c>
      <c r="J42" s="76" t="n">
        <f aca="false">IF(H42="","",ROUND(H42*(1+I42),2))</f>
        <v>1.65</v>
      </c>
      <c r="K42" s="76" t="n">
        <f aca="false">IF(J42="","",ROUND(J42*(1+OHP),2))</f>
        <v>1.98</v>
      </c>
      <c r="L42" s="76" t="n">
        <f aca="false">IF(K42="","",ROUND(K42*(1+VAT),2))</f>
        <v>2.08</v>
      </c>
      <c r="M42" s="73" t="s">
        <v>89</v>
      </c>
      <c r="N42" s="71"/>
      <c r="O42" s="73"/>
      <c r="P42" s="77"/>
      <c r="Q42" s="71"/>
      <c r="R42" s="78"/>
    </row>
    <row r="43" customFormat="false" ht="15" hidden="false" customHeight="false" outlineLevel="0" collapsed="false">
      <c r="A43" s="70" t="s">
        <v>1235</v>
      </c>
      <c r="B43" s="71" t="s">
        <v>1236</v>
      </c>
      <c r="C43" s="72" t="s">
        <v>1237</v>
      </c>
      <c r="D43" s="71" t="s">
        <v>1238</v>
      </c>
      <c r="E43" s="71" t="s">
        <v>457</v>
      </c>
      <c r="F43" s="71" t="s">
        <v>349</v>
      </c>
      <c r="G43" s="73" t="s">
        <v>622</v>
      </c>
      <c r="H43" s="79" t="n">
        <v>18</v>
      </c>
      <c r="I43" s="75" t="n">
        <v>0.1</v>
      </c>
      <c r="J43" s="76" t="n">
        <f aca="false">IF(H43="","",ROUND(H43*(1+I43),2))</f>
        <v>19.8</v>
      </c>
      <c r="K43" s="76" t="n">
        <f aca="false">IF(J43="","",ROUND(J43*(1+OHP),2))</f>
        <v>23.76</v>
      </c>
      <c r="L43" s="76" t="n">
        <f aca="false">IF(K43="","",ROUND(K43*(1+VAT),2))</f>
        <v>24.95</v>
      </c>
      <c r="M43" s="73" t="s">
        <v>89</v>
      </c>
      <c r="N43" s="71"/>
      <c r="O43" s="73"/>
      <c r="P43" s="77"/>
      <c r="Q43" s="71"/>
      <c r="R43" s="78" t="s">
        <v>199</v>
      </c>
    </row>
    <row r="44" customFormat="false" ht="15" hidden="false" customHeight="false" outlineLevel="0" collapsed="false">
      <c r="A44" s="70" t="s">
        <v>1239</v>
      </c>
      <c r="B44" s="71" t="s">
        <v>1236</v>
      </c>
      <c r="C44" s="72" t="s">
        <v>1240</v>
      </c>
      <c r="D44" s="71" t="s">
        <v>1241</v>
      </c>
      <c r="E44" s="71" t="s">
        <v>457</v>
      </c>
      <c r="F44" s="71" t="s">
        <v>349</v>
      </c>
      <c r="G44" s="73" t="s">
        <v>622</v>
      </c>
      <c r="H44" s="79" t="n">
        <v>6</v>
      </c>
      <c r="I44" s="75" t="n">
        <v>0.1</v>
      </c>
      <c r="J44" s="76" t="n">
        <f aca="false">IF(H44="","",ROUND(H44*(1+I44),2))</f>
        <v>6.6</v>
      </c>
      <c r="K44" s="76" t="n">
        <f aca="false">IF(J44="","",ROUND(J44*(1+OHP),2))</f>
        <v>7.92</v>
      </c>
      <c r="L44" s="76" t="n">
        <f aca="false">IF(K44="","",ROUND(K44*(1+VAT),2))</f>
        <v>8.32</v>
      </c>
      <c r="M44" s="73" t="s">
        <v>89</v>
      </c>
      <c r="N44" s="71"/>
      <c r="O44" s="73"/>
      <c r="P44" s="77"/>
      <c r="Q44" s="71"/>
      <c r="R44" s="78"/>
    </row>
    <row r="45" customFormat="false" ht="15" hidden="false" customHeight="false" outlineLevel="0" collapsed="false">
      <c r="A45" s="70" t="s">
        <v>1242</v>
      </c>
      <c r="B45" s="71" t="s">
        <v>1236</v>
      </c>
      <c r="C45" s="72" t="s">
        <v>1243</v>
      </c>
      <c r="D45" s="71" t="s">
        <v>1244</v>
      </c>
      <c r="E45" s="71" t="s">
        <v>457</v>
      </c>
      <c r="F45" s="71" t="s">
        <v>1245</v>
      </c>
      <c r="G45" s="73" t="s">
        <v>1169</v>
      </c>
      <c r="H45" s="79" t="n">
        <v>55</v>
      </c>
      <c r="I45" s="75" t="n">
        <v>0.1</v>
      </c>
      <c r="J45" s="76" t="n">
        <f aca="false">IF(H45="","",ROUND(H45*(1+I45),2))</f>
        <v>60.5</v>
      </c>
      <c r="K45" s="76" t="n">
        <f aca="false">IF(J45="","",ROUND(J45*(1+OHP),2))</f>
        <v>72.6</v>
      </c>
      <c r="L45" s="76" t="n">
        <f aca="false">IF(K45="","",ROUND(K45*(1+VAT),2))</f>
        <v>76.23</v>
      </c>
      <c r="M45" s="73" t="s">
        <v>89</v>
      </c>
      <c r="N45" s="71"/>
      <c r="O45" s="73"/>
      <c r="P45" s="77"/>
      <c r="Q45" s="71"/>
      <c r="R45" s="78" t="s">
        <v>1246</v>
      </c>
    </row>
    <row r="46" customFormat="false" ht="15" hidden="false" customHeight="false" outlineLevel="0" collapsed="false">
      <c r="A46" s="70" t="s">
        <v>1247</v>
      </c>
      <c r="B46" s="71" t="s">
        <v>1236</v>
      </c>
      <c r="C46" s="72" t="s">
        <v>1248</v>
      </c>
      <c r="D46" s="71" t="s">
        <v>1104</v>
      </c>
      <c r="E46" s="71" t="s">
        <v>457</v>
      </c>
      <c r="F46" s="71" t="s">
        <v>1245</v>
      </c>
      <c r="G46" s="73" t="s">
        <v>198</v>
      </c>
      <c r="H46" s="79" t="n">
        <v>65</v>
      </c>
      <c r="I46" s="75" t="n">
        <v>0.1</v>
      </c>
      <c r="J46" s="76" t="n">
        <f aca="false">IF(H46="","",ROUND(H46*(1+I46),2))</f>
        <v>71.5</v>
      </c>
      <c r="K46" s="76" t="n">
        <f aca="false">IF(J46="","",ROUND(J46*(1+OHP),2))</f>
        <v>85.8</v>
      </c>
      <c r="L46" s="76" t="n">
        <f aca="false">IF(K46="","",ROUND(K46*(1+VAT),2))</f>
        <v>90.09</v>
      </c>
      <c r="M46" s="73" t="s">
        <v>89</v>
      </c>
      <c r="N46" s="71"/>
      <c r="O46" s="73"/>
      <c r="P46" s="77"/>
      <c r="Q46" s="71"/>
      <c r="R46" s="78" t="s">
        <v>975</v>
      </c>
    </row>
    <row r="47" customFormat="false" ht="15" hidden="false" customHeight="false" outlineLevel="0" collapsed="false">
      <c r="A47" s="70" t="s">
        <v>1249</v>
      </c>
      <c r="B47" s="71" t="s">
        <v>1236</v>
      </c>
      <c r="C47" s="72" t="s">
        <v>1250</v>
      </c>
      <c r="D47" s="71" t="s">
        <v>1251</v>
      </c>
      <c r="E47" s="71" t="s">
        <v>457</v>
      </c>
      <c r="F47" s="71" t="s">
        <v>217</v>
      </c>
      <c r="G47" s="73" t="s">
        <v>622</v>
      </c>
      <c r="H47" s="79" t="n">
        <v>120</v>
      </c>
      <c r="I47" s="75" t="n">
        <v>0.1</v>
      </c>
      <c r="J47" s="76" t="n">
        <f aca="false">IF(H47="","",ROUND(H47*(1+I47),2))</f>
        <v>132</v>
      </c>
      <c r="K47" s="76" t="n">
        <f aca="false">IF(J47="","",ROUND(J47*(1+OHP),2))</f>
        <v>158.4</v>
      </c>
      <c r="L47" s="76" t="n">
        <f aca="false">IF(K47="","",ROUND(K47*(1+VAT),2))</f>
        <v>166.32</v>
      </c>
      <c r="M47" s="73" t="s">
        <v>89</v>
      </c>
      <c r="N47" s="71"/>
      <c r="O47" s="73"/>
      <c r="P47" s="77"/>
      <c r="Q47" s="71"/>
      <c r="R47" s="78"/>
    </row>
    <row r="48" customFormat="false" ht="15" hidden="false" customHeight="false" outlineLevel="0" collapsed="false">
      <c r="A48" s="70" t="s">
        <v>1252</v>
      </c>
      <c r="B48" s="71" t="s">
        <v>1236</v>
      </c>
      <c r="C48" s="72" t="s">
        <v>1253</v>
      </c>
      <c r="D48" s="71" t="s">
        <v>736</v>
      </c>
      <c r="E48" s="71" t="s">
        <v>457</v>
      </c>
      <c r="F48" s="71" t="s">
        <v>1254</v>
      </c>
      <c r="G48" s="73" t="s">
        <v>738</v>
      </c>
      <c r="H48" s="79" t="n">
        <v>85</v>
      </c>
      <c r="I48" s="75" t="n">
        <v>0.1</v>
      </c>
      <c r="J48" s="76" t="n">
        <f aca="false">IF(H48="","",ROUND(H48*(1+I48),2))</f>
        <v>93.5</v>
      </c>
      <c r="K48" s="76" t="n">
        <f aca="false">IF(J48="","",ROUND(J48*(1+OHP),2))</f>
        <v>112.2</v>
      </c>
      <c r="L48" s="76" t="n">
        <f aca="false">IF(K48="","",ROUND(K48*(1+VAT),2))</f>
        <v>117.81</v>
      </c>
      <c r="M48" s="73" t="s">
        <v>89</v>
      </c>
      <c r="N48" s="71"/>
      <c r="O48" s="73"/>
      <c r="P48" s="77"/>
      <c r="Q48" s="71"/>
      <c r="R48" s="78" t="s">
        <v>671</v>
      </c>
    </row>
    <row r="49" customFormat="false" ht="15" hidden="false" customHeight="false" outlineLevel="0" collapsed="false">
      <c r="A49" s="70" t="s">
        <v>1255</v>
      </c>
      <c r="B49" s="71" t="s">
        <v>1236</v>
      </c>
      <c r="C49" s="72" t="s">
        <v>1256</v>
      </c>
      <c r="D49" s="71" t="s">
        <v>723</v>
      </c>
      <c r="E49" s="71" t="s">
        <v>457</v>
      </c>
      <c r="F49" s="71" t="s">
        <v>217</v>
      </c>
      <c r="G49" s="73" t="s">
        <v>378</v>
      </c>
      <c r="H49" s="79" t="n">
        <v>1.2</v>
      </c>
      <c r="I49" s="75" t="n">
        <v>0.1</v>
      </c>
      <c r="J49" s="76" t="n">
        <f aca="false">IF(H49="","",ROUND(H49*(1+I49),2))</f>
        <v>1.32</v>
      </c>
      <c r="K49" s="76" t="n">
        <f aca="false">IF(J49="","",ROUND(J49*(1+OHP),2))</f>
        <v>1.58</v>
      </c>
      <c r="L49" s="76" t="n">
        <f aca="false">IF(K49="","",ROUND(K49*(1+VAT),2))</f>
        <v>1.66</v>
      </c>
      <c r="M49" s="73" t="s">
        <v>89</v>
      </c>
      <c r="N49" s="71"/>
      <c r="O49" s="73"/>
      <c r="P49" s="77"/>
      <c r="Q49" s="71"/>
      <c r="R49" s="78" t="s">
        <v>199</v>
      </c>
    </row>
    <row r="50" customFormat="false" ht="15" hidden="false" customHeight="false" outlineLevel="0" collapsed="false">
      <c r="A50" s="70" t="s">
        <v>1257</v>
      </c>
      <c r="B50" s="71" t="s">
        <v>1236</v>
      </c>
      <c r="C50" s="72" t="s">
        <v>1258</v>
      </c>
      <c r="D50" s="71" t="s">
        <v>1259</v>
      </c>
      <c r="E50" s="71" t="s">
        <v>457</v>
      </c>
      <c r="F50" s="71" t="s">
        <v>217</v>
      </c>
      <c r="G50" s="73" t="s">
        <v>1260</v>
      </c>
      <c r="H50" s="79" t="n">
        <v>250</v>
      </c>
      <c r="I50" s="75" t="n">
        <v>0.1</v>
      </c>
      <c r="J50" s="76" t="n">
        <f aca="false">IF(H50="","",ROUND(H50*(1+I50),2))</f>
        <v>275</v>
      </c>
      <c r="K50" s="76" t="n">
        <f aca="false">IF(J50="","",ROUND(J50*(1+OHP),2))</f>
        <v>330</v>
      </c>
      <c r="L50" s="76" t="n">
        <f aca="false">IF(K50="","",ROUND(K50*(1+VAT),2))</f>
        <v>346.5</v>
      </c>
      <c r="M50" s="73" t="s">
        <v>89</v>
      </c>
      <c r="N50" s="71"/>
      <c r="O50" s="73"/>
      <c r="P50" s="77"/>
      <c r="Q50" s="71"/>
      <c r="R50" s="78"/>
    </row>
    <row r="51" customFormat="false" ht="15" hidden="false" customHeight="false" outlineLevel="0" collapsed="false">
      <c r="A51" s="80" t="str">
        <f aca="false">IF(C51="","","SF-"&amp;TEXT(ROW()-4,"000"))</f>
        <v/>
      </c>
      <c r="B51" s="81"/>
      <c r="C51" s="81"/>
      <c r="D51" s="81"/>
      <c r="E51" s="81"/>
      <c r="F51" s="81"/>
      <c r="G51" s="82"/>
      <c r="H51" s="83"/>
      <c r="I51" s="84"/>
      <c r="J51" s="85" t="str">
        <f aca="false">IF(H51="","",ROUND(H51*(1+I51),2))</f>
        <v/>
      </c>
      <c r="K51" s="85" t="str">
        <f aca="false">IF(J51="","",ROUND(J51*(1+OHP),2))</f>
        <v/>
      </c>
      <c r="L51" s="85" t="str">
        <f aca="false">IF(K51="","",ROUND(K51*(1+VAT),2))</f>
        <v/>
      </c>
      <c r="M51" s="82"/>
      <c r="N51" s="81"/>
      <c r="O51" s="82"/>
      <c r="P51" s="86"/>
      <c r="Q51" s="81"/>
      <c r="R51" s="87"/>
    </row>
    <row r="52" customFormat="false" ht="15" hidden="false" customHeight="false" outlineLevel="0" collapsed="false">
      <c r="A52" s="80" t="str">
        <f aca="false">IF(C52="","","SF-"&amp;TEXT(ROW()-4,"000"))</f>
        <v/>
      </c>
      <c r="B52" s="81"/>
      <c r="C52" s="81"/>
      <c r="D52" s="81"/>
      <c r="E52" s="81"/>
      <c r="F52" s="81"/>
      <c r="G52" s="82"/>
      <c r="H52" s="83"/>
      <c r="I52" s="84"/>
      <c r="J52" s="85" t="str">
        <f aca="false">IF(H52="","",ROUND(H52*(1+I52),2))</f>
        <v/>
      </c>
      <c r="K52" s="85" t="str">
        <f aca="false">IF(J52="","",ROUND(J52*(1+OHP),2))</f>
        <v/>
      </c>
      <c r="L52" s="85" t="str">
        <f aca="false">IF(K52="","",ROUND(K52*(1+VAT),2))</f>
        <v/>
      </c>
      <c r="M52" s="82"/>
      <c r="N52" s="81"/>
      <c r="O52" s="82"/>
      <c r="P52" s="86"/>
      <c r="Q52" s="81"/>
      <c r="R52" s="87"/>
    </row>
    <row r="53" customFormat="false" ht="15" hidden="false" customHeight="false" outlineLevel="0" collapsed="false">
      <c r="A53" s="80" t="str">
        <f aca="false">IF(C53="","","SF-"&amp;TEXT(ROW()-4,"000"))</f>
        <v/>
      </c>
      <c r="B53" s="81"/>
      <c r="C53" s="81"/>
      <c r="D53" s="81"/>
      <c r="E53" s="81"/>
      <c r="F53" s="81"/>
      <c r="G53" s="82"/>
      <c r="H53" s="83"/>
      <c r="I53" s="84"/>
      <c r="J53" s="85" t="str">
        <f aca="false">IF(H53="","",ROUND(H53*(1+I53),2))</f>
        <v/>
      </c>
      <c r="K53" s="85" t="str">
        <f aca="false">IF(J53="","",ROUND(J53*(1+OHP),2))</f>
        <v/>
      </c>
      <c r="L53" s="85" t="str">
        <f aca="false">IF(K53="","",ROUND(K53*(1+VAT),2))</f>
        <v/>
      </c>
      <c r="M53" s="82"/>
      <c r="N53" s="81"/>
      <c r="O53" s="82"/>
      <c r="P53" s="86"/>
      <c r="Q53" s="81"/>
      <c r="R53" s="87"/>
    </row>
    <row r="54" customFormat="false" ht="15" hidden="false" customHeight="false" outlineLevel="0" collapsed="false">
      <c r="A54" s="80" t="str">
        <f aca="false">IF(C54="","","SF-"&amp;TEXT(ROW()-4,"000"))</f>
        <v/>
      </c>
      <c r="B54" s="81"/>
      <c r="C54" s="81"/>
      <c r="D54" s="81"/>
      <c r="E54" s="81"/>
      <c r="F54" s="81"/>
      <c r="G54" s="82"/>
      <c r="H54" s="83"/>
      <c r="I54" s="84"/>
      <c r="J54" s="85" t="str">
        <f aca="false">IF(H54="","",ROUND(H54*(1+I54),2))</f>
        <v/>
      </c>
      <c r="K54" s="85" t="str">
        <f aca="false">IF(J54="","",ROUND(J54*(1+OHP),2))</f>
        <v/>
      </c>
      <c r="L54" s="85" t="str">
        <f aca="false">IF(K54="","",ROUND(K54*(1+VAT),2))</f>
        <v/>
      </c>
      <c r="M54" s="82"/>
      <c r="N54" s="81"/>
      <c r="O54" s="82"/>
      <c r="P54" s="86"/>
      <c r="Q54" s="81"/>
      <c r="R54" s="87"/>
    </row>
    <row r="55" customFormat="false" ht="15" hidden="false" customHeight="false" outlineLevel="0" collapsed="false">
      <c r="A55" s="80" t="str">
        <f aca="false">IF(C55="","","SF-"&amp;TEXT(ROW()-4,"000"))</f>
        <v/>
      </c>
      <c r="B55" s="81"/>
      <c r="C55" s="81"/>
      <c r="D55" s="81"/>
      <c r="E55" s="81"/>
      <c r="F55" s="81"/>
      <c r="G55" s="82"/>
      <c r="H55" s="83"/>
      <c r="I55" s="84"/>
      <c r="J55" s="85" t="str">
        <f aca="false">IF(H55="","",ROUND(H55*(1+I55),2))</f>
        <v/>
      </c>
      <c r="K55" s="85" t="str">
        <f aca="false">IF(J55="","",ROUND(J55*(1+OHP),2))</f>
        <v/>
      </c>
      <c r="L55" s="85" t="str">
        <f aca="false">IF(K55="","",ROUND(K55*(1+VAT),2))</f>
        <v/>
      </c>
      <c r="M55" s="82"/>
      <c r="N55" s="81"/>
      <c r="O55" s="82"/>
      <c r="P55" s="86"/>
      <c r="Q55" s="81"/>
      <c r="R55" s="87"/>
    </row>
    <row r="56" customFormat="false" ht="15" hidden="false" customHeight="false" outlineLevel="0" collapsed="false">
      <c r="A56" s="80" t="str">
        <f aca="false">IF(C56="","","SF-"&amp;TEXT(ROW()-4,"000"))</f>
        <v/>
      </c>
      <c r="B56" s="81"/>
      <c r="C56" s="81"/>
      <c r="D56" s="81"/>
      <c r="E56" s="81"/>
      <c r="F56" s="81"/>
      <c r="G56" s="82"/>
      <c r="H56" s="83"/>
      <c r="I56" s="84"/>
      <c r="J56" s="85" t="str">
        <f aca="false">IF(H56="","",ROUND(H56*(1+I56),2))</f>
        <v/>
      </c>
      <c r="K56" s="85" t="str">
        <f aca="false">IF(J56="","",ROUND(J56*(1+OHP),2))</f>
        <v/>
      </c>
      <c r="L56" s="85" t="str">
        <f aca="false">IF(K56="","",ROUND(K56*(1+VAT),2))</f>
        <v/>
      </c>
      <c r="M56" s="82"/>
      <c r="N56" s="81"/>
      <c r="O56" s="82"/>
      <c r="P56" s="86"/>
      <c r="Q56" s="81"/>
      <c r="R56" s="87"/>
    </row>
    <row r="57" customFormat="false" ht="15" hidden="false" customHeight="false" outlineLevel="0" collapsed="false">
      <c r="A57" s="80" t="str">
        <f aca="false">IF(C57="","","SF-"&amp;TEXT(ROW()-4,"000"))</f>
        <v/>
      </c>
      <c r="B57" s="81"/>
      <c r="C57" s="81"/>
      <c r="D57" s="81"/>
      <c r="E57" s="81"/>
      <c r="F57" s="81"/>
      <c r="G57" s="82"/>
      <c r="H57" s="83"/>
      <c r="I57" s="84"/>
      <c r="J57" s="85" t="str">
        <f aca="false">IF(H57="","",ROUND(H57*(1+I57),2))</f>
        <v/>
      </c>
      <c r="K57" s="85" t="str">
        <f aca="false">IF(J57="","",ROUND(J57*(1+OHP),2))</f>
        <v/>
      </c>
      <c r="L57" s="85" t="str">
        <f aca="false">IF(K57="","",ROUND(K57*(1+VAT),2))</f>
        <v/>
      </c>
      <c r="M57" s="82"/>
      <c r="N57" s="81"/>
      <c r="O57" s="82"/>
      <c r="P57" s="86"/>
      <c r="Q57" s="81"/>
      <c r="R57" s="87"/>
    </row>
    <row r="58" customFormat="false" ht="15" hidden="false" customHeight="false" outlineLevel="0" collapsed="false">
      <c r="A58" s="80" t="str">
        <f aca="false">IF(C58="","","SF-"&amp;TEXT(ROW()-4,"000"))</f>
        <v/>
      </c>
      <c r="B58" s="81"/>
      <c r="C58" s="81"/>
      <c r="D58" s="81"/>
      <c r="E58" s="81"/>
      <c r="F58" s="81"/>
      <c r="G58" s="82"/>
      <c r="H58" s="83"/>
      <c r="I58" s="84"/>
      <c r="J58" s="85" t="str">
        <f aca="false">IF(H58="","",ROUND(H58*(1+I58),2))</f>
        <v/>
      </c>
      <c r="K58" s="85" t="str">
        <f aca="false">IF(J58="","",ROUND(J58*(1+OHP),2))</f>
        <v/>
      </c>
      <c r="L58" s="85" t="str">
        <f aca="false">IF(K58="","",ROUND(K58*(1+VAT),2))</f>
        <v/>
      </c>
      <c r="M58" s="82"/>
      <c r="N58" s="81"/>
      <c r="O58" s="82"/>
      <c r="P58" s="86"/>
      <c r="Q58" s="81"/>
      <c r="R58" s="87"/>
    </row>
    <row r="59" customFormat="false" ht="15" hidden="false" customHeight="false" outlineLevel="0" collapsed="false">
      <c r="A59" s="80" t="str">
        <f aca="false">IF(C59="","","SF-"&amp;TEXT(ROW()-4,"000"))</f>
        <v/>
      </c>
      <c r="B59" s="81"/>
      <c r="C59" s="81"/>
      <c r="D59" s="81"/>
      <c r="E59" s="81"/>
      <c r="F59" s="81"/>
      <c r="G59" s="82"/>
      <c r="H59" s="83"/>
      <c r="I59" s="84"/>
      <c r="J59" s="85" t="str">
        <f aca="false">IF(H59="","",ROUND(H59*(1+I59),2))</f>
        <v/>
      </c>
      <c r="K59" s="85" t="str">
        <f aca="false">IF(J59="","",ROUND(J59*(1+OHP),2))</f>
        <v/>
      </c>
      <c r="L59" s="85" t="str">
        <f aca="false">IF(K59="","",ROUND(K59*(1+VAT),2))</f>
        <v/>
      </c>
      <c r="M59" s="82"/>
      <c r="N59" s="81"/>
      <c r="O59" s="82"/>
      <c r="P59" s="86"/>
      <c r="Q59" s="81"/>
      <c r="R59" s="87"/>
    </row>
    <row r="60" customFormat="false" ht="15" hidden="false" customHeight="false" outlineLevel="0" collapsed="false">
      <c r="A60" s="80" t="str">
        <f aca="false">IF(C60="","","SF-"&amp;TEXT(ROW()-4,"000"))</f>
        <v/>
      </c>
      <c r="B60" s="81"/>
      <c r="C60" s="81"/>
      <c r="D60" s="81"/>
      <c r="E60" s="81"/>
      <c r="F60" s="81"/>
      <c r="G60" s="82"/>
      <c r="H60" s="83"/>
      <c r="I60" s="84"/>
      <c r="J60" s="85" t="str">
        <f aca="false">IF(H60="","",ROUND(H60*(1+I60),2))</f>
        <v/>
      </c>
      <c r="K60" s="85" t="str">
        <f aca="false">IF(J60="","",ROUND(J60*(1+OHP),2))</f>
        <v/>
      </c>
      <c r="L60" s="85" t="str">
        <f aca="false">IF(K60="","",ROUND(K60*(1+VAT),2))</f>
        <v/>
      </c>
      <c r="M60" s="82"/>
      <c r="N60" s="81"/>
      <c r="O60" s="82"/>
      <c r="P60" s="86"/>
      <c r="Q60" s="81"/>
      <c r="R60" s="87"/>
    </row>
    <row r="61" customFormat="false" ht="15" hidden="false" customHeight="false" outlineLevel="0" collapsed="false">
      <c r="A61" s="80" t="str">
        <f aca="false">IF(C61="","","SF-"&amp;TEXT(ROW()-4,"000"))</f>
        <v/>
      </c>
      <c r="B61" s="81"/>
      <c r="C61" s="81"/>
      <c r="D61" s="81"/>
      <c r="E61" s="81"/>
      <c r="F61" s="81"/>
      <c r="G61" s="82"/>
      <c r="H61" s="83"/>
      <c r="I61" s="84"/>
      <c r="J61" s="85" t="str">
        <f aca="false">IF(H61="","",ROUND(H61*(1+I61),2))</f>
        <v/>
      </c>
      <c r="K61" s="85" t="str">
        <f aca="false">IF(J61="","",ROUND(J61*(1+OHP),2))</f>
        <v/>
      </c>
      <c r="L61" s="85" t="str">
        <f aca="false">IF(K61="","",ROUND(K61*(1+VAT),2))</f>
        <v/>
      </c>
      <c r="M61" s="82"/>
      <c r="N61" s="81"/>
      <c r="O61" s="82"/>
      <c r="P61" s="86"/>
      <c r="Q61" s="81"/>
      <c r="R61" s="87"/>
    </row>
    <row r="62" customFormat="false" ht="15" hidden="false" customHeight="false" outlineLevel="0" collapsed="false">
      <c r="A62" s="80" t="str">
        <f aca="false">IF(C62="","","SF-"&amp;TEXT(ROW()-4,"000"))</f>
        <v/>
      </c>
      <c r="B62" s="81"/>
      <c r="C62" s="81"/>
      <c r="D62" s="81"/>
      <c r="E62" s="81"/>
      <c r="F62" s="81"/>
      <c r="G62" s="82"/>
      <c r="H62" s="83"/>
      <c r="I62" s="84"/>
      <c r="J62" s="85" t="str">
        <f aca="false">IF(H62="","",ROUND(H62*(1+I62),2))</f>
        <v/>
      </c>
      <c r="K62" s="85" t="str">
        <f aca="false">IF(J62="","",ROUND(J62*(1+OHP),2))</f>
        <v/>
      </c>
      <c r="L62" s="85" t="str">
        <f aca="false">IF(K62="","",ROUND(K62*(1+VAT),2))</f>
        <v/>
      </c>
      <c r="M62" s="82"/>
      <c r="N62" s="81"/>
      <c r="O62" s="82"/>
      <c r="P62" s="86"/>
      <c r="Q62" s="81"/>
      <c r="R62" s="87"/>
    </row>
    <row r="63" customFormat="false" ht="15" hidden="false" customHeight="false" outlineLevel="0" collapsed="false">
      <c r="A63" s="80" t="str">
        <f aca="false">IF(C63="","","SF-"&amp;TEXT(ROW()-4,"000"))</f>
        <v/>
      </c>
      <c r="B63" s="81"/>
      <c r="C63" s="81"/>
      <c r="D63" s="81"/>
      <c r="E63" s="81"/>
      <c r="F63" s="81"/>
      <c r="G63" s="82"/>
      <c r="H63" s="83"/>
      <c r="I63" s="84"/>
      <c r="J63" s="85" t="str">
        <f aca="false">IF(H63="","",ROUND(H63*(1+I63),2))</f>
        <v/>
      </c>
      <c r="K63" s="85" t="str">
        <f aca="false">IF(J63="","",ROUND(J63*(1+OHP),2))</f>
        <v/>
      </c>
      <c r="L63" s="85" t="str">
        <f aca="false">IF(K63="","",ROUND(K63*(1+VAT),2))</f>
        <v/>
      </c>
      <c r="M63" s="82"/>
      <c r="N63" s="81"/>
      <c r="O63" s="82"/>
      <c r="P63" s="86"/>
      <c r="Q63" s="81"/>
      <c r="R63" s="87"/>
    </row>
    <row r="64" customFormat="false" ht="15" hidden="false" customHeight="false" outlineLevel="0" collapsed="false">
      <c r="A64" s="80" t="str">
        <f aca="false">IF(C64="","","SF-"&amp;TEXT(ROW()-4,"000"))</f>
        <v/>
      </c>
      <c r="B64" s="81"/>
      <c r="C64" s="81"/>
      <c r="D64" s="81"/>
      <c r="E64" s="81"/>
      <c r="F64" s="81"/>
      <c r="G64" s="82"/>
      <c r="H64" s="83"/>
      <c r="I64" s="84"/>
      <c r="J64" s="85" t="str">
        <f aca="false">IF(H64="","",ROUND(H64*(1+I64),2))</f>
        <v/>
      </c>
      <c r="K64" s="85" t="str">
        <f aca="false">IF(J64="","",ROUND(J64*(1+OHP),2))</f>
        <v/>
      </c>
      <c r="L64" s="85" t="str">
        <f aca="false">IF(K64="","",ROUND(K64*(1+VAT),2))</f>
        <v/>
      </c>
      <c r="M64" s="82"/>
      <c r="N64" s="81"/>
      <c r="O64" s="82"/>
      <c r="P64" s="86"/>
      <c r="Q64" s="81"/>
      <c r="R64" s="87"/>
    </row>
    <row r="65" customFormat="false" ht="15" hidden="false" customHeight="false" outlineLevel="0" collapsed="false">
      <c r="A65" s="80" t="str">
        <f aca="false">IF(C65="","","SF-"&amp;TEXT(ROW()-4,"000"))</f>
        <v/>
      </c>
      <c r="B65" s="81"/>
      <c r="C65" s="81"/>
      <c r="D65" s="81"/>
      <c r="E65" s="81"/>
      <c r="F65" s="81"/>
      <c r="G65" s="82"/>
      <c r="H65" s="83"/>
      <c r="I65" s="84"/>
      <c r="J65" s="85" t="str">
        <f aca="false">IF(H65="","",ROUND(H65*(1+I65),2))</f>
        <v/>
      </c>
      <c r="K65" s="85" t="str">
        <f aca="false">IF(J65="","",ROUND(J65*(1+OHP),2))</f>
        <v/>
      </c>
      <c r="L65" s="85" t="str">
        <f aca="false">IF(K65="","",ROUND(K65*(1+VAT),2))</f>
        <v/>
      </c>
      <c r="M65" s="82"/>
      <c r="N65" s="81"/>
      <c r="O65" s="82"/>
      <c r="P65" s="86"/>
      <c r="Q65" s="81"/>
      <c r="R65" s="87"/>
    </row>
  </sheetData>
  <autoFilter ref="A4:R65"/>
  <mergeCells count="2">
    <mergeCell ref="A1:R1"/>
    <mergeCell ref="A2:R2"/>
  </mergeCells>
  <conditionalFormatting sqref="A5:R65">
    <cfRule type="expression" priority="2" aboveAverage="0" equalAverage="0" bottom="0" percent="0" rank="0" text="" dxfId="1">
      <formula>AND($C5&lt;&gt;"",MOD(ROW(),2)=0,$M5&lt;&gt;"Obsolete")</formula>
    </cfRule>
    <cfRule type="expression" priority="3" aboveAverage="0" equalAverage="0" bottom="0" percent="0" rank="0" text="" dxfId="12">
      <formula>$M5="Obsolete"</formula>
    </cfRule>
  </conditionalFormatting>
  <conditionalFormatting sqref="M5:M65">
    <cfRule type="expression" priority="4" aboveAverage="0" equalAverage="0" bottom="0" percent="0" rank="0" text="" dxfId="13">
      <formula>$M5="Indicative"</formula>
    </cfRule>
    <cfRule type="expression" priority="5" aboveAverage="0" equalAverage="0" bottom="0" percent="0" rank="0" text="" dxfId="14">
      <formula>$M5="Quoted"</formula>
    </cfRule>
    <cfRule type="expression" priority="6" aboveAverage="0" equalAverage="0" bottom="0" percent="0" rank="0" text="" dxfId="15">
      <formula>$M5="Verified"</formula>
    </cfRule>
    <cfRule type="expression" priority="7" aboveAverage="0" equalAverage="0" bottom="0" percent="0" rank="0" text="" dxfId="16">
      <formula>$M5="Obsolete"</formula>
    </cfRule>
  </conditionalFormatting>
  <dataValidations count="2">
    <dataValidation allowBlank="true" error="Enter wastage as a percentage, e.g. 5%" errorStyle="stop" operator="between" showDropDown="false" showErrorMessage="false" showInputMessage="false" sqref="I5:I65" type="decimal">
      <formula1>0</formula1>
      <formula2>1</formula2>
    </dataValidation>
    <dataValidation allowBlank="true" errorStyle="stop" operator="between" showDropDown="false" showErrorMessage="false" showInputMessage="false" sqref="M5:M65" type="list">
      <formula1>"Indicative,Quoted,Verified,Obsolete"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&amp;L&amp;8Sealants, Gaskets, Fixings Consumables&amp;C&amp;8Page &amp;P of &amp;N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08E"/>
    <pageSetUpPr fitToPage="true"/>
  </sheetPr>
  <dimension ref="A1:R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32"/>
    <col collapsed="false" customWidth="true" hidden="false" outlineLevel="0" max="5" min="5" style="0" width="20"/>
    <col collapsed="false" customWidth="true" hidden="false" outlineLevel="0" max="6" min="6" style="0" width="26"/>
    <col collapsed="false" customWidth="true" hidden="false" outlineLevel="0" max="7" min="7" style="0" width="7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1" min="10" style="0" width="13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20"/>
    <col collapsed="false" customWidth="true" hidden="false" outlineLevel="0" max="15" min="15" style="0" width="13"/>
    <col collapsed="false" customWidth="true" hidden="false" outlineLevel="0" max="16" min="16" style="0" width="12"/>
    <col collapsed="false" customWidth="true" hidden="false" outlineLevel="0" max="17" min="17" style="0" width="26"/>
    <col collapsed="false" customWidth="true" hidden="false" outlineLevel="0" max="18" min="18" style="0" width="34"/>
  </cols>
  <sheetData>
    <row r="1" customFormat="false" ht="30" hidden="false" customHeight="true" outlineLevel="0" collapsed="false">
      <c r="A1" s="65" t="s">
        <v>1261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</row>
    <row r="2" customFormat="false" ht="15" hidden="false" customHeight="false" outlineLevel="0" collapsed="false">
      <c r="A2" s="95" t="s">
        <v>1262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</row>
    <row r="3" customFormat="false" ht="15" hidden="false" customHeight="false" outlineLevel="0" collapsed="false">
      <c r="A3" s="7" t="str">
        <f aca="false">HYPERLINK("#Index!A1","&lt;&lt; Back to Index")</f>
        <v>&lt;&lt; Back to Index</v>
      </c>
      <c r="D3" s="67" t="s">
        <v>180</v>
      </c>
      <c r="E3" s="68" t="n">
        <f aca="false">COUNTA(C5:C36)</f>
        <v>17</v>
      </c>
      <c r="H3" s="69" t="s">
        <v>181</v>
      </c>
    </row>
    <row r="4" customFormat="false" ht="31.5" hidden="false" customHeight="true" outlineLevel="0" collapsed="false">
      <c r="A4" s="8" t="s">
        <v>110</v>
      </c>
      <c r="B4" s="8" t="s">
        <v>121</v>
      </c>
      <c r="C4" s="8" t="s">
        <v>111</v>
      </c>
      <c r="D4" s="8" t="s">
        <v>112</v>
      </c>
      <c r="E4" s="8" t="s">
        <v>113</v>
      </c>
      <c r="F4" s="8" t="s">
        <v>114</v>
      </c>
      <c r="G4" s="8" t="s">
        <v>115</v>
      </c>
      <c r="H4" s="8" t="s">
        <v>182</v>
      </c>
      <c r="I4" s="8" t="s">
        <v>183</v>
      </c>
      <c r="J4" s="8" t="s">
        <v>184</v>
      </c>
      <c r="K4" s="8" t="s">
        <v>185</v>
      </c>
      <c r="L4" s="8" t="s">
        <v>186</v>
      </c>
      <c r="M4" s="8" t="s">
        <v>119</v>
      </c>
      <c r="N4" s="8" t="s">
        <v>187</v>
      </c>
      <c r="O4" s="8" t="s">
        <v>188</v>
      </c>
      <c r="P4" s="8" t="s">
        <v>189</v>
      </c>
      <c r="Q4" s="8" t="s">
        <v>190</v>
      </c>
      <c r="R4" s="8" t="s">
        <v>191</v>
      </c>
    </row>
    <row r="5" customFormat="false" ht="15" hidden="false" customHeight="false" outlineLevel="0" collapsed="false">
      <c r="A5" s="70" t="s">
        <v>1263</v>
      </c>
      <c r="B5" s="71" t="s">
        <v>1264</v>
      </c>
      <c r="C5" s="72" t="s">
        <v>1265</v>
      </c>
      <c r="D5" s="71" t="s">
        <v>1266</v>
      </c>
      <c r="E5" s="71" t="s">
        <v>333</v>
      </c>
      <c r="F5" s="71" t="s">
        <v>1267</v>
      </c>
      <c r="G5" s="73" t="s">
        <v>378</v>
      </c>
      <c r="H5" s="79" t="n">
        <v>55</v>
      </c>
      <c r="I5" s="75" t="n">
        <v>0.1</v>
      </c>
      <c r="J5" s="76" t="n">
        <f aca="false">IF(H5="","",ROUND(H5*(1+I5),2))</f>
        <v>60.5</v>
      </c>
      <c r="K5" s="76" t="n">
        <f aca="false">IF(J5="","",ROUND(J5*(1+OHP),2))</f>
        <v>72.6</v>
      </c>
      <c r="L5" s="76" t="n">
        <f aca="false">IF(K5="","",ROUND(K5*(1+VAT),2))</f>
        <v>76.23</v>
      </c>
      <c r="M5" s="73" t="s">
        <v>89</v>
      </c>
      <c r="N5" s="71"/>
      <c r="O5" s="73"/>
      <c r="P5" s="77"/>
      <c r="Q5" s="71"/>
      <c r="R5" s="78" t="s">
        <v>1268</v>
      </c>
    </row>
    <row r="6" customFormat="false" ht="23.85" hidden="false" customHeight="false" outlineLevel="0" collapsed="false">
      <c r="A6" s="70" t="s">
        <v>1269</v>
      </c>
      <c r="B6" s="71" t="s">
        <v>1264</v>
      </c>
      <c r="C6" s="72" t="s">
        <v>1270</v>
      </c>
      <c r="D6" s="71" t="s">
        <v>1271</v>
      </c>
      <c r="E6" s="71" t="s">
        <v>333</v>
      </c>
      <c r="F6" s="71" t="s">
        <v>1267</v>
      </c>
      <c r="G6" s="73" t="s">
        <v>378</v>
      </c>
      <c r="H6" s="79" t="n">
        <v>75</v>
      </c>
      <c r="I6" s="75" t="n">
        <v>0.1</v>
      </c>
      <c r="J6" s="76" t="n">
        <f aca="false">IF(H6="","",ROUND(H6*(1+I6),2))</f>
        <v>82.5</v>
      </c>
      <c r="K6" s="76" t="n">
        <f aca="false">IF(J6="","",ROUND(J6*(1+OHP),2))</f>
        <v>99</v>
      </c>
      <c r="L6" s="76" t="n">
        <f aca="false">IF(K6="","",ROUND(K6*(1+VAT),2))</f>
        <v>103.95</v>
      </c>
      <c r="M6" s="73" t="s">
        <v>89</v>
      </c>
      <c r="N6" s="71"/>
      <c r="O6" s="73"/>
      <c r="P6" s="77"/>
      <c r="Q6" s="71"/>
      <c r="R6" s="78" t="s">
        <v>1272</v>
      </c>
    </row>
    <row r="7" customFormat="false" ht="23.85" hidden="false" customHeight="false" outlineLevel="0" collapsed="false">
      <c r="A7" s="70" t="s">
        <v>1273</v>
      </c>
      <c r="B7" s="71" t="s">
        <v>1264</v>
      </c>
      <c r="C7" s="72" t="s">
        <v>1274</v>
      </c>
      <c r="D7" s="71" t="s">
        <v>1271</v>
      </c>
      <c r="E7" s="71" t="s">
        <v>333</v>
      </c>
      <c r="F7" s="71" t="s">
        <v>1267</v>
      </c>
      <c r="G7" s="73" t="s">
        <v>378</v>
      </c>
      <c r="H7" s="79" t="n">
        <v>110</v>
      </c>
      <c r="I7" s="75" t="n">
        <v>0.1</v>
      </c>
      <c r="J7" s="76" t="n">
        <f aca="false">IF(H7="","",ROUND(H7*(1+I7),2))</f>
        <v>121</v>
      </c>
      <c r="K7" s="76" t="n">
        <f aca="false">IF(J7="","",ROUND(J7*(1+OHP),2))</f>
        <v>145.2</v>
      </c>
      <c r="L7" s="76" t="n">
        <f aca="false">IF(K7="","",ROUND(K7*(1+VAT),2))</f>
        <v>152.46</v>
      </c>
      <c r="M7" s="73" t="s">
        <v>89</v>
      </c>
      <c r="N7" s="71"/>
      <c r="O7" s="73"/>
      <c r="P7" s="77"/>
      <c r="Q7" s="71"/>
      <c r="R7" s="78" t="s">
        <v>1275</v>
      </c>
    </row>
    <row r="8" customFormat="false" ht="23.85" hidden="false" customHeight="false" outlineLevel="0" collapsed="false">
      <c r="A8" s="70" t="s">
        <v>1276</v>
      </c>
      <c r="B8" s="71" t="s">
        <v>1264</v>
      </c>
      <c r="C8" s="72" t="s">
        <v>1277</v>
      </c>
      <c r="D8" s="71" t="s">
        <v>1278</v>
      </c>
      <c r="E8" s="71" t="s">
        <v>1279</v>
      </c>
      <c r="F8" s="71" t="s">
        <v>1280</v>
      </c>
      <c r="G8" s="73" t="s">
        <v>378</v>
      </c>
      <c r="H8" s="79" t="n">
        <v>130</v>
      </c>
      <c r="I8" s="75" t="n">
        <v>0.1</v>
      </c>
      <c r="J8" s="76" t="n">
        <f aca="false">IF(H8="","",ROUND(H8*(1+I8),2))</f>
        <v>143</v>
      </c>
      <c r="K8" s="76" t="n">
        <f aca="false">IF(J8="","",ROUND(J8*(1+OHP),2))</f>
        <v>171.6</v>
      </c>
      <c r="L8" s="76" t="n">
        <f aca="false">IF(K8="","",ROUND(K8*(1+VAT),2))</f>
        <v>180.18</v>
      </c>
      <c r="M8" s="73" t="s">
        <v>89</v>
      </c>
      <c r="N8" s="71"/>
      <c r="O8" s="73"/>
      <c r="P8" s="77"/>
      <c r="Q8" s="71"/>
      <c r="R8" s="78" t="s">
        <v>686</v>
      </c>
    </row>
    <row r="9" customFormat="false" ht="15" hidden="false" customHeight="false" outlineLevel="0" collapsed="false">
      <c r="A9" s="70" t="s">
        <v>1281</v>
      </c>
      <c r="B9" s="71" t="s">
        <v>1282</v>
      </c>
      <c r="C9" s="72" t="s">
        <v>1283</v>
      </c>
      <c r="D9" s="71" t="s">
        <v>1284</v>
      </c>
      <c r="E9" s="71" t="s">
        <v>333</v>
      </c>
      <c r="F9" s="71" t="s">
        <v>1224</v>
      </c>
      <c r="G9" s="73" t="s">
        <v>378</v>
      </c>
      <c r="H9" s="79" t="n">
        <v>150</v>
      </c>
      <c r="I9" s="75" t="n">
        <v>0.1</v>
      </c>
      <c r="J9" s="76" t="n">
        <f aca="false">IF(H9="","",ROUND(H9*(1+I9),2))</f>
        <v>165</v>
      </c>
      <c r="K9" s="76" t="n">
        <f aca="false">IF(J9="","",ROUND(J9*(1+OHP),2))</f>
        <v>198</v>
      </c>
      <c r="L9" s="76" t="n">
        <f aca="false">IF(K9="","",ROUND(K9*(1+VAT),2))</f>
        <v>207.9</v>
      </c>
      <c r="M9" s="73" t="s">
        <v>89</v>
      </c>
      <c r="N9" s="71"/>
      <c r="O9" s="73"/>
      <c r="P9" s="77"/>
      <c r="Q9" s="71"/>
      <c r="R9" s="78" t="s">
        <v>1285</v>
      </c>
    </row>
    <row r="10" customFormat="false" ht="15" hidden="false" customHeight="false" outlineLevel="0" collapsed="false">
      <c r="A10" s="70" t="s">
        <v>1286</v>
      </c>
      <c r="B10" s="71" t="s">
        <v>1282</v>
      </c>
      <c r="C10" s="72" t="s">
        <v>1283</v>
      </c>
      <c r="D10" s="71" t="s">
        <v>1287</v>
      </c>
      <c r="E10" s="71" t="s">
        <v>333</v>
      </c>
      <c r="F10" s="71" t="s">
        <v>1224</v>
      </c>
      <c r="G10" s="73" t="s">
        <v>378</v>
      </c>
      <c r="H10" s="79" t="n">
        <v>190</v>
      </c>
      <c r="I10" s="75" t="n">
        <v>0.1</v>
      </c>
      <c r="J10" s="76" t="n">
        <f aca="false">IF(H10="","",ROUND(H10*(1+I10),2))</f>
        <v>209</v>
      </c>
      <c r="K10" s="76" t="n">
        <f aca="false">IF(J10="","",ROUND(J10*(1+OHP),2))</f>
        <v>250.8</v>
      </c>
      <c r="L10" s="76" t="n">
        <f aca="false">IF(K10="","",ROUND(K10*(1+VAT),2))</f>
        <v>263.34</v>
      </c>
      <c r="M10" s="73" t="s">
        <v>89</v>
      </c>
      <c r="N10" s="71"/>
      <c r="O10" s="73"/>
      <c r="P10" s="77"/>
      <c r="Q10" s="71"/>
      <c r="R10" s="78" t="s">
        <v>1288</v>
      </c>
    </row>
    <row r="11" customFormat="false" ht="15" hidden="false" customHeight="false" outlineLevel="0" collapsed="false">
      <c r="A11" s="70" t="s">
        <v>1289</v>
      </c>
      <c r="B11" s="71" t="s">
        <v>1282</v>
      </c>
      <c r="C11" s="72" t="s">
        <v>1290</v>
      </c>
      <c r="D11" s="71" t="s">
        <v>1291</v>
      </c>
      <c r="E11" s="71" t="s">
        <v>333</v>
      </c>
      <c r="F11" s="71" t="s">
        <v>1224</v>
      </c>
      <c r="G11" s="73" t="s">
        <v>378</v>
      </c>
      <c r="H11" s="79" t="n">
        <v>260</v>
      </c>
      <c r="I11" s="75" t="n">
        <v>0.1</v>
      </c>
      <c r="J11" s="76" t="n">
        <f aca="false">IF(H11="","",ROUND(H11*(1+I11),2))</f>
        <v>286</v>
      </c>
      <c r="K11" s="76" t="n">
        <f aca="false">IF(J11="","",ROUND(J11*(1+OHP),2))</f>
        <v>343.2</v>
      </c>
      <c r="L11" s="76" t="n">
        <f aca="false">IF(K11="","",ROUND(K11*(1+VAT),2))</f>
        <v>360.36</v>
      </c>
      <c r="M11" s="73" t="s">
        <v>89</v>
      </c>
      <c r="N11" s="71"/>
      <c r="O11" s="73"/>
      <c r="P11" s="77"/>
      <c r="Q11" s="71"/>
      <c r="R11" s="78" t="s">
        <v>1288</v>
      </c>
    </row>
    <row r="12" customFormat="false" ht="15" hidden="false" customHeight="false" outlineLevel="0" collapsed="false">
      <c r="A12" s="70" t="s">
        <v>1292</v>
      </c>
      <c r="B12" s="71" t="s">
        <v>1282</v>
      </c>
      <c r="C12" s="72" t="s">
        <v>1293</v>
      </c>
      <c r="D12" s="71" t="s">
        <v>1294</v>
      </c>
      <c r="E12" s="71" t="s">
        <v>333</v>
      </c>
      <c r="F12" s="71" t="s">
        <v>1224</v>
      </c>
      <c r="G12" s="73" t="s">
        <v>378</v>
      </c>
      <c r="H12" s="79" t="n">
        <v>380</v>
      </c>
      <c r="I12" s="75" t="n">
        <v>0.1</v>
      </c>
      <c r="J12" s="76" t="n">
        <f aca="false">IF(H12="","",ROUND(H12*(1+I12),2))</f>
        <v>418</v>
      </c>
      <c r="K12" s="76" t="n">
        <f aca="false">IF(J12="","",ROUND(J12*(1+OHP),2))</f>
        <v>501.6</v>
      </c>
      <c r="L12" s="76" t="n">
        <f aca="false">IF(K12="","",ROUND(K12*(1+VAT),2))</f>
        <v>526.68</v>
      </c>
      <c r="M12" s="73" t="s">
        <v>89</v>
      </c>
      <c r="N12" s="71"/>
      <c r="O12" s="73"/>
      <c r="P12" s="77"/>
      <c r="Q12" s="71"/>
      <c r="R12" s="78" t="s">
        <v>1288</v>
      </c>
    </row>
    <row r="13" customFormat="false" ht="15" hidden="false" customHeight="false" outlineLevel="0" collapsed="false">
      <c r="A13" s="70" t="s">
        <v>1295</v>
      </c>
      <c r="B13" s="71" t="s">
        <v>1282</v>
      </c>
      <c r="C13" s="72" t="s">
        <v>1296</v>
      </c>
      <c r="D13" s="71" t="s">
        <v>1297</v>
      </c>
      <c r="E13" s="71" t="s">
        <v>333</v>
      </c>
      <c r="F13" s="71" t="s">
        <v>453</v>
      </c>
      <c r="G13" s="73" t="s">
        <v>378</v>
      </c>
      <c r="H13" s="79" t="n">
        <v>450</v>
      </c>
      <c r="I13" s="75" t="n">
        <v>0.1</v>
      </c>
      <c r="J13" s="76" t="n">
        <f aca="false">IF(H13="","",ROUND(H13*(1+I13),2))</f>
        <v>495</v>
      </c>
      <c r="K13" s="76" t="n">
        <f aca="false">IF(J13="","",ROUND(J13*(1+OHP),2))</f>
        <v>594</v>
      </c>
      <c r="L13" s="76" t="n">
        <f aca="false">IF(K13="","",ROUND(K13*(1+VAT),2))</f>
        <v>623.7</v>
      </c>
      <c r="M13" s="73" t="s">
        <v>89</v>
      </c>
      <c r="N13" s="71"/>
      <c r="O13" s="73"/>
      <c r="P13" s="77"/>
      <c r="Q13" s="71"/>
      <c r="R13" s="78" t="s">
        <v>1298</v>
      </c>
    </row>
    <row r="14" customFormat="false" ht="15" hidden="false" customHeight="false" outlineLevel="0" collapsed="false">
      <c r="A14" s="70" t="s">
        <v>1299</v>
      </c>
      <c r="B14" s="71" t="s">
        <v>1282</v>
      </c>
      <c r="C14" s="72" t="s">
        <v>1300</v>
      </c>
      <c r="D14" s="71" t="s">
        <v>1301</v>
      </c>
      <c r="E14" s="71" t="s">
        <v>1302</v>
      </c>
      <c r="F14" s="71" t="s">
        <v>217</v>
      </c>
      <c r="G14" s="73" t="s">
        <v>378</v>
      </c>
      <c r="H14" s="79" t="n">
        <v>65</v>
      </c>
      <c r="I14" s="75" t="n">
        <v>0.1</v>
      </c>
      <c r="J14" s="76" t="n">
        <f aca="false">IF(H14="","",ROUND(H14*(1+I14),2))</f>
        <v>71.5</v>
      </c>
      <c r="K14" s="76" t="n">
        <f aca="false">IF(J14="","",ROUND(J14*(1+OHP),2))</f>
        <v>85.8</v>
      </c>
      <c r="L14" s="76" t="n">
        <f aca="false">IF(K14="","",ROUND(K14*(1+VAT),2))</f>
        <v>90.09</v>
      </c>
      <c r="M14" s="73" t="s">
        <v>89</v>
      </c>
      <c r="N14" s="71"/>
      <c r="O14" s="73"/>
      <c r="P14" s="77"/>
      <c r="Q14" s="71"/>
      <c r="R14" s="78" t="s">
        <v>1303</v>
      </c>
    </row>
    <row r="15" customFormat="false" ht="15" hidden="false" customHeight="false" outlineLevel="0" collapsed="false">
      <c r="A15" s="70" t="s">
        <v>1304</v>
      </c>
      <c r="B15" s="71" t="s">
        <v>1305</v>
      </c>
      <c r="C15" s="72" t="s">
        <v>1306</v>
      </c>
      <c r="D15" s="71" t="s">
        <v>1307</v>
      </c>
      <c r="E15" s="71" t="s">
        <v>196</v>
      </c>
      <c r="F15" s="71" t="s">
        <v>217</v>
      </c>
      <c r="G15" s="73" t="s">
        <v>378</v>
      </c>
      <c r="H15" s="79" t="n">
        <v>45</v>
      </c>
      <c r="I15" s="75" t="n">
        <v>0.1</v>
      </c>
      <c r="J15" s="76" t="n">
        <f aca="false">IF(H15="","",ROUND(H15*(1+I15),2))</f>
        <v>49.5</v>
      </c>
      <c r="K15" s="76" t="n">
        <f aca="false">IF(J15="","",ROUND(J15*(1+OHP),2))</f>
        <v>59.4</v>
      </c>
      <c r="L15" s="76" t="n">
        <f aca="false">IF(K15="","",ROUND(K15*(1+VAT),2))</f>
        <v>62.37</v>
      </c>
      <c r="M15" s="73" t="s">
        <v>89</v>
      </c>
      <c r="N15" s="71"/>
      <c r="O15" s="73"/>
      <c r="P15" s="77"/>
      <c r="Q15" s="71"/>
      <c r="R15" s="78" t="s">
        <v>199</v>
      </c>
    </row>
    <row r="16" customFormat="false" ht="15" hidden="false" customHeight="false" outlineLevel="0" collapsed="false">
      <c r="A16" s="70" t="s">
        <v>1308</v>
      </c>
      <c r="B16" s="71" t="s">
        <v>1305</v>
      </c>
      <c r="C16" s="72" t="s">
        <v>1309</v>
      </c>
      <c r="D16" s="71" t="s">
        <v>1307</v>
      </c>
      <c r="E16" s="71" t="s">
        <v>1310</v>
      </c>
      <c r="F16" s="71" t="s">
        <v>217</v>
      </c>
      <c r="G16" s="73" t="s">
        <v>378</v>
      </c>
      <c r="H16" s="79" t="n">
        <v>30</v>
      </c>
      <c r="I16" s="75" t="n">
        <v>0.1</v>
      </c>
      <c r="J16" s="76" t="n">
        <f aca="false">IF(H16="","",ROUND(H16*(1+I16),2))</f>
        <v>33</v>
      </c>
      <c r="K16" s="76" t="n">
        <f aca="false">IF(J16="","",ROUND(J16*(1+OHP),2))</f>
        <v>39.6</v>
      </c>
      <c r="L16" s="76" t="n">
        <f aca="false">IF(K16="","",ROUND(K16*(1+VAT),2))</f>
        <v>41.58</v>
      </c>
      <c r="M16" s="73" t="s">
        <v>89</v>
      </c>
      <c r="N16" s="71"/>
      <c r="O16" s="73"/>
      <c r="P16" s="77"/>
      <c r="Q16" s="71"/>
      <c r="R16" s="78" t="s">
        <v>1311</v>
      </c>
    </row>
    <row r="17" customFormat="false" ht="15" hidden="false" customHeight="false" outlineLevel="0" collapsed="false">
      <c r="A17" s="70" t="s">
        <v>1312</v>
      </c>
      <c r="B17" s="71" t="s">
        <v>1305</v>
      </c>
      <c r="C17" s="72" t="s">
        <v>1313</v>
      </c>
      <c r="D17" s="71" t="s">
        <v>1314</v>
      </c>
      <c r="E17" s="71" t="s">
        <v>457</v>
      </c>
      <c r="F17" s="71" t="s">
        <v>1315</v>
      </c>
      <c r="G17" s="73" t="s">
        <v>378</v>
      </c>
      <c r="H17" s="79" t="n">
        <v>28</v>
      </c>
      <c r="I17" s="75" t="n">
        <v>0.1</v>
      </c>
      <c r="J17" s="76" t="n">
        <f aca="false">IF(H17="","",ROUND(H17*(1+I17),2))</f>
        <v>30.8</v>
      </c>
      <c r="K17" s="76" t="n">
        <f aca="false">IF(J17="","",ROUND(J17*(1+OHP),2))</f>
        <v>36.96</v>
      </c>
      <c r="L17" s="76" t="n">
        <f aca="false">IF(K17="","",ROUND(K17*(1+VAT),2))</f>
        <v>38.81</v>
      </c>
      <c r="M17" s="73" t="s">
        <v>89</v>
      </c>
      <c r="N17" s="71"/>
      <c r="O17" s="73"/>
      <c r="P17" s="77"/>
      <c r="Q17" s="71"/>
      <c r="R17" s="78" t="s">
        <v>1316</v>
      </c>
    </row>
    <row r="18" customFormat="false" ht="15" hidden="false" customHeight="false" outlineLevel="0" collapsed="false">
      <c r="A18" s="70" t="s">
        <v>1317</v>
      </c>
      <c r="B18" s="71" t="s">
        <v>1305</v>
      </c>
      <c r="C18" s="72" t="s">
        <v>1318</v>
      </c>
      <c r="D18" s="71" t="s">
        <v>723</v>
      </c>
      <c r="E18" s="71" t="s">
        <v>457</v>
      </c>
      <c r="F18" s="71" t="s">
        <v>453</v>
      </c>
      <c r="G18" s="73" t="s">
        <v>378</v>
      </c>
      <c r="H18" s="79" t="n">
        <v>12</v>
      </c>
      <c r="I18" s="75" t="n">
        <v>0.1</v>
      </c>
      <c r="J18" s="76" t="n">
        <f aca="false">IF(H18="","",ROUND(H18*(1+I18),2))</f>
        <v>13.2</v>
      </c>
      <c r="K18" s="76" t="n">
        <f aca="false">IF(J18="","",ROUND(J18*(1+OHP),2))</f>
        <v>15.84</v>
      </c>
      <c r="L18" s="76" t="n">
        <f aca="false">IF(K18="","",ROUND(K18*(1+VAT),2))</f>
        <v>16.63</v>
      </c>
      <c r="M18" s="73" t="s">
        <v>89</v>
      </c>
      <c r="N18" s="71"/>
      <c r="O18" s="73"/>
      <c r="P18" s="77"/>
      <c r="Q18" s="71"/>
      <c r="R18" s="78"/>
    </row>
    <row r="19" customFormat="false" ht="15" hidden="false" customHeight="false" outlineLevel="0" collapsed="false">
      <c r="A19" s="70" t="s">
        <v>1319</v>
      </c>
      <c r="B19" s="71" t="s">
        <v>1320</v>
      </c>
      <c r="C19" s="72" t="s">
        <v>1321</v>
      </c>
      <c r="D19" s="71" t="s">
        <v>400</v>
      </c>
      <c r="E19" s="71" t="s">
        <v>1322</v>
      </c>
      <c r="F19" s="71" t="s">
        <v>1323</v>
      </c>
      <c r="G19" s="73" t="s">
        <v>378</v>
      </c>
      <c r="H19" s="79" t="n">
        <v>320</v>
      </c>
      <c r="I19" s="75" t="n">
        <v>0.1</v>
      </c>
      <c r="J19" s="76" t="n">
        <f aca="false">IF(H19="","",ROUND(H19*(1+I19),2))</f>
        <v>352</v>
      </c>
      <c r="K19" s="76" t="n">
        <f aca="false">IF(J19="","",ROUND(J19*(1+OHP),2))</f>
        <v>422.4</v>
      </c>
      <c r="L19" s="76" t="n">
        <f aca="false">IF(K19="","",ROUND(K19*(1+VAT),2))</f>
        <v>443.52</v>
      </c>
      <c r="M19" s="73" t="s">
        <v>89</v>
      </c>
      <c r="N19" s="71"/>
      <c r="O19" s="73"/>
      <c r="P19" s="77"/>
      <c r="Q19" s="71"/>
      <c r="R19" s="78" t="s">
        <v>1324</v>
      </c>
    </row>
    <row r="20" customFormat="false" ht="15" hidden="false" customHeight="false" outlineLevel="0" collapsed="false">
      <c r="A20" s="70" t="s">
        <v>1325</v>
      </c>
      <c r="B20" s="71" t="s">
        <v>1320</v>
      </c>
      <c r="C20" s="72" t="s">
        <v>1326</v>
      </c>
      <c r="D20" s="71" t="s">
        <v>1327</v>
      </c>
      <c r="E20" s="71" t="s">
        <v>457</v>
      </c>
      <c r="F20" s="71" t="s">
        <v>349</v>
      </c>
      <c r="G20" s="73" t="s">
        <v>378</v>
      </c>
      <c r="H20" s="79" t="n">
        <v>85</v>
      </c>
      <c r="I20" s="75" t="n">
        <v>0.1</v>
      </c>
      <c r="J20" s="76" t="n">
        <f aca="false">IF(H20="","",ROUND(H20*(1+I20),2))</f>
        <v>93.5</v>
      </c>
      <c r="K20" s="76" t="n">
        <f aca="false">IF(J20="","",ROUND(J20*(1+OHP),2))</f>
        <v>112.2</v>
      </c>
      <c r="L20" s="76" t="n">
        <f aca="false">IF(K20="","",ROUND(K20*(1+VAT),2))</f>
        <v>117.81</v>
      </c>
      <c r="M20" s="73" t="s">
        <v>89</v>
      </c>
      <c r="N20" s="71"/>
      <c r="O20" s="73"/>
      <c r="P20" s="77"/>
      <c r="Q20" s="71"/>
      <c r="R20" s="78" t="s">
        <v>601</v>
      </c>
    </row>
    <row r="21" customFormat="false" ht="15" hidden="false" customHeight="false" outlineLevel="0" collapsed="false">
      <c r="A21" s="70" t="s">
        <v>1328</v>
      </c>
      <c r="B21" s="71" t="s">
        <v>1320</v>
      </c>
      <c r="C21" s="72" t="s">
        <v>1329</v>
      </c>
      <c r="D21" s="71" t="s">
        <v>1330</v>
      </c>
      <c r="E21" s="71" t="s">
        <v>457</v>
      </c>
      <c r="F21" s="71" t="s">
        <v>453</v>
      </c>
      <c r="G21" s="73" t="s">
        <v>378</v>
      </c>
      <c r="H21" s="79" t="n">
        <v>420</v>
      </c>
      <c r="I21" s="75" t="n">
        <v>0.1</v>
      </c>
      <c r="J21" s="76" t="n">
        <f aca="false">IF(H21="","",ROUND(H21*(1+I21),2))</f>
        <v>462</v>
      </c>
      <c r="K21" s="76" t="n">
        <f aca="false">IF(J21="","",ROUND(J21*(1+OHP),2))</f>
        <v>554.4</v>
      </c>
      <c r="L21" s="76" t="n">
        <f aca="false">IF(K21="","",ROUND(K21*(1+VAT),2))</f>
        <v>582.12</v>
      </c>
      <c r="M21" s="73" t="s">
        <v>89</v>
      </c>
      <c r="N21" s="71"/>
      <c r="O21" s="73"/>
      <c r="P21" s="77"/>
      <c r="Q21" s="71"/>
      <c r="R21" s="78" t="s">
        <v>1033</v>
      </c>
    </row>
    <row r="22" customFormat="false" ht="15" hidden="false" customHeight="false" outlineLevel="0" collapsed="false">
      <c r="A22" s="80" t="str">
        <f aca="false">IF(C22="","","CL-"&amp;TEXT(ROW()-4,"000"))</f>
        <v/>
      </c>
      <c r="B22" s="81"/>
      <c r="C22" s="81"/>
      <c r="D22" s="81"/>
      <c r="E22" s="81"/>
      <c r="F22" s="81"/>
      <c r="G22" s="82"/>
      <c r="H22" s="83"/>
      <c r="I22" s="84"/>
      <c r="J22" s="85" t="str">
        <f aca="false">IF(H22="","",ROUND(H22*(1+I22),2))</f>
        <v/>
      </c>
      <c r="K22" s="85" t="str">
        <f aca="false">IF(J22="","",ROUND(J22*(1+OHP),2))</f>
        <v/>
      </c>
      <c r="L22" s="85" t="str">
        <f aca="false">IF(K22="","",ROUND(K22*(1+VAT),2))</f>
        <v/>
      </c>
      <c r="M22" s="82"/>
      <c r="N22" s="81"/>
      <c r="O22" s="82"/>
      <c r="P22" s="86"/>
      <c r="Q22" s="81"/>
      <c r="R22" s="87"/>
    </row>
    <row r="23" customFormat="false" ht="15" hidden="false" customHeight="false" outlineLevel="0" collapsed="false">
      <c r="A23" s="80" t="str">
        <f aca="false">IF(C23="","","CL-"&amp;TEXT(ROW()-4,"000"))</f>
        <v/>
      </c>
      <c r="B23" s="81"/>
      <c r="C23" s="81"/>
      <c r="D23" s="81"/>
      <c r="E23" s="81"/>
      <c r="F23" s="81"/>
      <c r="G23" s="82"/>
      <c r="H23" s="83"/>
      <c r="I23" s="84"/>
      <c r="J23" s="85" t="str">
        <f aca="false">IF(H23="","",ROUND(H23*(1+I23),2))</f>
        <v/>
      </c>
      <c r="K23" s="85" t="str">
        <f aca="false">IF(J23="","",ROUND(J23*(1+OHP),2))</f>
        <v/>
      </c>
      <c r="L23" s="85" t="str">
        <f aca="false">IF(K23="","",ROUND(K23*(1+VAT),2))</f>
        <v/>
      </c>
      <c r="M23" s="82"/>
      <c r="N23" s="81"/>
      <c r="O23" s="82"/>
      <c r="P23" s="86"/>
      <c r="Q23" s="81"/>
      <c r="R23" s="87"/>
    </row>
    <row r="24" customFormat="false" ht="15" hidden="false" customHeight="false" outlineLevel="0" collapsed="false">
      <c r="A24" s="80" t="str">
        <f aca="false">IF(C24="","","CL-"&amp;TEXT(ROW()-4,"000"))</f>
        <v/>
      </c>
      <c r="B24" s="81"/>
      <c r="C24" s="81"/>
      <c r="D24" s="81"/>
      <c r="E24" s="81"/>
      <c r="F24" s="81"/>
      <c r="G24" s="82"/>
      <c r="H24" s="83"/>
      <c r="I24" s="84"/>
      <c r="J24" s="85" t="str">
        <f aca="false">IF(H24="","",ROUND(H24*(1+I24),2))</f>
        <v/>
      </c>
      <c r="K24" s="85" t="str">
        <f aca="false">IF(J24="","",ROUND(J24*(1+OHP),2))</f>
        <v/>
      </c>
      <c r="L24" s="85" t="str">
        <f aca="false">IF(K24="","",ROUND(K24*(1+VAT),2))</f>
        <v/>
      </c>
      <c r="M24" s="82"/>
      <c r="N24" s="81"/>
      <c r="O24" s="82"/>
      <c r="P24" s="86"/>
      <c r="Q24" s="81"/>
      <c r="R24" s="87"/>
    </row>
    <row r="25" customFormat="false" ht="15" hidden="false" customHeight="false" outlineLevel="0" collapsed="false">
      <c r="A25" s="80" t="str">
        <f aca="false">IF(C25="","","CL-"&amp;TEXT(ROW()-4,"000"))</f>
        <v/>
      </c>
      <c r="B25" s="81"/>
      <c r="C25" s="81"/>
      <c r="D25" s="81"/>
      <c r="E25" s="81"/>
      <c r="F25" s="81"/>
      <c r="G25" s="82"/>
      <c r="H25" s="83"/>
      <c r="I25" s="84"/>
      <c r="J25" s="85" t="str">
        <f aca="false">IF(H25="","",ROUND(H25*(1+I25),2))</f>
        <v/>
      </c>
      <c r="K25" s="85" t="str">
        <f aca="false">IF(J25="","",ROUND(J25*(1+OHP),2))</f>
        <v/>
      </c>
      <c r="L25" s="85" t="str">
        <f aca="false">IF(K25="","",ROUND(K25*(1+VAT),2))</f>
        <v/>
      </c>
      <c r="M25" s="82"/>
      <c r="N25" s="81"/>
      <c r="O25" s="82"/>
      <c r="P25" s="86"/>
      <c r="Q25" s="81"/>
      <c r="R25" s="87"/>
    </row>
    <row r="26" customFormat="false" ht="15" hidden="false" customHeight="false" outlineLevel="0" collapsed="false">
      <c r="A26" s="80" t="str">
        <f aca="false">IF(C26="","","CL-"&amp;TEXT(ROW()-4,"000"))</f>
        <v/>
      </c>
      <c r="B26" s="81"/>
      <c r="C26" s="81"/>
      <c r="D26" s="81"/>
      <c r="E26" s="81"/>
      <c r="F26" s="81"/>
      <c r="G26" s="82"/>
      <c r="H26" s="83"/>
      <c r="I26" s="84"/>
      <c r="J26" s="85" t="str">
        <f aca="false">IF(H26="","",ROUND(H26*(1+I26),2))</f>
        <v/>
      </c>
      <c r="K26" s="85" t="str">
        <f aca="false">IF(J26="","",ROUND(J26*(1+OHP),2))</f>
        <v/>
      </c>
      <c r="L26" s="85" t="str">
        <f aca="false">IF(K26="","",ROUND(K26*(1+VAT),2))</f>
        <v/>
      </c>
      <c r="M26" s="82"/>
      <c r="N26" s="81"/>
      <c r="O26" s="82"/>
      <c r="P26" s="86"/>
      <c r="Q26" s="81"/>
      <c r="R26" s="87"/>
    </row>
    <row r="27" customFormat="false" ht="15" hidden="false" customHeight="false" outlineLevel="0" collapsed="false">
      <c r="A27" s="80" t="str">
        <f aca="false">IF(C27="","","CL-"&amp;TEXT(ROW()-4,"000"))</f>
        <v/>
      </c>
      <c r="B27" s="81"/>
      <c r="C27" s="81"/>
      <c r="D27" s="81"/>
      <c r="E27" s="81"/>
      <c r="F27" s="81"/>
      <c r="G27" s="82"/>
      <c r="H27" s="83"/>
      <c r="I27" s="84"/>
      <c r="J27" s="85" t="str">
        <f aca="false">IF(H27="","",ROUND(H27*(1+I27),2))</f>
        <v/>
      </c>
      <c r="K27" s="85" t="str">
        <f aca="false">IF(J27="","",ROUND(J27*(1+OHP),2))</f>
        <v/>
      </c>
      <c r="L27" s="85" t="str">
        <f aca="false">IF(K27="","",ROUND(K27*(1+VAT),2))</f>
        <v/>
      </c>
      <c r="M27" s="82"/>
      <c r="N27" s="81"/>
      <c r="O27" s="82"/>
      <c r="P27" s="86"/>
      <c r="Q27" s="81"/>
      <c r="R27" s="87"/>
    </row>
    <row r="28" customFormat="false" ht="15" hidden="false" customHeight="false" outlineLevel="0" collapsed="false">
      <c r="A28" s="80" t="str">
        <f aca="false">IF(C28="","","CL-"&amp;TEXT(ROW()-4,"000"))</f>
        <v/>
      </c>
      <c r="B28" s="81"/>
      <c r="C28" s="81"/>
      <c r="D28" s="81"/>
      <c r="E28" s="81"/>
      <c r="F28" s="81"/>
      <c r="G28" s="82"/>
      <c r="H28" s="83"/>
      <c r="I28" s="84"/>
      <c r="J28" s="85" t="str">
        <f aca="false">IF(H28="","",ROUND(H28*(1+I28),2))</f>
        <v/>
      </c>
      <c r="K28" s="85" t="str">
        <f aca="false">IF(J28="","",ROUND(J28*(1+OHP),2))</f>
        <v/>
      </c>
      <c r="L28" s="85" t="str">
        <f aca="false">IF(K28="","",ROUND(K28*(1+VAT),2))</f>
        <v/>
      </c>
      <c r="M28" s="82"/>
      <c r="N28" s="81"/>
      <c r="O28" s="82"/>
      <c r="P28" s="86"/>
      <c r="Q28" s="81"/>
      <c r="R28" s="87"/>
    </row>
    <row r="29" customFormat="false" ht="15" hidden="false" customHeight="false" outlineLevel="0" collapsed="false">
      <c r="A29" s="80" t="str">
        <f aca="false">IF(C29="","","CL-"&amp;TEXT(ROW()-4,"000"))</f>
        <v/>
      </c>
      <c r="B29" s="81"/>
      <c r="C29" s="81"/>
      <c r="D29" s="81"/>
      <c r="E29" s="81"/>
      <c r="F29" s="81"/>
      <c r="G29" s="82"/>
      <c r="H29" s="83"/>
      <c r="I29" s="84"/>
      <c r="J29" s="85" t="str">
        <f aca="false">IF(H29="","",ROUND(H29*(1+I29),2))</f>
        <v/>
      </c>
      <c r="K29" s="85" t="str">
        <f aca="false">IF(J29="","",ROUND(J29*(1+OHP),2))</f>
        <v/>
      </c>
      <c r="L29" s="85" t="str">
        <f aca="false">IF(K29="","",ROUND(K29*(1+VAT),2))</f>
        <v/>
      </c>
      <c r="M29" s="82"/>
      <c r="N29" s="81"/>
      <c r="O29" s="82"/>
      <c r="P29" s="86"/>
      <c r="Q29" s="81"/>
      <c r="R29" s="87"/>
    </row>
    <row r="30" customFormat="false" ht="15" hidden="false" customHeight="false" outlineLevel="0" collapsed="false">
      <c r="A30" s="80" t="str">
        <f aca="false">IF(C30="","","CL-"&amp;TEXT(ROW()-4,"000"))</f>
        <v/>
      </c>
      <c r="B30" s="81"/>
      <c r="C30" s="81"/>
      <c r="D30" s="81"/>
      <c r="E30" s="81"/>
      <c r="F30" s="81"/>
      <c r="G30" s="82"/>
      <c r="H30" s="83"/>
      <c r="I30" s="84"/>
      <c r="J30" s="85" t="str">
        <f aca="false">IF(H30="","",ROUND(H30*(1+I30),2))</f>
        <v/>
      </c>
      <c r="K30" s="85" t="str">
        <f aca="false">IF(J30="","",ROUND(J30*(1+OHP),2))</f>
        <v/>
      </c>
      <c r="L30" s="85" t="str">
        <f aca="false">IF(K30="","",ROUND(K30*(1+VAT),2))</f>
        <v/>
      </c>
      <c r="M30" s="82"/>
      <c r="N30" s="81"/>
      <c r="O30" s="82"/>
      <c r="P30" s="86"/>
      <c r="Q30" s="81"/>
      <c r="R30" s="87"/>
    </row>
    <row r="31" customFormat="false" ht="15" hidden="false" customHeight="false" outlineLevel="0" collapsed="false">
      <c r="A31" s="80" t="str">
        <f aca="false">IF(C31="","","CL-"&amp;TEXT(ROW()-4,"000"))</f>
        <v/>
      </c>
      <c r="B31" s="81"/>
      <c r="C31" s="81"/>
      <c r="D31" s="81"/>
      <c r="E31" s="81"/>
      <c r="F31" s="81"/>
      <c r="G31" s="82"/>
      <c r="H31" s="83"/>
      <c r="I31" s="84"/>
      <c r="J31" s="85" t="str">
        <f aca="false">IF(H31="","",ROUND(H31*(1+I31),2))</f>
        <v/>
      </c>
      <c r="K31" s="85" t="str">
        <f aca="false">IF(J31="","",ROUND(J31*(1+OHP),2))</f>
        <v/>
      </c>
      <c r="L31" s="85" t="str">
        <f aca="false">IF(K31="","",ROUND(K31*(1+VAT),2))</f>
        <v/>
      </c>
      <c r="M31" s="82"/>
      <c r="N31" s="81"/>
      <c r="O31" s="82"/>
      <c r="P31" s="86"/>
      <c r="Q31" s="81"/>
      <c r="R31" s="87"/>
    </row>
    <row r="32" customFormat="false" ht="15" hidden="false" customHeight="false" outlineLevel="0" collapsed="false">
      <c r="A32" s="80" t="str">
        <f aca="false">IF(C32="","","CL-"&amp;TEXT(ROW()-4,"000"))</f>
        <v/>
      </c>
      <c r="B32" s="81"/>
      <c r="C32" s="81"/>
      <c r="D32" s="81"/>
      <c r="E32" s="81"/>
      <c r="F32" s="81"/>
      <c r="G32" s="82"/>
      <c r="H32" s="83"/>
      <c r="I32" s="84"/>
      <c r="J32" s="85" t="str">
        <f aca="false">IF(H32="","",ROUND(H32*(1+I32),2))</f>
        <v/>
      </c>
      <c r="K32" s="85" t="str">
        <f aca="false">IF(J32="","",ROUND(J32*(1+OHP),2))</f>
        <v/>
      </c>
      <c r="L32" s="85" t="str">
        <f aca="false">IF(K32="","",ROUND(K32*(1+VAT),2))</f>
        <v/>
      </c>
      <c r="M32" s="82"/>
      <c r="N32" s="81"/>
      <c r="O32" s="82"/>
      <c r="P32" s="86"/>
      <c r="Q32" s="81"/>
      <c r="R32" s="87"/>
    </row>
    <row r="33" customFormat="false" ht="15" hidden="false" customHeight="false" outlineLevel="0" collapsed="false">
      <c r="A33" s="80" t="str">
        <f aca="false">IF(C33="","","CL-"&amp;TEXT(ROW()-4,"000"))</f>
        <v/>
      </c>
      <c r="B33" s="81"/>
      <c r="C33" s="81"/>
      <c r="D33" s="81"/>
      <c r="E33" s="81"/>
      <c r="F33" s="81"/>
      <c r="G33" s="82"/>
      <c r="H33" s="83"/>
      <c r="I33" s="84"/>
      <c r="J33" s="85" t="str">
        <f aca="false">IF(H33="","",ROUND(H33*(1+I33),2))</f>
        <v/>
      </c>
      <c r="K33" s="85" t="str">
        <f aca="false">IF(J33="","",ROUND(J33*(1+OHP),2))</f>
        <v/>
      </c>
      <c r="L33" s="85" t="str">
        <f aca="false">IF(K33="","",ROUND(K33*(1+VAT),2))</f>
        <v/>
      </c>
      <c r="M33" s="82"/>
      <c r="N33" s="81"/>
      <c r="O33" s="82"/>
      <c r="P33" s="86"/>
      <c r="Q33" s="81"/>
      <c r="R33" s="87"/>
    </row>
    <row r="34" customFormat="false" ht="15" hidden="false" customHeight="false" outlineLevel="0" collapsed="false">
      <c r="A34" s="80" t="str">
        <f aca="false">IF(C34="","","CL-"&amp;TEXT(ROW()-4,"000"))</f>
        <v/>
      </c>
      <c r="B34" s="81"/>
      <c r="C34" s="81"/>
      <c r="D34" s="81"/>
      <c r="E34" s="81"/>
      <c r="F34" s="81"/>
      <c r="G34" s="82"/>
      <c r="H34" s="83"/>
      <c r="I34" s="84"/>
      <c r="J34" s="85" t="str">
        <f aca="false">IF(H34="","",ROUND(H34*(1+I34),2))</f>
        <v/>
      </c>
      <c r="K34" s="85" t="str">
        <f aca="false">IF(J34="","",ROUND(J34*(1+OHP),2))</f>
        <v/>
      </c>
      <c r="L34" s="85" t="str">
        <f aca="false">IF(K34="","",ROUND(K34*(1+VAT),2))</f>
        <v/>
      </c>
      <c r="M34" s="82"/>
      <c r="N34" s="81"/>
      <c r="O34" s="82"/>
      <c r="P34" s="86"/>
      <c r="Q34" s="81"/>
      <c r="R34" s="87"/>
    </row>
    <row r="35" customFormat="false" ht="15" hidden="false" customHeight="false" outlineLevel="0" collapsed="false">
      <c r="A35" s="80" t="str">
        <f aca="false">IF(C35="","","CL-"&amp;TEXT(ROW()-4,"000"))</f>
        <v/>
      </c>
      <c r="B35" s="81"/>
      <c r="C35" s="81"/>
      <c r="D35" s="81"/>
      <c r="E35" s="81"/>
      <c r="F35" s="81"/>
      <c r="G35" s="82"/>
      <c r="H35" s="83"/>
      <c r="I35" s="84"/>
      <c r="J35" s="85" t="str">
        <f aca="false">IF(H35="","",ROUND(H35*(1+I35),2))</f>
        <v/>
      </c>
      <c r="K35" s="85" t="str">
        <f aca="false">IF(J35="","",ROUND(J35*(1+OHP),2))</f>
        <v/>
      </c>
      <c r="L35" s="85" t="str">
        <f aca="false">IF(K35="","",ROUND(K35*(1+VAT),2))</f>
        <v/>
      </c>
      <c r="M35" s="82"/>
      <c r="N35" s="81"/>
      <c r="O35" s="82"/>
      <c r="P35" s="86"/>
      <c r="Q35" s="81"/>
      <c r="R35" s="87"/>
    </row>
    <row r="36" customFormat="false" ht="15" hidden="false" customHeight="false" outlineLevel="0" collapsed="false">
      <c r="A36" s="80" t="str">
        <f aca="false">IF(C36="","","CL-"&amp;TEXT(ROW()-4,"000"))</f>
        <v/>
      </c>
      <c r="B36" s="81"/>
      <c r="C36" s="81"/>
      <c r="D36" s="81"/>
      <c r="E36" s="81"/>
      <c r="F36" s="81"/>
      <c r="G36" s="82"/>
      <c r="H36" s="83"/>
      <c r="I36" s="84"/>
      <c r="J36" s="85" t="str">
        <f aca="false">IF(H36="","",ROUND(H36*(1+I36),2))</f>
        <v/>
      </c>
      <c r="K36" s="85" t="str">
        <f aca="false">IF(J36="","",ROUND(J36*(1+OHP),2))</f>
        <v/>
      </c>
      <c r="L36" s="85" t="str">
        <f aca="false">IF(K36="","",ROUND(K36*(1+VAT),2))</f>
        <v/>
      </c>
      <c r="M36" s="82"/>
      <c r="N36" s="81"/>
      <c r="O36" s="82"/>
      <c r="P36" s="86"/>
      <c r="Q36" s="81"/>
      <c r="R36" s="87"/>
    </row>
  </sheetData>
  <autoFilter ref="A4:R36"/>
  <mergeCells count="2">
    <mergeCell ref="A1:R1"/>
    <mergeCell ref="A2:R2"/>
  </mergeCells>
  <conditionalFormatting sqref="A5:R36">
    <cfRule type="expression" priority="2" aboveAverage="0" equalAverage="0" bottom="0" percent="0" rank="0" text="" dxfId="1">
      <formula>AND($C5&lt;&gt;"",MOD(ROW(),2)=0,$M5&lt;&gt;"Obsolete")</formula>
    </cfRule>
    <cfRule type="expression" priority="3" aboveAverage="0" equalAverage="0" bottom="0" percent="0" rank="0" text="" dxfId="12">
      <formula>$M5="Obsolete"</formula>
    </cfRule>
  </conditionalFormatting>
  <conditionalFormatting sqref="M5:M36">
    <cfRule type="expression" priority="4" aboveAverage="0" equalAverage="0" bottom="0" percent="0" rank="0" text="" dxfId="13">
      <formula>$M5="Indicative"</formula>
    </cfRule>
    <cfRule type="expression" priority="5" aboveAverage="0" equalAverage="0" bottom="0" percent="0" rank="0" text="" dxfId="14">
      <formula>$M5="Quoted"</formula>
    </cfRule>
    <cfRule type="expression" priority="6" aboveAverage="0" equalAverage="0" bottom="0" percent="0" rank="0" text="" dxfId="15">
      <formula>$M5="Verified"</formula>
    </cfRule>
    <cfRule type="expression" priority="7" aboveAverage="0" equalAverage="0" bottom="0" percent="0" rank="0" text="" dxfId="16">
      <formula>$M5="Obsolete"</formula>
    </cfRule>
  </conditionalFormatting>
  <dataValidations count="2">
    <dataValidation allowBlank="true" error="Enter wastage as a percentage, e.g. 5%" errorStyle="stop" operator="between" showDropDown="false" showErrorMessage="false" showInputMessage="false" sqref="I5:I36" type="decimal">
      <formula1>0</formula1>
      <formula2>1</formula2>
    </dataValidation>
    <dataValidation allowBlank="true" errorStyle="stop" operator="between" showDropDown="false" showErrorMessage="false" showInputMessage="false" sqref="M5:M36" type="list">
      <formula1>"Indicative,Quoted,Verified,Obsolete"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&amp;L&amp;8Cladding, ACP Facade Panels&amp;C&amp;8Page &amp;P of &amp;N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D9D9"/>
    <pageSetUpPr fitToPage="true"/>
  </sheetPr>
  <dimension ref="A1:R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32"/>
    <col collapsed="false" customWidth="true" hidden="false" outlineLevel="0" max="5" min="5" style="0" width="20"/>
    <col collapsed="false" customWidth="true" hidden="false" outlineLevel="0" max="6" min="6" style="0" width="26"/>
    <col collapsed="false" customWidth="true" hidden="false" outlineLevel="0" max="7" min="7" style="0" width="7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1" min="10" style="0" width="13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20"/>
    <col collapsed="false" customWidth="true" hidden="false" outlineLevel="0" max="15" min="15" style="0" width="13"/>
    <col collapsed="false" customWidth="true" hidden="false" outlineLevel="0" max="16" min="16" style="0" width="12"/>
    <col collapsed="false" customWidth="true" hidden="false" outlineLevel="0" max="17" min="17" style="0" width="26"/>
    <col collapsed="false" customWidth="true" hidden="false" outlineLevel="0" max="18" min="18" style="0" width="34"/>
  </cols>
  <sheetData>
    <row r="1" customFormat="false" ht="30" hidden="false" customHeight="true" outlineLevel="0" collapsed="false">
      <c r="A1" s="65" t="s">
        <v>1331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</row>
    <row r="2" customFormat="false" ht="15" hidden="false" customHeight="false" outlineLevel="0" collapsed="false">
      <c r="A2" s="96" t="s">
        <v>1332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</row>
    <row r="3" customFormat="false" ht="15" hidden="false" customHeight="false" outlineLevel="0" collapsed="false">
      <c r="A3" s="7" t="str">
        <f aca="false">HYPERLINK("#Index!A1","&lt;&lt; Back to Index")</f>
        <v>&lt;&lt; Back to Index</v>
      </c>
      <c r="D3" s="67" t="s">
        <v>180</v>
      </c>
      <c r="E3" s="68" t="n">
        <f aca="false">COUNTA(C5:C82)</f>
        <v>63</v>
      </c>
      <c r="H3" s="69" t="s">
        <v>181</v>
      </c>
    </row>
    <row r="4" customFormat="false" ht="31.5" hidden="false" customHeight="true" outlineLevel="0" collapsed="false">
      <c r="A4" s="8" t="s">
        <v>110</v>
      </c>
      <c r="B4" s="8" t="s">
        <v>121</v>
      </c>
      <c r="C4" s="8" t="s">
        <v>111</v>
      </c>
      <c r="D4" s="8" t="s">
        <v>112</v>
      </c>
      <c r="E4" s="8" t="s">
        <v>113</v>
      </c>
      <c r="F4" s="8" t="s">
        <v>114</v>
      </c>
      <c r="G4" s="8" t="s">
        <v>115</v>
      </c>
      <c r="H4" s="8" t="s">
        <v>182</v>
      </c>
      <c r="I4" s="8" t="s">
        <v>183</v>
      </c>
      <c r="J4" s="8" t="s">
        <v>184</v>
      </c>
      <c r="K4" s="8" t="s">
        <v>185</v>
      </c>
      <c r="L4" s="8" t="s">
        <v>186</v>
      </c>
      <c r="M4" s="8" t="s">
        <v>119</v>
      </c>
      <c r="N4" s="8" t="s">
        <v>187</v>
      </c>
      <c r="O4" s="8" t="s">
        <v>188</v>
      </c>
      <c r="P4" s="8" t="s">
        <v>189</v>
      </c>
      <c r="Q4" s="8" t="s">
        <v>190</v>
      </c>
      <c r="R4" s="8" t="s">
        <v>191</v>
      </c>
    </row>
    <row r="5" customFormat="false" ht="19.4" hidden="false" customHeight="false" outlineLevel="0" collapsed="false">
      <c r="A5" s="70" t="s">
        <v>1333</v>
      </c>
      <c r="B5" s="71" t="s">
        <v>1334</v>
      </c>
      <c r="C5" s="72" t="s">
        <v>1335</v>
      </c>
      <c r="D5" s="71" t="s">
        <v>1336</v>
      </c>
      <c r="E5" s="71" t="s">
        <v>1080</v>
      </c>
      <c r="F5" s="71" t="s">
        <v>217</v>
      </c>
      <c r="G5" s="73" t="s">
        <v>218</v>
      </c>
      <c r="H5" s="74" t="n">
        <f aca="false">ROUND(1.06*MS_KG,2)</f>
        <v>3.82</v>
      </c>
      <c r="I5" s="75" t="n">
        <v>0.07</v>
      </c>
      <c r="J5" s="76" t="n">
        <f aca="false">IF(H5="","",ROUND(H5*(1+I5),2))</f>
        <v>4.09</v>
      </c>
      <c r="K5" s="76" t="n">
        <f aca="false">IF(J5="","",ROUND(J5*(1+OHP),2))</f>
        <v>4.91</v>
      </c>
      <c r="L5" s="76" t="n">
        <f aca="false">IF(K5="","",ROUND(K5*(1+VAT),2))</f>
        <v>5.16</v>
      </c>
      <c r="M5" s="73" t="s">
        <v>89</v>
      </c>
      <c r="N5" s="71"/>
      <c r="O5" s="73"/>
      <c r="P5" s="77"/>
      <c r="Q5" s="71"/>
      <c r="R5" s="78" t="s">
        <v>1337</v>
      </c>
    </row>
    <row r="6" customFormat="false" ht="19.4" hidden="false" customHeight="false" outlineLevel="0" collapsed="false">
      <c r="A6" s="70" t="s">
        <v>1338</v>
      </c>
      <c r="B6" s="71" t="s">
        <v>1334</v>
      </c>
      <c r="C6" s="72" t="s">
        <v>1335</v>
      </c>
      <c r="D6" s="71" t="s">
        <v>1339</v>
      </c>
      <c r="E6" s="71" t="s">
        <v>1080</v>
      </c>
      <c r="F6" s="71" t="s">
        <v>217</v>
      </c>
      <c r="G6" s="73" t="s">
        <v>218</v>
      </c>
      <c r="H6" s="74" t="n">
        <f aca="false">ROUND(2.31*MS_KG,2)</f>
        <v>8.32</v>
      </c>
      <c r="I6" s="75" t="n">
        <v>0.07</v>
      </c>
      <c r="J6" s="76" t="n">
        <f aca="false">IF(H6="","",ROUND(H6*(1+I6),2))</f>
        <v>8.9</v>
      </c>
      <c r="K6" s="76" t="n">
        <f aca="false">IF(J6="","",ROUND(J6*(1+OHP),2))</f>
        <v>10.68</v>
      </c>
      <c r="L6" s="76" t="n">
        <f aca="false">IF(K6="","",ROUND(K6*(1+VAT),2))</f>
        <v>11.21</v>
      </c>
      <c r="M6" s="73" t="s">
        <v>89</v>
      </c>
      <c r="N6" s="71"/>
      <c r="O6" s="73"/>
      <c r="P6" s="77"/>
      <c r="Q6" s="71"/>
      <c r="R6" s="78" t="s">
        <v>1340</v>
      </c>
    </row>
    <row r="7" customFormat="false" ht="19.4" hidden="false" customHeight="false" outlineLevel="0" collapsed="false">
      <c r="A7" s="70" t="s">
        <v>1341</v>
      </c>
      <c r="B7" s="71" t="s">
        <v>1334</v>
      </c>
      <c r="C7" s="72" t="s">
        <v>1335</v>
      </c>
      <c r="D7" s="71" t="s">
        <v>1342</v>
      </c>
      <c r="E7" s="71" t="s">
        <v>1080</v>
      </c>
      <c r="F7" s="71" t="s">
        <v>217</v>
      </c>
      <c r="G7" s="73" t="s">
        <v>218</v>
      </c>
      <c r="H7" s="74" t="n">
        <f aca="false">ROUND(4.25*MS_KG,2)</f>
        <v>15.3</v>
      </c>
      <c r="I7" s="75" t="n">
        <v>0.07</v>
      </c>
      <c r="J7" s="76" t="n">
        <f aca="false">IF(H7="","",ROUND(H7*(1+I7),2))</f>
        <v>16.37</v>
      </c>
      <c r="K7" s="76" t="n">
        <f aca="false">IF(J7="","",ROUND(J7*(1+OHP),2))</f>
        <v>19.64</v>
      </c>
      <c r="L7" s="76" t="n">
        <f aca="false">IF(K7="","",ROUND(K7*(1+VAT),2))</f>
        <v>20.62</v>
      </c>
      <c r="M7" s="73" t="s">
        <v>89</v>
      </c>
      <c r="N7" s="71"/>
      <c r="O7" s="73"/>
      <c r="P7" s="77"/>
      <c r="Q7" s="71"/>
      <c r="R7" s="78" t="s">
        <v>1343</v>
      </c>
    </row>
    <row r="8" customFormat="false" ht="19.4" hidden="false" customHeight="false" outlineLevel="0" collapsed="false">
      <c r="A8" s="70" t="s">
        <v>1344</v>
      </c>
      <c r="B8" s="71" t="s">
        <v>1334</v>
      </c>
      <c r="C8" s="72" t="s">
        <v>1335</v>
      </c>
      <c r="D8" s="71" t="s">
        <v>1345</v>
      </c>
      <c r="E8" s="71" t="s">
        <v>1080</v>
      </c>
      <c r="F8" s="71" t="s">
        <v>217</v>
      </c>
      <c r="G8" s="73" t="s">
        <v>218</v>
      </c>
      <c r="H8" s="74" t="n">
        <f aca="false">ROUND(5.19*MS_KG,2)</f>
        <v>18.68</v>
      </c>
      <c r="I8" s="75" t="n">
        <v>0.07</v>
      </c>
      <c r="J8" s="76" t="n">
        <f aca="false">IF(H8="","",ROUND(H8*(1+I8),2))</f>
        <v>19.99</v>
      </c>
      <c r="K8" s="76" t="n">
        <f aca="false">IF(J8="","",ROUND(J8*(1+OHP),2))</f>
        <v>23.99</v>
      </c>
      <c r="L8" s="76" t="n">
        <f aca="false">IF(K8="","",ROUND(K8*(1+VAT),2))</f>
        <v>25.19</v>
      </c>
      <c r="M8" s="73" t="s">
        <v>89</v>
      </c>
      <c r="N8" s="71"/>
      <c r="O8" s="73"/>
      <c r="P8" s="77"/>
      <c r="Q8" s="71"/>
      <c r="R8" s="78" t="s">
        <v>1346</v>
      </c>
    </row>
    <row r="9" customFormat="false" ht="19.4" hidden="false" customHeight="false" outlineLevel="0" collapsed="false">
      <c r="A9" s="70" t="s">
        <v>1347</v>
      </c>
      <c r="B9" s="71" t="s">
        <v>1334</v>
      </c>
      <c r="C9" s="72" t="s">
        <v>1335</v>
      </c>
      <c r="D9" s="71" t="s">
        <v>1348</v>
      </c>
      <c r="E9" s="71" t="s">
        <v>1080</v>
      </c>
      <c r="F9" s="71" t="s">
        <v>217</v>
      </c>
      <c r="G9" s="73" t="s">
        <v>218</v>
      </c>
      <c r="H9" s="74" t="n">
        <f aca="false">ROUND(6.71*MS_KG,2)</f>
        <v>24.16</v>
      </c>
      <c r="I9" s="75" t="n">
        <v>0.07</v>
      </c>
      <c r="J9" s="76" t="n">
        <f aca="false">IF(H9="","",ROUND(H9*(1+I9),2))</f>
        <v>25.85</v>
      </c>
      <c r="K9" s="76" t="n">
        <f aca="false">IF(J9="","",ROUND(J9*(1+OHP),2))</f>
        <v>31.02</v>
      </c>
      <c r="L9" s="76" t="n">
        <f aca="false">IF(K9="","",ROUND(K9*(1+VAT),2))</f>
        <v>32.57</v>
      </c>
      <c r="M9" s="73" t="s">
        <v>89</v>
      </c>
      <c r="N9" s="71"/>
      <c r="O9" s="73"/>
      <c r="P9" s="77"/>
      <c r="Q9" s="71"/>
      <c r="R9" s="78" t="s">
        <v>1349</v>
      </c>
    </row>
    <row r="10" customFormat="false" ht="19.4" hidden="false" customHeight="false" outlineLevel="0" collapsed="false">
      <c r="A10" s="70" t="s">
        <v>1350</v>
      </c>
      <c r="B10" s="71" t="s">
        <v>1334</v>
      </c>
      <c r="C10" s="72" t="s">
        <v>1335</v>
      </c>
      <c r="D10" s="71" t="s">
        <v>1351</v>
      </c>
      <c r="E10" s="71" t="s">
        <v>1080</v>
      </c>
      <c r="F10" s="71" t="s">
        <v>217</v>
      </c>
      <c r="G10" s="73" t="s">
        <v>218</v>
      </c>
      <c r="H10" s="74" t="n">
        <f aca="false">ROUND(11.7*MS_KG,2)</f>
        <v>42.12</v>
      </c>
      <c r="I10" s="75" t="n">
        <v>0.07</v>
      </c>
      <c r="J10" s="76" t="n">
        <f aca="false">IF(H10="","",ROUND(H10*(1+I10),2))</f>
        <v>45.07</v>
      </c>
      <c r="K10" s="76" t="n">
        <f aca="false">IF(J10="","",ROUND(J10*(1+OHP),2))</f>
        <v>54.08</v>
      </c>
      <c r="L10" s="76" t="n">
        <f aca="false">IF(K10="","",ROUND(K10*(1+VAT),2))</f>
        <v>56.78</v>
      </c>
      <c r="M10" s="73" t="s">
        <v>89</v>
      </c>
      <c r="N10" s="71"/>
      <c r="O10" s="73"/>
      <c r="P10" s="77"/>
      <c r="Q10" s="71"/>
      <c r="R10" s="78" t="s">
        <v>1352</v>
      </c>
    </row>
    <row r="11" customFormat="false" ht="19.4" hidden="false" customHeight="false" outlineLevel="0" collapsed="false">
      <c r="A11" s="70" t="s">
        <v>1353</v>
      </c>
      <c r="B11" s="71" t="s">
        <v>1334</v>
      </c>
      <c r="C11" s="72" t="s">
        <v>1335</v>
      </c>
      <c r="D11" s="71" t="s">
        <v>1354</v>
      </c>
      <c r="E11" s="71" t="s">
        <v>1080</v>
      </c>
      <c r="F11" s="71" t="s">
        <v>217</v>
      </c>
      <c r="G11" s="73" t="s">
        <v>218</v>
      </c>
      <c r="H11" s="74" t="n">
        <f aca="false">ROUND(14.4*MS_KG,2)</f>
        <v>51.84</v>
      </c>
      <c r="I11" s="75" t="n">
        <v>0.07</v>
      </c>
      <c r="J11" s="76" t="n">
        <f aca="false">IF(H11="","",ROUND(H11*(1+I11),2))</f>
        <v>55.47</v>
      </c>
      <c r="K11" s="76" t="n">
        <f aca="false">IF(J11="","",ROUND(J11*(1+OHP),2))</f>
        <v>66.56</v>
      </c>
      <c r="L11" s="76" t="n">
        <f aca="false">IF(K11="","",ROUND(K11*(1+VAT),2))</f>
        <v>69.89</v>
      </c>
      <c r="M11" s="73" t="s">
        <v>89</v>
      </c>
      <c r="N11" s="71"/>
      <c r="O11" s="73"/>
      <c r="P11" s="77"/>
      <c r="Q11" s="71"/>
      <c r="R11" s="78" t="s">
        <v>1355</v>
      </c>
    </row>
    <row r="12" customFormat="false" ht="19.4" hidden="false" customHeight="false" outlineLevel="0" collapsed="false">
      <c r="A12" s="70" t="s">
        <v>1356</v>
      </c>
      <c r="B12" s="71" t="s">
        <v>1334</v>
      </c>
      <c r="C12" s="72" t="s">
        <v>1335</v>
      </c>
      <c r="D12" s="71" t="s">
        <v>1357</v>
      </c>
      <c r="E12" s="71" t="s">
        <v>1080</v>
      </c>
      <c r="F12" s="71" t="s">
        <v>217</v>
      </c>
      <c r="G12" s="73" t="s">
        <v>218</v>
      </c>
      <c r="H12" s="74" t="n">
        <f aca="false">ROUND(26.4*MS_KG,2)</f>
        <v>95.04</v>
      </c>
      <c r="I12" s="75" t="n">
        <v>0.07</v>
      </c>
      <c r="J12" s="76" t="n">
        <f aca="false">IF(H12="","",ROUND(H12*(1+I12),2))</f>
        <v>101.69</v>
      </c>
      <c r="K12" s="76" t="n">
        <f aca="false">IF(J12="","",ROUND(J12*(1+OHP),2))</f>
        <v>122.03</v>
      </c>
      <c r="L12" s="76" t="n">
        <f aca="false">IF(K12="","",ROUND(K12*(1+VAT),2))</f>
        <v>128.13</v>
      </c>
      <c r="M12" s="73" t="s">
        <v>89</v>
      </c>
      <c r="N12" s="71"/>
      <c r="O12" s="73"/>
      <c r="P12" s="77"/>
      <c r="Q12" s="71"/>
      <c r="R12" s="78" t="s">
        <v>1358</v>
      </c>
    </row>
    <row r="13" customFormat="false" ht="19.4" hidden="false" customHeight="false" outlineLevel="0" collapsed="false">
      <c r="A13" s="70" t="s">
        <v>1359</v>
      </c>
      <c r="B13" s="71" t="s">
        <v>1360</v>
      </c>
      <c r="C13" s="72" t="s">
        <v>1361</v>
      </c>
      <c r="D13" s="71" t="s">
        <v>1362</v>
      </c>
      <c r="E13" s="71" t="s">
        <v>1080</v>
      </c>
      <c r="F13" s="71" t="s">
        <v>217</v>
      </c>
      <c r="G13" s="73" t="s">
        <v>218</v>
      </c>
      <c r="H13" s="74" t="n">
        <f aca="false">ROUND(2.15*MS_KG,2)</f>
        <v>7.74</v>
      </c>
      <c r="I13" s="75" t="n">
        <v>0.07</v>
      </c>
      <c r="J13" s="76" t="n">
        <f aca="false">IF(H13="","",ROUND(H13*(1+I13),2))</f>
        <v>8.28</v>
      </c>
      <c r="K13" s="76" t="n">
        <f aca="false">IF(J13="","",ROUND(J13*(1+OHP),2))</f>
        <v>9.94</v>
      </c>
      <c r="L13" s="76" t="n">
        <f aca="false">IF(K13="","",ROUND(K13*(1+VAT),2))</f>
        <v>10.44</v>
      </c>
      <c r="M13" s="73" t="s">
        <v>89</v>
      </c>
      <c r="N13" s="71"/>
      <c r="O13" s="73"/>
      <c r="P13" s="77"/>
      <c r="Q13" s="71"/>
      <c r="R13" s="78" t="s">
        <v>1363</v>
      </c>
    </row>
    <row r="14" customFormat="false" ht="19.4" hidden="false" customHeight="false" outlineLevel="0" collapsed="false">
      <c r="A14" s="70" t="s">
        <v>1364</v>
      </c>
      <c r="B14" s="71" t="s">
        <v>1360</v>
      </c>
      <c r="C14" s="72" t="s">
        <v>1361</v>
      </c>
      <c r="D14" s="71" t="s">
        <v>1365</v>
      </c>
      <c r="E14" s="71" t="s">
        <v>1080</v>
      </c>
      <c r="F14" s="71" t="s">
        <v>217</v>
      </c>
      <c r="G14" s="73" t="s">
        <v>218</v>
      </c>
      <c r="H14" s="74" t="n">
        <f aca="false">ROUND(5.19*MS_KG,2)</f>
        <v>18.68</v>
      </c>
      <c r="I14" s="75" t="n">
        <v>0.07</v>
      </c>
      <c r="J14" s="76" t="n">
        <f aca="false">IF(H14="","",ROUND(H14*(1+I14),2))</f>
        <v>19.99</v>
      </c>
      <c r="K14" s="76" t="n">
        <f aca="false">IF(J14="","",ROUND(J14*(1+OHP),2))</f>
        <v>23.99</v>
      </c>
      <c r="L14" s="76" t="n">
        <f aca="false">IF(K14="","",ROUND(K14*(1+VAT),2))</f>
        <v>25.19</v>
      </c>
      <c r="M14" s="73" t="s">
        <v>89</v>
      </c>
      <c r="N14" s="71"/>
      <c r="O14" s="73"/>
      <c r="P14" s="77"/>
      <c r="Q14" s="71"/>
      <c r="R14" s="78" t="s">
        <v>1366</v>
      </c>
    </row>
    <row r="15" customFormat="false" ht="19.4" hidden="false" customHeight="false" outlineLevel="0" collapsed="false">
      <c r="A15" s="70" t="s">
        <v>1367</v>
      </c>
      <c r="B15" s="71" t="s">
        <v>1360</v>
      </c>
      <c r="C15" s="72" t="s">
        <v>1361</v>
      </c>
      <c r="D15" s="71" t="s">
        <v>1368</v>
      </c>
      <c r="E15" s="71" t="s">
        <v>1080</v>
      </c>
      <c r="F15" s="71" t="s">
        <v>217</v>
      </c>
      <c r="G15" s="73" t="s">
        <v>218</v>
      </c>
      <c r="H15" s="74" t="n">
        <f aca="false">ROUND(6.71*MS_KG,2)</f>
        <v>24.16</v>
      </c>
      <c r="I15" s="75" t="n">
        <v>0.07</v>
      </c>
      <c r="J15" s="76" t="n">
        <f aca="false">IF(H15="","",ROUND(H15*(1+I15),2))</f>
        <v>25.85</v>
      </c>
      <c r="K15" s="76" t="n">
        <f aca="false">IF(J15="","",ROUND(J15*(1+OHP),2))</f>
        <v>31.02</v>
      </c>
      <c r="L15" s="76" t="n">
        <f aca="false">IF(K15="","",ROUND(K15*(1+VAT),2))</f>
        <v>32.57</v>
      </c>
      <c r="M15" s="73" t="s">
        <v>89</v>
      </c>
      <c r="N15" s="71"/>
      <c r="O15" s="73"/>
      <c r="P15" s="77"/>
      <c r="Q15" s="71"/>
      <c r="R15" s="78" t="s">
        <v>1369</v>
      </c>
    </row>
    <row r="16" customFormat="false" ht="19.4" hidden="false" customHeight="false" outlineLevel="0" collapsed="false">
      <c r="A16" s="70" t="s">
        <v>1370</v>
      </c>
      <c r="B16" s="71" t="s">
        <v>1360</v>
      </c>
      <c r="C16" s="72" t="s">
        <v>1361</v>
      </c>
      <c r="D16" s="71" t="s">
        <v>1371</v>
      </c>
      <c r="E16" s="71" t="s">
        <v>1080</v>
      </c>
      <c r="F16" s="71" t="s">
        <v>217</v>
      </c>
      <c r="G16" s="73" t="s">
        <v>218</v>
      </c>
      <c r="H16" s="74" t="n">
        <f aca="false">ROUND(8.59*MS_KG,2)</f>
        <v>30.92</v>
      </c>
      <c r="I16" s="75" t="n">
        <v>0.07</v>
      </c>
      <c r="J16" s="76" t="n">
        <f aca="false">IF(H16="","",ROUND(H16*(1+I16),2))</f>
        <v>33.08</v>
      </c>
      <c r="K16" s="76" t="n">
        <f aca="false">IF(J16="","",ROUND(J16*(1+OHP),2))</f>
        <v>39.7</v>
      </c>
      <c r="L16" s="76" t="n">
        <f aca="false">IF(K16="","",ROUND(K16*(1+VAT),2))</f>
        <v>41.69</v>
      </c>
      <c r="M16" s="73" t="s">
        <v>89</v>
      </c>
      <c r="N16" s="71"/>
      <c r="O16" s="73"/>
      <c r="P16" s="77"/>
      <c r="Q16" s="71"/>
      <c r="R16" s="78" t="s">
        <v>1372</v>
      </c>
    </row>
    <row r="17" customFormat="false" ht="19.4" hidden="false" customHeight="false" outlineLevel="0" collapsed="false">
      <c r="A17" s="70" t="s">
        <v>1373</v>
      </c>
      <c r="B17" s="71" t="s">
        <v>1360</v>
      </c>
      <c r="C17" s="72" t="s">
        <v>1361</v>
      </c>
      <c r="D17" s="71" t="s">
        <v>1374</v>
      </c>
      <c r="E17" s="71" t="s">
        <v>1080</v>
      </c>
      <c r="F17" s="71" t="s">
        <v>217</v>
      </c>
      <c r="G17" s="73" t="s">
        <v>218</v>
      </c>
      <c r="H17" s="74" t="n">
        <f aca="false">ROUND(18.7*MS_KG,2)</f>
        <v>67.32</v>
      </c>
      <c r="I17" s="75" t="n">
        <v>0.07</v>
      </c>
      <c r="J17" s="76" t="n">
        <f aca="false">IF(H17="","",ROUND(H17*(1+I17),2))</f>
        <v>72.03</v>
      </c>
      <c r="K17" s="76" t="n">
        <f aca="false">IF(J17="","",ROUND(J17*(1+OHP),2))</f>
        <v>86.44</v>
      </c>
      <c r="L17" s="76" t="n">
        <f aca="false">IF(K17="","",ROUND(K17*(1+VAT),2))</f>
        <v>90.76</v>
      </c>
      <c r="M17" s="73" t="s">
        <v>89</v>
      </c>
      <c r="N17" s="71"/>
      <c r="O17" s="73"/>
      <c r="P17" s="77"/>
      <c r="Q17" s="71"/>
      <c r="R17" s="78" t="s">
        <v>1375</v>
      </c>
    </row>
    <row r="18" customFormat="false" ht="19.4" hidden="false" customHeight="false" outlineLevel="0" collapsed="false">
      <c r="A18" s="70" t="s">
        <v>1376</v>
      </c>
      <c r="B18" s="71" t="s">
        <v>1360</v>
      </c>
      <c r="C18" s="72" t="s">
        <v>1361</v>
      </c>
      <c r="D18" s="71" t="s">
        <v>1377</v>
      </c>
      <c r="E18" s="71" t="s">
        <v>1080</v>
      </c>
      <c r="F18" s="71" t="s">
        <v>217</v>
      </c>
      <c r="G18" s="73" t="s">
        <v>218</v>
      </c>
      <c r="H18" s="74" t="n">
        <f aca="false">ROUND(27.3*MS_KG,2)</f>
        <v>98.28</v>
      </c>
      <c r="I18" s="75" t="n">
        <v>0.07</v>
      </c>
      <c r="J18" s="76" t="n">
        <f aca="false">IF(H18="","",ROUND(H18*(1+I18),2))</f>
        <v>105.16</v>
      </c>
      <c r="K18" s="76" t="n">
        <f aca="false">IF(J18="","",ROUND(J18*(1+OHP),2))</f>
        <v>126.19</v>
      </c>
      <c r="L18" s="76" t="n">
        <f aca="false">IF(K18="","",ROUND(K18*(1+VAT),2))</f>
        <v>132.5</v>
      </c>
      <c r="M18" s="73" t="s">
        <v>89</v>
      </c>
      <c r="N18" s="71"/>
      <c r="O18" s="73"/>
      <c r="P18" s="77"/>
      <c r="Q18" s="71"/>
      <c r="R18" s="78" t="s">
        <v>1378</v>
      </c>
    </row>
    <row r="19" customFormat="false" ht="15" hidden="false" customHeight="false" outlineLevel="0" collapsed="false">
      <c r="A19" s="70" t="s">
        <v>1379</v>
      </c>
      <c r="B19" s="71" t="s">
        <v>1380</v>
      </c>
      <c r="C19" s="72" t="s">
        <v>1381</v>
      </c>
      <c r="D19" s="71" t="s">
        <v>1382</v>
      </c>
      <c r="E19" s="71" t="s">
        <v>1080</v>
      </c>
      <c r="F19" s="71" t="s">
        <v>217</v>
      </c>
      <c r="G19" s="73" t="s">
        <v>218</v>
      </c>
      <c r="H19" s="74" t="n">
        <f aca="false">ROUND(2.42*MS_KG,2)</f>
        <v>8.71</v>
      </c>
      <c r="I19" s="75" t="n">
        <v>0.07</v>
      </c>
      <c r="J19" s="76" t="n">
        <f aca="false">IF(H19="","",ROUND(H19*(1+I19),2))</f>
        <v>9.32</v>
      </c>
      <c r="K19" s="76" t="n">
        <f aca="false">IF(J19="","",ROUND(J19*(1+OHP),2))</f>
        <v>11.18</v>
      </c>
      <c r="L19" s="76" t="n">
        <f aca="false">IF(K19="","",ROUND(K19*(1+VAT),2))</f>
        <v>11.74</v>
      </c>
      <c r="M19" s="73" t="s">
        <v>89</v>
      </c>
      <c r="N19" s="71"/>
      <c r="O19" s="73"/>
      <c r="P19" s="77"/>
      <c r="Q19" s="71"/>
      <c r="R19" s="78" t="s">
        <v>1383</v>
      </c>
    </row>
    <row r="20" customFormat="false" ht="15" hidden="false" customHeight="false" outlineLevel="0" collapsed="false">
      <c r="A20" s="70" t="s">
        <v>1384</v>
      </c>
      <c r="B20" s="71" t="s">
        <v>1380</v>
      </c>
      <c r="C20" s="72" t="s">
        <v>1381</v>
      </c>
      <c r="D20" s="71" t="s">
        <v>1385</v>
      </c>
      <c r="E20" s="71" t="s">
        <v>1080</v>
      </c>
      <c r="F20" s="71" t="s">
        <v>217</v>
      </c>
      <c r="G20" s="73" t="s">
        <v>218</v>
      </c>
      <c r="H20" s="74" t="n">
        <f aca="false">ROUND(3.77*MS_KG,2)</f>
        <v>13.57</v>
      </c>
      <c r="I20" s="75" t="n">
        <v>0.07</v>
      </c>
      <c r="J20" s="76" t="n">
        <f aca="false">IF(H20="","",ROUND(H20*(1+I20),2))</f>
        <v>14.52</v>
      </c>
      <c r="K20" s="76" t="n">
        <f aca="false">IF(J20="","",ROUND(J20*(1+OHP),2))</f>
        <v>17.42</v>
      </c>
      <c r="L20" s="76" t="n">
        <f aca="false">IF(K20="","",ROUND(K20*(1+VAT),2))</f>
        <v>18.29</v>
      </c>
      <c r="M20" s="73" t="s">
        <v>89</v>
      </c>
      <c r="N20" s="71"/>
      <c r="O20" s="73"/>
      <c r="P20" s="77"/>
      <c r="Q20" s="71"/>
      <c r="R20" s="78" t="s">
        <v>1386</v>
      </c>
    </row>
    <row r="21" customFormat="false" ht="15" hidden="false" customHeight="false" outlineLevel="0" collapsed="false">
      <c r="A21" s="70" t="s">
        <v>1387</v>
      </c>
      <c r="B21" s="71" t="s">
        <v>1380</v>
      </c>
      <c r="C21" s="72" t="s">
        <v>1381</v>
      </c>
      <c r="D21" s="71" t="s">
        <v>1388</v>
      </c>
      <c r="E21" s="71" t="s">
        <v>1080</v>
      </c>
      <c r="F21" s="71" t="s">
        <v>217</v>
      </c>
      <c r="G21" s="73" t="s">
        <v>218</v>
      </c>
      <c r="H21" s="74" t="n">
        <f aca="false">ROUND(5.91*MS_KG,2)</f>
        <v>21.28</v>
      </c>
      <c r="I21" s="75" t="n">
        <v>0.07</v>
      </c>
      <c r="J21" s="76" t="n">
        <f aca="false">IF(H21="","",ROUND(H21*(1+I21),2))</f>
        <v>22.77</v>
      </c>
      <c r="K21" s="76" t="n">
        <f aca="false">IF(J21="","",ROUND(J21*(1+OHP),2))</f>
        <v>27.32</v>
      </c>
      <c r="L21" s="76" t="n">
        <f aca="false">IF(K21="","",ROUND(K21*(1+VAT),2))</f>
        <v>28.69</v>
      </c>
      <c r="M21" s="73" t="s">
        <v>89</v>
      </c>
      <c r="N21" s="71"/>
      <c r="O21" s="73"/>
      <c r="P21" s="77"/>
      <c r="Q21" s="71"/>
      <c r="R21" s="78" t="s">
        <v>1389</v>
      </c>
    </row>
    <row r="22" customFormat="false" ht="15" hidden="false" customHeight="false" outlineLevel="0" collapsed="false">
      <c r="A22" s="70" t="s">
        <v>1390</v>
      </c>
      <c r="B22" s="71" t="s">
        <v>1380</v>
      </c>
      <c r="C22" s="72" t="s">
        <v>1381</v>
      </c>
      <c r="D22" s="71" t="s">
        <v>1391</v>
      </c>
      <c r="E22" s="71" t="s">
        <v>1080</v>
      </c>
      <c r="F22" s="71" t="s">
        <v>217</v>
      </c>
      <c r="G22" s="73" t="s">
        <v>218</v>
      </c>
      <c r="H22" s="74" t="n">
        <f aca="false">ROUND(6.85*MS_KG,2)</f>
        <v>24.66</v>
      </c>
      <c r="I22" s="75" t="n">
        <v>0.07</v>
      </c>
      <c r="J22" s="76" t="n">
        <f aca="false">IF(H22="","",ROUND(H22*(1+I22),2))</f>
        <v>26.39</v>
      </c>
      <c r="K22" s="76" t="n">
        <f aca="false">IF(J22="","",ROUND(J22*(1+OHP),2))</f>
        <v>31.67</v>
      </c>
      <c r="L22" s="76" t="n">
        <f aca="false">IF(K22="","",ROUND(K22*(1+VAT),2))</f>
        <v>33.25</v>
      </c>
      <c r="M22" s="73" t="s">
        <v>89</v>
      </c>
      <c r="N22" s="71"/>
      <c r="O22" s="73"/>
      <c r="P22" s="77"/>
      <c r="Q22" s="71"/>
      <c r="R22" s="78" t="s">
        <v>1392</v>
      </c>
    </row>
    <row r="23" customFormat="false" ht="15" hidden="false" customHeight="false" outlineLevel="0" collapsed="false">
      <c r="A23" s="70" t="s">
        <v>1393</v>
      </c>
      <c r="B23" s="71" t="s">
        <v>1380</v>
      </c>
      <c r="C23" s="72" t="s">
        <v>1381</v>
      </c>
      <c r="D23" s="71" t="s">
        <v>1394</v>
      </c>
      <c r="E23" s="71" t="s">
        <v>1080</v>
      </c>
      <c r="F23" s="71" t="s">
        <v>217</v>
      </c>
      <c r="G23" s="73" t="s">
        <v>218</v>
      </c>
      <c r="H23" s="74" t="n">
        <f aca="false">ROUND(12.2*MS_KG,2)</f>
        <v>43.92</v>
      </c>
      <c r="I23" s="75" t="n">
        <v>0.07</v>
      </c>
      <c r="J23" s="76" t="n">
        <f aca="false">IF(H23="","",ROUND(H23*(1+I23),2))</f>
        <v>46.99</v>
      </c>
      <c r="K23" s="76" t="n">
        <f aca="false">IF(J23="","",ROUND(J23*(1+OHP),2))</f>
        <v>56.39</v>
      </c>
      <c r="L23" s="76" t="n">
        <f aca="false">IF(K23="","",ROUND(K23*(1+VAT),2))</f>
        <v>59.21</v>
      </c>
      <c r="M23" s="73" t="s">
        <v>89</v>
      </c>
      <c r="N23" s="71"/>
      <c r="O23" s="73"/>
      <c r="P23" s="77"/>
      <c r="Q23" s="71"/>
      <c r="R23" s="78" t="s">
        <v>1395</v>
      </c>
    </row>
    <row r="24" customFormat="false" ht="15" hidden="false" customHeight="false" outlineLevel="0" collapsed="false">
      <c r="A24" s="70" t="s">
        <v>1396</v>
      </c>
      <c r="B24" s="71" t="s">
        <v>1397</v>
      </c>
      <c r="C24" s="72" t="s">
        <v>1398</v>
      </c>
      <c r="D24" s="71" t="s">
        <v>1399</v>
      </c>
      <c r="E24" s="71" t="s">
        <v>1080</v>
      </c>
      <c r="F24" s="71" t="s">
        <v>349</v>
      </c>
      <c r="G24" s="73" t="s">
        <v>218</v>
      </c>
      <c r="H24" s="74" t="n">
        <f aca="false">ROUND(10.2*MS_KG,2)</f>
        <v>36.72</v>
      </c>
      <c r="I24" s="75" t="n">
        <v>0.07</v>
      </c>
      <c r="J24" s="76" t="n">
        <f aca="false">IF(H24="","",ROUND(H24*(1+I24),2))</f>
        <v>39.29</v>
      </c>
      <c r="K24" s="76" t="n">
        <f aca="false">IF(J24="","",ROUND(J24*(1+OHP),2))</f>
        <v>47.15</v>
      </c>
      <c r="L24" s="76" t="n">
        <f aca="false">IF(K24="","",ROUND(K24*(1+VAT),2))</f>
        <v>49.51</v>
      </c>
      <c r="M24" s="73" t="s">
        <v>89</v>
      </c>
      <c r="N24" s="71"/>
      <c r="O24" s="73"/>
      <c r="P24" s="77"/>
      <c r="Q24" s="71"/>
      <c r="R24" s="78" t="s">
        <v>1400</v>
      </c>
    </row>
    <row r="25" customFormat="false" ht="15" hidden="false" customHeight="false" outlineLevel="0" collapsed="false">
      <c r="A25" s="70" t="s">
        <v>1401</v>
      </c>
      <c r="B25" s="71" t="s">
        <v>1397</v>
      </c>
      <c r="C25" s="72" t="s">
        <v>1398</v>
      </c>
      <c r="D25" s="71" t="s">
        <v>1402</v>
      </c>
      <c r="E25" s="71" t="s">
        <v>1080</v>
      </c>
      <c r="F25" s="71" t="s">
        <v>349</v>
      </c>
      <c r="G25" s="73" t="s">
        <v>218</v>
      </c>
      <c r="H25" s="74" t="n">
        <f aca="false">ROUND(17.9*MS_KG,2)</f>
        <v>64.44</v>
      </c>
      <c r="I25" s="75" t="n">
        <v>0.07</v>
      </c>
      <c r="J25" s="76" t="n">
        <f aca="false">IF(H25="","",ROUND(H25*(1+I25),2))</f>
        <v>68.95</v>
      </c>
      <c r="K25" s="76" t="n">
        <f aca="false">IF(J25="","",ROUND(J25*(1+OHP),2))</f>
        <v>82.74</v>
      </c>
      <c r="L25" s="76" t="n">
        <f aca="false">IF(K25="","",ROUND(K25*(1+VAT),2))</f>
        <v>86.88</v>
      </c>
      <c r="M25" s="73" t="s">
        <v>89</v>
      </c>
      <c r="N25" s="71"/>
      <c r="O25" s="73"/>
      <c r="P25" s="77"/>
      <c r="Q25" s="71"/>
      <c r="R25" s="78" t="s">
        <v>1403</v>
      </c>
    </row>
    <row r="26" customFormat="false" ht="15" hidden="false" customHeight="false" outlineLevel="0" collapsed="false">
      <c r="A26" s="70" t="s">
        <v>1404</v>
      </c>
      <c r="B26" s="71" t="s">
        <v>1397</v>
      </c>
      <c r="C26" s="72" t="s">
        <v>1398</v>
      </c>
      <c r="D26" s="71" t="s">
        <v>1405</v>
      </c>
      <c r="E26" s="71" t="s">
        <v>1080</v>
      </c>
      <c r="F26" s="71" t="s">
        <v>349</v>
      </c>
      <c r="G26" s="73" t="s">
        <v>218</v>
      </c>
      <c r="H26" s="74" t="n">
        <f aca="false">ROUND(23.4*MS_KG,2)</f>
        <v>84.24</v>
      </c>
      <c r="I26" s="75" t="n">
        <v>0.07</v>
      </c>
      <c r="J26" s="76" t="n">
        <f aca="false">IF(H26="","",ROUND(H26*(1+I26),2))</f>
        <v>90.14</v>
      </c>
      <c r="K26" s="76" t="n">
        <f aca="false">IF(J26="","",ROUND(J26*(1+OHP),2))</f>
        <v>108.17</v>
      </c>
      <c r="L26" s="76" t="n">
        <f aca="false">IF(K26="","",ROUND(K26*(1+VAT),2))</f>
        <v>113.58</v>
      </c>
      <c r="M26" s="73" t="s">
        <v>89</v>
      </c>
      <c r="N26" s="71"/>
      <c r="O26" s="73"/>
      <c r="P26" s="77"/>
      <c r="Q26" s="71"/>
      <c r="R26" s="78" t="s">
        <v>1406</v>
      </c>
    </row>
    <row r="27" customFormat="false" ht="15" hidden="false" customHeight="false" outlineLevel="0" collapsed="false">
      <c r="A27" s="70" t="s">
        <v>1407</v>
      </c>
      <c r="B27" s="71" t="s">
        <v>1397</v>
      </c>
      <c r="C27" s="72" t="s">
        <v>1408</v>
      </c>
      <c r="D27" s="71" t="s">
        <v>1409</v>
      </c>
      <c r="E27" s="71" t="s">
        <v>1080</v>
      </c>
      <c r="F27" s="71" t="s">
        <v>453</v>
      </c>
      <c r="G27" s="73" t="s">
        <v>218</v>
      </c>
      <c r="H27" s="74" t="n">
        <f aca="false">ROUND(8.1*MS_KG,2)</f>
        <v>29.16</v>
      </c>
      <c r="I27" s="75" t="n">
        <v>0.07</v>
      </c>
      <c r="J27" s="76" t="n">
        <f aca="false">IF(H27="","",ROUND(H27*(1+I27),2))</f>
        <v>31.2</v>
      </c>
      <c r="K27" s="76" t="n">
        <f aca="false">IF(J27="","",ROUND(J27*(1+OHP),2))</f>
        <v>37.44</v>
      </c>
      <c r="L27" s="76" t="n">
        <f aca="false">IF(K27="","",ROUND(K27*(1+VAT),2))</f>
        <v>39.31</v>
      </c>
      <c r="M27" s="73" t="s">
        <v>89</v>
      </c>
      <c r="N27" s="71"/>
      <c r="O27" s="73"/>
      <c r="P27" s="77"/>
      <c r="Q27" s="71"/>
      <c r="R27" s="78" t="s">
        <v>1410</v>
      </c>
    </row>
    <row r="28" customFormat="false" ht="15" hidden="false" customHeight="false" outlineLevel="0" collapsed="false">
      <c r="A28" s="70" t="s">
        <v>1411</v>
      </c>
      <c r="B28" s="71" t="s">
        <v>1397</v>
      </c>
      <c r="C28" s="72" t="s">
        <v>1412</v>
      </c>
      <c r="D28" s="71" t="s">
        <v>1413</v>
      </c>
      <c r="E28" s="71" t="s">
        <v>1080</v>
      </c>
      <c r="F28" s="71" t="s">
        <v>453</v>
      </c>
      <c r="G28" s="73" t="s">
        <v>218</v>
      </c>
      <c r="H28" s="74" t="n">
        <f aca="false">ROUND(15.8*MS_KG,2)</f>
        <v>56.88</v>
      </c>
      <c r="I28" s="75" t="n">
        <v>0.07</v>
      </c>
      <c r="J28" s="76" t="n">
        <f aca="false">IF(H28="","",ROUND(H28*(1+I28),2))</f>
        <v>60.86</v>
      </c>
      <c r="K28" s="76" t="n">
        <f aca="false">IF(J28="","",ROUND(J28*(1+OHP),2))</f>
        <v>73.03</v>
      </c>
      <c r="L28" s="76" t="n">
        <f aca="false">IF(K28="","",ROUND(K28*(1+VAT),2))</f>
        <v>76.68</v>
      </c>
      <c r="M28" s="73" t="s">
        <v>89</v>
      </c>
      <c r="N28" s="71"/>
      <c r="O28" s="73"/>
      <c r="P28" s="77"/>
      <c r="Q28" s="71"/>
      <c r="R28" s="78" t="s">
        <v>1410</v>
      </c>
    </row>
    <row r="29" customFormat="false" ht="15" hidden="false" customHeight="false" outlineLevel="0" collapsed="false">
      <c r="A29" s="70" t="s">
        <v>1414</v>
      </c>
      <c r="B29" s="71" t="s">
        <v>1397</v>
      </c>
      <c r="C29" s="72" t="s">
        <v>1415</v>
      </c>
      <c r="D29" s="71" t="s">
        <v>1416</v>
      </c>
      <c r="E29" s="71" t="s">
        <v>1080</v>
      </c>
      <c r="F29" s="71" t="s">
        <v>453</v>
      </c>
      <c r="G29" s="73" t="s">
        <v>218</v>
      </c>
      <c r="H29" s="74" t="n">
        <f aca="false">ROUND(22.4*MS_KG,2)</f>
        <v>80.64</v>
      </c>
      <c r="I29" s="75" t="n">
        <v>0.07</v>
      </c>
      <c r="J29" s="76" t="n">
        <f aca="false">IF(H29="","",ROUND(H29*(1+I29),2))</f>
        <v>86.28</v>
      </c>
      <c r="K29" s="76" t="n">
        <f aca="false">IF(J29="","",ROUND(J29*(1+OHP),2))</f>
        <v>103.54</v>
      </c>
      <c r="L29" s="76" t="n">
        <f aca="false">IF(K29="","",ROUND(K29*(1+VAT),2))</f>
        <v>108.72</v>
      </c>
      <c r="M29" s="73" t="s">
        <v>89</v>
      </c>
      <c r="N29" s="71"/>
      <c r="O29" s="73"/>
      <c r="P29" s="77"/>
      <c r="Q29" s="71"/>
      <c r="R29" s="78" t="s">
        <v>1410</v>
      </c>
    </row>
    <row r="30" customFormat="false" ht="15" hidden="false" customHeight="false" outlineLevel="0" collapsed="false">
      <c r="A30" s="70" t="s">
        <v>1417</v>
      </c>
      <c r="B30" s="71" t="s">
        <v>1397</v>
      </c>
      <c r="C30" s="72" t="s">
        <v>1418</v>
      </c>
      <c r="D30" s="71" t="s">
        <v>1419</v>
      </c>
      <c r="E30" s="71" t="s">
        <v>1080</v>
      </c>
      <c r="F30" s="71" t="s">
        <v>453</v>
      </c>
      <c r="G30" s="73" t="s">
        <v>218</v>
      </c>
      <c r="H30" s="74" t="n">
        <f aca="false">ROUND(25.1*MS_KG,2)</f>
        <v>90.36</v>
      </c>
      <c r="I30" s="75" t="n">
        <v>0.07</v>
      </c>
      <c r="J30" s="76" t="n">
        <f aca="false">IF(H30="","",ROUND(H30*(1+I30),2))</f>
        <v>96.69</v>
      </c>
      <c r="K30" s="76" t="n">
        <f aca="false">IF(J30="","",ROUND(J30*(1+OHP),2))</f>
        <v>116.03</v>
      </c>
      <c r="L30" s="76" t="n">
        <f aca="false">IF(K30="","",ROUND(K30*(1+VAT),2))</f>
        <v>121.83</v>
      </c>
      <c r="M30" s="73" t="s">
        <v>89</v>
      </c>
      <c r="N30" s="71"/>
      <c r="O30" s="73"/>
      <c r="P30" s="77"/>
      <c r="Q30" s="71"/>
      <c r="R30" s="78" t="s">
        <v>1420</v>
      </c>
    </row>
    <row r="31" customFormat="false" ht="15" hidden="false" customHeight="false" outlineLevel="0" collapsed="false">
      <c r="A31" s="70" t="s">
        <v>1421</v>
      </c>
      <c r="B31" s="71" t="s">
        <v>1397</v>
      </c>
      <c r="C31" s="72" t="s">
        <v>1422</v>
      </c>
      <c r="D31" s="71" t="s">
        <v>1423</v>
      </c>
      <c r="E31" s="71" t="s">
        <v>1080</v>
      </c>
      <c r="F31" s="71" t="s">
        <v>453</v>
      </c>
      <c r="G31" s="73" t="s">
        <v>218</v>
      </c>
      <c r="H31" s="74" t="n">
        <f aca="false">ROUND(31.1*MS_KG,2)</f>
        <v>111.96</v>
      </c>
      <c r="I31" s="75" t="n">
        <v>0.07</v>
      </c>
      <c r="J31" s="76" t="n">
        <f aca="false">IF(H31="","",ROUND(H31*(1+I31),2))</f>
        <v>119.8</v>
      </c>
      <c r="K31" s="76" t="n">
        <f aca="false">IF(J31="","",ROUND(J31*(1+OHP),2))</f>
        <v>143.76</v>
      </c>
      <c r="L31" s="76" t="n">
        <f aca="false">IF(K31="","",ROUND(K31*(1+VAT),2))</f>
        <v>150.95</v>
      </c>
      <c r="M31" s="73" t="s">
        <v>89</v>
      </c>
      <c r="N31" s="71"/>
      <c r="O31" s="73"/>
      <c r="P31" s="77"/>
      <c r="Q31" s="71"/>
      <c r="R31" s="78" t="s">
        <v>1424</v>
      </c>
    </row>
    <row r="32" customFormat="false" ht="15" hidden="false" customHeight="false" outlineLevel="0" collapsed="false">
      <c r="A32" s="70" t="s">
        <v>1425</v>
      </c>
      <c r="B32" s="71" t="s">
        <v>1397</v>
      </c>
      <c r="C32" s="72" t="s">
        <v>1426</v>
      </c>
      <c r="D32" s="71" t="s">
        <v>1427</v>
      </c>
      <c r="E32" s="71" t="s">
        <v>1080</v>
      </c>
      <c r="F32" s="71" t="s">
        <v>453</v>
      </c>
      <c r="G32" s="73" t="s">
        <v>218</v>
      </c>
      <c r="H32" s="74" t="n">
        <f aca="false">ROUND(42.3*MS_KG,2)</f>
        <v>152.28</v>
      </c>
      <c r="I32" s="75" t="n">
        <v>0.07</v>
      </c>
      <c r="J32" s="76" t="n">
        <f aca="false">IF(H32="","",ROUND(H32*(1+I32),2))</f>
        <v>162.94</v>
      </c>
      <c r="K32" s="76" t="n">
        <f aca="false">IF(J32="","",ROUND(J32*(1+OHP),2))</f>
        <v>195.53</v>
      </c>
      <c r="L32" s="76" t="n">
        <f aca="false">IF(K32="","",ROUND(K32*(1+VAT),2))</f>
        <v>205.31</v>
      </c>
      <c r="M32" s="73" t="s">
        <v>89</v>
      </c>
      <c r="N32" s="71"/>
      <c r="O32" s="73"/>
      <c r="P32" s="77"/>
      <c r="Q32" s="71"/>
      <c r="R32" s="78" t="s">
        <v>1428</v>
      </c>
    </row>
    <row r="33" customFormat="false" ht="19.4" hidden="false" customHeight="false" outlineLevel="0" collapsed="false">
      <c r="A33" s="70" t="s">
        <v>1429</v>
      </c>
      <c r="B33" s="71" t="s">
        <v>1397</v>
      </c>
      <c r="C33" s="72" t="s">
        <v>1430</v>
      </c>
      <c r="D33" s="71" t="s">
        <v>1431</v>
      </c>
      <c r="E33" s="71" t="s">
        <v>1432</v>
      </c>
      <c r="F33" s="71" t="s">
        <v>217</v>
      </c>
      <c r="G33" s="73" t="s">
        <v>218</v>
      </c>
      <c r="H33" s="74" t="n">
        <f aca="false">ROUND(5.6*GI_KG,2)</f>
        <v>23.52</v>
      </c>
      <c r="I33" s="75" t="n">
        <v>0.07</v>
      </c>
      <c r="J33" s="76" t="n">
        <f aca="false">IF(H33="","",ROUND(H33*(1+I33),2))</f>
        <v>25.17</v>
      </c>
      <c r="K33" s="76" t="n">
        <f aca="false">IF(J33="","",ROUND(J33*(1+OHP),2))</f>
        <v>30.2</v>
      </c>
      <c r="L33" s="76" t="n">
        <f aca="false">IF(K33="","",ROUND(K33*(1+VAT),2))</f>
        <v>31.71</v>
      </c>
      <c r="M33" s="73" t="s">
        <v>89</v>
      </c>
      <c r="N33" s="71"/>
      <c r="O33" s="73"/>
      <c r="P33" s="77"/>
      <c r="Q33" s="71"/>
      <c r="R33" s="78" t="s">
        <v>1433</v>
      </c>
    </row>
    <row r="34" customFormat="false" ht="15" hidden="false" customHeight="false" outlineLevel="0" collapsed="false">
      <c r="A34" s="70" t="s">
        <v>1434</v>
      </c>
      <c r="B34" s="71" t="s">
        <v>1435</v>
      </c>
      <c r="C34" s="72" t="s">
        <v>1436</v>
      </c>
      <c r="D34" s="71" t="s">
        <v>1437</v>
      </c>
      <c r="E34" s="71" t="s">
        <v>1080</v>
      </c>
      <c r="F34" s="71" t="s">
        <v>217</v>
      </c>
      <c r="G34" s="73" t="s">
        <v>218</v>
      </c>
      <c r="H34" s="74" t="n">
        <f aca="false">ROUND(0.59*MS_KG,2)</f>
        <v>2.12</v>
      </c>
      <c r="I34" s="75" t="n">
        <v>0.07</v>
      </c>
      <c r="J34" s="76" t="n">
        <f aca="false">IF(H34="","",ROUND(H34*(1+I34),2))</f>
        <v>2.27</v>
      </c>
      <c r="K34" s="76" t="n">
        <f aca="false">IF(J34="","",ROUND(J34*(1+OHP),2))</f>
        <v>2.72</v>
      </c>
      <c r="L34" s="76" t="n">
        <f aca="false">IF(K34="","",ROUND(K34*(1+VAT),2))</f>
        <v>2.86</v>
      </c>
      <c r="M34" s="73" t="s">
        <v>89</v>
      </c>
      <c r="N34" s="71"/>
      <c r="O34" s="73"/>
      <c r="P34" s="77"/>
      <c r="Q34" s="71"/>
      <c r="R34" s="78" t="s">
        <v>1438</v>
      </c>
    </row>
    <row r="35" customFormat="false" ht="15" hidden="false" customHeight="false" outlineLevel="0" collapsed="false">
      <c r="A35" s="70" t="s">
        <v>1439</v>
      </c>
      <c r="B35" s="71" t="s">
        <v>1435</v>
      </c>
      <c r="C35" s="72" t="s">
        <v>1436</v>
      </c>
      <c r="D35" s="71" t="s">
        <v>1440</v>
      </c>
      <c r="E35" s="71" t="s">
        <v>1080</v>
      </c>
      <c r="F35" s="71" t="s">
        <v>217</v>
      </c>
      <c r="G35" s="73" t="s">
        <v>218</v>
      </c>
      <c r="H35" s="74" t="n">
        <f aca="false">ROUND(1.57*MS_KG,2)</f>
        <v>5.65</v>
      </c>
      <c r="I35" s="75" t="n">
        <v>0.07</v>
      </c>
      <c r="J35" s="76" t="n">
        <f aca="false">IF(H35="","",ROUND(H35*(1+I35),2))</f>
        <v>6.05</v>
      </c>
      <c r="K35" s="76" t="n">
        <f aca="false">IF(J35="","",ROUND(J35*(1+OHP),2))</f>
        <v>7.26</v>
      </c>
      <c r="L35" s="76" t="n">
        <f aca="false">IF(K35="","",ROUND(K35*(1+VAT),2))</f>
        <v>7.62</v>
      </c>
      <c r="M35" s="73" t="s">
        <v>89</v>
      </c>
      <c r="N35" s="71"/>
      <c r="O35" s="73"/>
      <c r="P35" s="77"/>
      <c r="Q35" s="71"/>
      <c r="R35" s="78" t="s">
        <v>1441</v>
      </c>
    </row>
    <row r="36" customFormat="false" ht="15" hidden="false" customHeight="false" outlineLevel="0" collapsed="false">
      <c r="A36" s="70" t="s">
        <v>1442</v>
      </c>
      <c r="B36" s="71" t="s">
        <v>1435</v>
      </c>
      <c r="C36" s="72" t="s">
        <v>1436</v>
      </c>
      <c r="D36" s="71" t="s">
        <v>1443</v>
      </c>
      <c r="E36" s="71" t="s">
        <v>1080</v>
      </c>
      <c r="F36" s="71" t="s">
        <v>217</v>
      </c>
      <c r="G36" s="73" t="s">
        <v>218</v>
      </c>
      <c r="H36" s="74" t="n">
        <f aca="false">ROUND(2.36*MS_KG,2)</f>
        <v>8.5</v>
      </c>
      <c r="I36" s="75" t="n">
        <v>0.07</v>
      </c>
      <c r="J36" s="76" t="n">
        <f aca="false">IF(H36="","",ROUND(H36*(1+I36),2))</f>
        <v>9.1</v>
      </c>
      <c r="K36" s="76" t="n">
        <f aca="false">IF(J36="","",ROUND(J36*(1+OHP),2))</f>
        <v>10.92</v>
      </c>
      <c r="L36" s="76" t="n">
        <f aca="false">IF(K36="","",ROUND(K36*(1+VAT),2))</f>
        <v>11.47</v>
      </c>
      <c r="M36" s="73" t="s">
        <v>89</v>
      </c>
      <c r="N36" s="71"/>
      <c r="O36" s="73"/>
      <c r="P36" s="77"/>
      <c r="Q36" s="71"/>
      <c r="R36" s="78" t="s">
        <v>1444</v>
      </c>
    </row>
    <row r="37" customFormat="false" ht="15" hidden="false" customHeight="false" outlineLevel="0" collapsed="false">
      <c r="A37" s="70" t="s">
        <v>1445</v>
      </c>
      <c r="B37" s="71" t="s">
        <v>1435</v>
      </c>
      <c r="C37" s="72" t="s">
        <v>1436</v>
      </c>
      <c r="D37" s="71" t="s">
        <v>1446</v>
      </c>
      <c r="E37" s="71" t="s">
        <v>1080</v>
      </c>
      <c r="F37" s="71" t="s">
        <v>217</v>
      </c>
      <c r="G37" s="73" t="s">
        <v>218</v>
      </c>
      <c r="H37" s="74" t="n">
        <f aca="false">ROUND(4.71*MS_KG,2)</f>
        <v>16.96</v>
      </c>
      <c r="I37" s="75" t="n">
        <v>0.07</v>
      </c>
      <c r="J37" s="76" t="n">
        <f aca="false">IF(H37="","",ROUND(H37*(1+I37),2))</f>
        <v>18.15</v>
      </c>
      <c r="K37" s="76" t="n">
        <f aca="false">IF(J37="","",ROUND(J37*(1+OHP),2))</f>
        <v>21.78</v>
      </c>
      <c r="L37" s="76" t="n">
        <f aca="false">IF(K37="","",ROUND(K37*(1+VAT),2))</f>
        <v>22.87</v>
      </c>
      <c r="M37" s="73" t="s">
        <v>89</v>
      </c>
      <c r="N37" s="71"/>
      <c r="O37" s="73"/>
      <c r="P37" s="77"/>
      <c r="Q37" s="71"/>
      <c r="R37" s="78" t="s">
        <v>1447</v>
      </c>
    </row>
    <row r="38" customFormat="false" ht="15" hidden="false" customHeight="false" outlineLevel="0" collapsed="false">
      <c r="A38" s="70" t="s">
        <v>1448</v>
      </c>
      <c r="B38" s="71" t="s">
        <v>1435</v>
      </c>
      <c r="C38" s="72" t="s">
        <v>1436</v>
      </c>
      <c r="D38" s="71" t="s">
        <v>1449</v>
      </c>
      <c r="E38" s="71" t="s">
        <v>1080</v>
      </c>
      <c r="F38" s="71" t="s">
        <v>217</v>
      </c>
      <c r="G38" s="73" t="s">
        <v>218</v>
      </c>
      <c r="H38" s="74" t="n">
        <f aca="false">ROUND(7.85*MS_KG,2)</f>
        <v>28.26</v>
      </c>
      <c r="I38" s="75" t="n">
        <v>0.07</v>
      </c>
      <c r="J38" s="76" t="n">
        <f aca="false">IF(H38="","",ROUND(H38*(1+I38),2))</f>
        <v>30.24</v>
      </c>
      <c r="K38" s="76" t="n">
        <f aca="false">IF(J38="","",ROUND(J38*(1+OHP),2))</f>
        <v>36.29</v>
      </c>
      <c r="L38" s="76" t="n">
        <f aca="false">IF(K38="","",ROUND(K38*(1+VAT),2))</f>
        <v>38.1</v>
      </c>
      <c r="M38" s="73" t="s">
        <v>89</v>
      </c>
      <c r="N38" s="71"/>
      <c r="O38" s="73"/>
      <c r="P38" s="77"/>
      <c r="Q38" s="71"/>
      <c r="R38" s="78" t="s">
        <v>1450</v>
      </c>
    </row>
    <row r="39" customFormat="false" ht="15" hidden="false" customHeight="false" outlineLevel="0" collapsed="false">
      <c r="A39" s="70" t="s">
        <v>1451</v>
      </c>
      <c r="B39" s="71" t="s">
        <v>1435</v>
      </c>
      <c r="C39" s="72" t="s">
        <v>1452</v>
      </c>
      <c r="D39" s="71" t="s">
        <v>1453</v>
      </c>
      <c r="E39" s="71" t="s">
        <v>1080</v>
      </c>
      <c r="F39" s="71" t="s">
        <v>217</v>
      </c>
      <c r="G39" s="73" t="s">
        <v>218</v>
      </c>
      <c r="H39" s="74" t="n">
        <f aca="false">ROUND(0.89*MS_KG,2)</f>
        <v>3.2</v>
      </c>
      <c r="I39" s="75" t="n">
        <v>0.07</v>
      </c>
      <c r="J39" s="76" t="n">
        <f aca="false">IF(H39="","",ROUND(H39*(1+I39),2))</f>
        <v>3.42</v>
      </c>
      <c r="K39" s="76" t="n">
        <f aca="false">IF(J39="","",ROUND(J39*(1+OHP),2))</f>
        <v>4.1</v>
      </c>
      <c r="L39" s="76" t="n">
        <f aca="false">IF(K39="","",ROUND(K39*(1+VAT),2))</f>
        <v>4.31</v>
      </c>
      <c r="M39" s="73" t="s">
        <v>89</v>
      </c>
      <c r="N39" s="71"/>
      <c r="O39" s="73"/>
      <c r="P39" s="77"/>
      <c r="Q39" s="71"/>
      <c r="R39" s="78" t="s">
        <v>1454</v>
      </c>
    </row>
    <row r="40" customFormat="false" ht="15" hidden="false" customHeight="false" outlineLevel="0" collapsed="false">
      <c r="A40" s="70" t="s">
        <v>1455</v>
      </c>
      <c r="B40" s="71" t="s">
        <v>1435</v>
      </c>
      <c r="C40" s="72" t="s">
        <v>1452</v>
      </c>
      <c r="D40" s="71" t="s">
        <v>1456</v>
      </c>
      <c r="E40" s="71" t="s">
        <v>1080</v>
      </c>
      <c r="F40" s="71" t="s">
        <v>217</v>
      </c>
      <c r="G40" s="73" t="s">
        <v>218</v>
      </c>
      <c r="H40" s="74" t="n">
        <f aca="false">ROUND(1.58*MS_KG,2)</f>
        <v>5.69</v>
      </c>
      <c r="I40" s="75" t="n">
        <v>0.07</v>
      </c>
      <c r="J40" s="76" t="n">
        <f aca="false">IF(H40="","",ROUND(H40*(1+I40),2))</f>
        <v>6.09</v>
      </c>
      <c r="K40" s="76" t="n">
        <f aca="false">IF(J40="","",ROUND(J40*(1+OHP),2))</f>
        <v>7.31</v>
      </c>
      <c r="L40" s="76" t="n">
        <f aca="false">IF(K40="","",ROUND(K40*(1+VAT),2))</f>
        <v>7.68</v>
      </c>
      <c r="M40" s="73" t="s">
        <v>89</v>
      </c>
      <c r="N40" s="71"/>
      <c r="O40" s="73"/>
      <c r="P40" s="77"/>
      <c r="Q40" s="71"/>
      <c r="R40" s="78" t="s">
        <v>1457</v>
      </c>
    </row>
    <row r="41" customFormat="false" ht="15" hidden="false" customHeight="false" outlineLevel="0" collapsed="false">
      <c r="A41" s="70" t="s">
        <v>1458</v>
      </c>
      <c r="B41" s="71" t="s">
        <v>1435</v>
      </c>
      <c r="C41" s="72" t="s">
        <v>1452</v>
      </c>
      <c r="D41" s="71" t="s">
        <v>1459</v>
      </c>
      <c r="E41" s="71" t="s">
        <v>1080</v>
      </c>
      <c r="F41" s="71" t="s">
        <v>217</v>
      </c>
      <c r="G41" s="73" t="s">
        <v>218</v>
      </c>
      <c r="H41" s="74" t="n">
        <f aca="false">ROUND(2.47*MS_KG,2)</f>
        <v>8.89</v>
      </c>
      <c r="I41" s="75" t="n">
        <v>0.07</v>
      </c>
      <c r="J41" s="76" t="n">
        <f aca="false">IF(H41="","",ROUND(H41*(1+I41),2))</f>
        <v>9.51</v>
      </c>
      <c r="K41" s="76" t="n">
        <f aca="false">IF(J41="","",ROUND(J41*(1+OHP),2))</f>
        <v>11.41</v>
      </c>
      <c r="L41" s="76" t="n">
        <f aca="false">IF(K41="","",ROUND(K41*(1+VAT),2))</f>
        <v>11.98</v>
      </c>
      <c r="M41" s="73" t="s">
        <v>89</v>
      </c>
      <c r="N41" s="71"/>
      <c r="O41" s="73"/>
      <c r="P41" s="77"/>
      <c r="Q41" s="71"/>
      <c r="R41" s="78" t="s">
        <v>1460</v>
      </c>
    </row>
    <row r="42" customFormat="false" ht="15" hidden="false" customHeight="false" outlineLevel="0" collapsed="false">
      <c r="A42" s="70" t="s">
        <v>1461</v>
      </c>
      <c r="B42" s="71" t="s">
        <v>1435</v>
      </c>
      <c r="C42" s="72" t="s">
        <v>1462</v>
      </c>
      <c r="D42" s="71" t="s">
        <v>1463</v>
      </c>
      <c r="E42" s="71" t="s">
        <v>1080</v>
      </c>
      <c r="F42" s="71" t="s">
        <v>217</v>
      </c>
      <c r="G42" s="73" t="s">
        <v>218</v>
      </c>
      <c r="H42" s="74" t="n">
        <f aca="false">ROUND(1.13*MS_KG,2)</f>
        <v>4.07</v>
      </c>
      <c r="I42" s="75" t="n">
        <v>0.07</v>
      </c>
      <c r="J42" s="76" t="n">
        <f aca="false">IF(H42="","",ROUND(H42*(1+I42),2))</f>
        <v>4.35</v>
      </c>
      <c r="K42" s="76" t="n">
        <f aca="false">IF(J42="","",ROUND(J42*(1+OHP),2))</f>
        <v>5.22</v>
      </c>
      <c r="L42" s="76" t="n">
        <f aca="false">IF(K42="","",ROUND(K42*(1+VAT),2))</f>
        <v>5.48</v>
      </c>
      <c r="M42" s="73" t="s">
        <v>89</v>
      </c>
      <c r="N42" s="71"/>
      <c r="O42" s="73"/>
      <c r="P42" s="77"/>
      <c r="Q42" s="71"/>
      <c r="R42" s="78" t="s">
        <v>1464</v>
      </c>
    </row>
    <row r="43" customFormat="false" ht="15" hidden="false" customHeight="false" outlineLevel="0" collapsed="false">
      <c r="A43" s="70" t="s">
        <v>1465</v>
      </c>
      <c r="B43" s="71" t="s">
        <v>1466</v>
      </c>
      <c r="C43" s="72" t="s">
        <v>1467</v>
      </c>
      <c r="D43" s="71" t="s">
        <v>1468</v>
      </c>
      <c r="E43" s="71" t="s">
        <v>1080</v>
      </c>
      <c r="F43" s="71" t="s">
        <v>217</v>
      </c>
      <c r="G43" s="73" t="s">
        <v>218</v>
      </c>
      <c r="H43" s="74" t="n">
        <f aca="false">ROUND(3.56*MS_KG,2)</f>
        <v>12.82</v>
      </c>
      <c r="I43" s="75" t="n">
        <v>0.07</v>
      </c>
      <c r="J43" s="76" t="n">
        <f aca="false">IF(H43="","",ROUND(H43*(1+I43),2))</f>
        <v>13.72</v>
      </c>
      <c r="K43" s="76" t="n">
        <f aca="false">IF(J43="","",ROUND(J43*(1+OHP),2))</f>
        <v>16.46</v>
      </c>
      <c r="L43" s="76" t="n">
        <f aca="false">IF(K43="","",ROUND(K43*(1+VAT),2))</f>
        <v>17.28</v>
      </c>
      <c r="M43" s="73" t="s">
        <v>89</v>
      </c>
      <c r="N43" s="71"/>
      <c r="O43" s="73"/>
      <c r="P43" s="77"/>
      <c r="Q43" s="71"/>
      <c r="R43" s="78" t="s">
        <v>1469</v>
      </c>
    </row>
    <row r="44" customFormat="false" ht="15" hidden="false" customHeight="false" outlineLevel="0" collapsed="false">
      <c r="A44" s="70" t="s">
        <v>1470</v>
      </c>
      <c r="B44" s="71" t="s">
        <v>1466</v>
      </c>
      <c r="C44" s="72" t="s">
        <v>1467</v>
      </c>
      <c r="D44" s="71" t="s">
        <v>1471</v>
      </c>
      <c r="E44" s="71" t="s">
        <v>1080</v>
      </c>
      <c r="F44" s="71" t="s">
        <v>217</v>
      </c>
      <c r="G44" s="73" t="s">
        <v>218</v>
      </c>
      <c r="H44" s="74" t="n">
        <f aca="false">ROUND(5.03*MS_KG,2)</f>
        <v>18.11</v>
      </c>
      <c r="I44" s="75" t="n">
        <v>0.07</v>
      </c>
      <c r="J44" s="76" t="n">
        <f aca="false">IF(H44="","",ROUND(H44*(1+I44),2))</f>
        <v>19.38</v>
      </c>
      <c r="K44" s="76" t="n">
        <f aca="false">IF(J44="","",ROUND(J44*(1+OHP),2))</f>
        <v>23.26</v>
      </c>
      <c r="L44" s="76" t="n">
        <f aca="false">IF(K44="","",ROUND(K44*(1+VAT),2))</f>
        <v>24.42</v>
      </c>
      <c r="M44" s="73" t="s">
        <v>89</v>
      </c>
      <c r="N44" s="71"/>
      <c r="O44" s="73"/>
      <c r="P44" s="77"/>
      <c r="Q44" s="71"/>
      <c r="R44" s="78" t="s">
        <v>1472</v>
      </c>
    </row>
    <row r="45" customFormat="false" ht="15" hidden="false" customHeight="false" outlineLevel="0" collapsed="false">
      <c r="A45" s="70" t="s">
        <v>1473</v>
      </c>
      <c r="B45" s="71" t="s">
        <v>1466</v>
      </c>
      <c r="C45" s="72" t="s">
        <v>1467</v>
      </c>
      <c r="D45" s="71" t="s">
        <v>1474</v>
      </c>
      <c r="E45" s="71" t="s">
        <v>1080</v>
      </c>
      <c r="F45" s="71" t="s">
        <v>217</v>
      </c>
      <c r="G45" s="73" t="s">
        <v>218</v>
      </c>
      <c r="H45" s="74" t="n">
        <f aca="false">ROUND(8.38*MS_KG,2)</f>
        <v>30.17</v>
      </c>
      <c r="I45" s="75" t="n">
        <v>0.07</v>
      </c>
      <c r="J45" s="76" t="n">
        <f aca="false">IF(H45="","",ROUND(H45*(1+I45),2))</f>
        <v>32.28</v>
      </c>
      <c r="K45" s="76" t="n">
        <f aca="false">IF(J45="","",ROUND(J45*(1+OHP),2))</f>
        <v>38.74</v>
      </c>
      <c r="L45" s="76" t="n">
        <f aca="false">IF(K45="","",ROUND(K45*(1+VAT),2))</f>
        <v>40.68</v>
      </c>
      <c r="M45" s="73" t="s">
        <v>89</v>
      </c>
      <c r="N45" s="71"/>
      <c r="O45" s="73"/>
      <c r="P45" s="77"/>
      <c r="Q45" s="71"/>
      <c r="R45" s="78" t="s">
        <v>1475</v>
      </c>
    </row>
    <row r="46" customFormat="false" ht="15" hidden="false" customHeight="false" outlineLevel="0" collapsed="false">
      <c r="A46" s="70" t="s">
        <v>1476</v>
      </c>
      <c r="B46" s="71" t="s">
        <v>1466</v>
      </c>
      <c r="C46" s="72" t="s">
        <v>1467</v>
      </c>
      <c r="D46" s="71" t="s">
        <v>1477</v>
      </c>
      <c r="E46" s="71" t="s">
        <v>1080</v>
      </c>
      <c r="F46" s="71" t="s">
        <v>217</v>
      </c>
      <c r="G46" s="73" t="s">
        <v>218</v>
      </c>
      <c r="H46" s="74" t="n">
        <f aca="false">ROUND(12.2*MS_KG,2)</f>
        <v>43.92</v>
      </c>
      <c r="I46" s="75" t="n">
        <v>0.07</v>
      </c>
      <c r="J46" s="76" t="n">
        <f aca="false">IF(H46="","",ROUND(H46*(1+I46),2))</f>
        <v>46.99</v>
      </c>
      <c r="K46" s="76" t="n">
        <f aca="false">IF(J46="","",ROUND(J46*(1+OHP),2))</f>
        <v>56.39</v>
      </c>
      <c r="L46" s="76" t="n">
        <f aca="false">IF(K46="","",ROUND(K46*(1+VAT),2))</f>
        <v>59.21</v>
      </c>
      <c r="M46" s="73" t="s">
        <v>89</v>
      </c>
      <c r="N46" s="71"/>
      <c r="O46" s="73"/>
      <c r="P46" s="77"/>
      <c r="Q46" s="71"/>
      <c r="R46" s="78" t="s">
        <v>1478</v>
      </c>
    </row>
    <row r="47" customFormat="false" ht="15" hidden="false" customHeight="false" outlineLevel="0" collapsed="false">
      <c r="A47" s="70" t="s">
        <v>1479</v>
      </c>
      <c r="B47" s="71" t="s">
        <v>1480</v>
      </c>
      <c r="C47" s="72" t="s">
        <v>1481</v>
      </c>
      <c r="D47" s="71" t="s">
        <v>1482</v>
      </c>
      <c r="E47" s="71" t="s">
        <v>1080</v>
      </c>
      <c r="F47" s="71" t="s">
        <v>217</v>
      </c>
      <c r="G47" s="73" t="s">
        <v>378</v>
      </c>
      <c r="H47" s="74" t="n">
        <f aca="false">ROUND(23.55*MS_PLATE,2)</f>
        <v>80.07</v>
      </c>
      <c r="I47" s="75" t="n">
        <v>0.07</v>
      </c>
      <c r="J47" s="76" t="n">
        <f aca="false">IF(H47="","",ROUND(H47*(1+I47),2))</f>
        <v>85.67</v>
      </c>
      <c r="K47" s="76" t="n">
        <f aca="false">IF(J47="","",ROUND(J47*(1+OHP),2))</f>
        <v>102.8</v>
      </c>
      <c r="L47" s="76" t="n">
        <f aca="false">IF(K47="","",ROUND(K47*(1+VAT),2))</f>
        <v>107.94</v>
      </c>
      <c r="M47" s="73" t="s">
        <v>89</v>
      </c>
      <c r="N47" s="71"/>
      <c r="O47" s="73"/>
      <c r="P47" s="77"/>
      <c r="Q47" s="71"/>
      <c r="R47" s="78" t="s">
        <v>1483</v>
      </c>
    </row>
    <row r="48" customFormat="false" ht="15" hidden="false" customHeight="false" outlineLevel="0" collapsed="false">
      <c r="A48" s="70" t="s">
        <v>1484</v>
      </c>
      <c r="B48" s="71" t="s">
        <v>1480</v>
      </c>
      <c r="C48" s="72" t="s">
        <v>1481</v>
      </c>
      <c r="D48" s="71" t="s">
        <v>1485</v>
      </c>
      <c r="E48" s="71" t="s">
        <v>1080</v>
      </c>
      <c r="F48" s="71" t="s">
        <v>217</v>
      </c>
      <c r="G48" s="73" t="s">
        <v>378</v>
      </c>
      <c r="H48" s="74" t="n">
        <f aca="false">ROUND(39.25*MS_PLATE,2)</f>
        <v>133.45</v>
      </c>
      <c r="I48" s="75" t="n">
        <v>0.07</v>
      </c>
      <c r="J48" s="76" t="n">
        <f aca="false">IF(H48="","",ROUND(H48*(1+I48),2))</f>
        <v>142.79</v>
      </c>
      <c r="K48" s="76" t="n">
        <f aca="false">IF(J48="","",ROUND(J48*(1+OHP),2))</f>
        <v>171.35</v>
      </c>
      <c r="L48" s="76" t="n">
        <f aca="false">IF(K48="","",ROUND(K48*(1+VAT),2))</f>
        <v>179.92</v>
      </c>
      <c r="M48" s="73" t="s">
        <v>89</v>
      </c>
      <c r="N48" s="71"/>
      <c r="O48" s="73"/>
      <c r="P48" s="77"/>
      <c r="Q48" s="71"/>
      <c r="R48" s="78" t="s">
        <v>1486</v>
      </c>
    </row>
    <row r="49" customFormat="false" ht="15" hidden="false" customHeight="false" outlineLevel="0" collapsed="false">
      <c r="A49" s="70" t="s">
        <v>1487</v>
      </c>
      <c r="B49" s="71" t="s">
        <v>1480</v>
      </c>
      <c r="C49" s="72" t="s">
        <v>1481</v>
      </c>
      <c r="D49" s="71" t="s">
        <v>1488</v>
      </c>
      <c r="E49" s="71" t="s">
        <v>1080</v>
      </c>
      <c r="F49" s="71" t="s">
        <v>217</v>
      </c>
      <c r="G49" s="73" t="s">
        <v>378</v>
      </c>
      <c r="H49" s="74" t="n">
        <f aca="false">ROUND(47.1*MS_PLATE,2)</f>
        <v>160.14</v>
      </c>
      <c r="I49" s="75" t="n">
        <v>0.07</v>
      </c>
      <c r="J49" s="76" t="n">
        <f aca="false">IF(H49="","",ROUND(H49*(1+I49),2))</f>
        <v>171.35</v>
      </c>
      <c r="K49" s="76" t="n">
        <f aca="false">IF(J49="","",ROUND(J49*(1+OHP),2))</f>
        <v>205.62</v>
      </c>
      <c r="L49" s="76" t="n">
        <f aca="false">IF(K49="","",ROUND(K49*(1+VAT),2))</f>
        <v>215.9</v>
      </c>
      <c r="M49" s="73" t="s">
        <v>89</v>
      </c>
      <c r="N49" s="71"/>
      <c r="O49" s="73"/>
      <c r="P49" s="77"/>
      <c r="Q49" s="71"/>
      <c r="R49" s="78" t="s">
        <v>1489</v>
      </c>
    </row>
    <row r="50" customFormat="false" ht="15" hidden="false" customHeight="false" outlineLevel="0" collapsed="false">
      <c r="A50" s="70" t="s">
        <v>1490</v>
      </c>
      <c r="B50" s="71" t="s">
        <v>1480</v>
      </c>
      <c r="C50" s="72" t="s">
        <v>1481</v>
      </c>
      <c r="D50" s="71" t="s">
        <v>1491</v>
      </c>
      <c r="E50" s="71" t="s">
        <v>1080</v>
      </c>
      <c r="F50" s="71" t="s">
        <v>217</v>
      </c>
      <c r="G50" s="73" t="s">
        <v>378</v>
      </c>
      <c r="H50" s="74" t="n">
        <f aca="false">ROUND(62.8*MS_PLATE,2)</f>
        <v>213.52</v>
      </c>
      <c r="I50" s="75" t="n">
        <v>0.07</v>
      </c>
      <c r="J50" s="76" t="n">
        <f aca="false">IF(H50="","",ROUND(H50*(1+I50),2))</f>
        <v>228.47</v>
      </c>
      <c r="K50" s="76" t="n">
        <f aca="false">IF(J50="","",ROUND(J50*(1+OHP),2))</f>
        <v>274.16</v>
      </c>
      <c r="L50" s="76" t="n">
        <f aca="false">IF(K50="","",ROUND(K50*(1+VAT),2))</f>
        <v>287.87</v>
      </c>
      <c r="M50" s="73" t="s">
        <v>89</v>
      </c>
      <c r="N50" s="71"/>
      <c r="O50" s="73"/>
      <c r="P50" s="77"/>
      <c r="Q50" s="71"/>
      <c r="R50" s="78" t="s">
        <v>1492</v>
      </c>
    </row>
    <row r="51" customFormat="false" ht="15" hidden="false" customHeight="false" outlineLevel="0" collapsed="false">
      <c r="A51" s="70" t="s">
        <v>1493</v>
      </c>
      <c r="B51" s="71" t="s">
        <v>1480</v>
      </c>
      <c r="C51" s="72" t="s">
        <v>1481</v>
      </c>
      <c r="D51" s="71" t="s">
        <v>1494</v>
      </c>
      <c r="E51" s="71" t="s">
        <v>1080</v>
      </c>
      <c r="F51" s="71" t="s">
        <v>217</v>
      </c>
      <c r="G51" s="73" t="s">
        <v>378</v>
      </c>
      <c r="H51" s="74" t="n">
        <f aca="false">ROUND(78.5*MS_PLATE,2)</f>
        <v>266.9</v>
      </c>
      <c r="I51" s="75" t="n">
        <v>0.07</v>
      </c>
      <c r="J51" s="76" t="n">
        <f aca="false">IF(H51="","",ROUND(H51*(1+I51),2))</f>
        <v>285.58</v>
      </c>
      <c r="K51" s="76" t="n">
        <f aca="false">IF(J51="","",ROUND(J51*(1+OHP),2))</f>
        <v>342.7</v>
      </c>
      <c r="L51" s="76" t="n">
        <f aca="false">IF(K51="","",ROUND(K51*(1+VAT),2))</f>
        <v>359.84</v>
      </c>
      <c r="M51" s="73" t="s">
        <v>89</v>
      </c>
      <c r="N51" s="71"/>
      <c r="O51" s="73"/>
      <c r="P51" s="77"/>
      <c r="Q51" s="71"/>
      <c r="R51" s="78" t="s">
        <v>1495</v>
      </c>
    </row>
    <row r="52" customFormat="false" ht="15" hidden="false" customHeight="false" outlineLevel="0" collapsed="false">
      <c r="A52" s="70" t="s">
        <v>1496</v>
      </c>
      <c r="B52" s="71" t="s">
        <v>1480</v>
      </c>
      <c r="C52" s="72" t="s">
        <v>1481</v>
      </c>
      <c r="D52" s="71" t="s">
        <v>1497</v>
      </c>
      <c r="E52" s="71" t="s">
        <v>1080</v>
      </c>
      <c r="F52" s="71" t="s">
        <v>217</v>
      </c>
      <c r="G52" s="73" t="s">
        <v>378</v>
      </c>
      <c r="H52" s="74" t="n">
        <f aca="false">ROUND(94.2*MS_PLATE,2)</f>
        <v>320.28</v>
      </c>
      <c r="I52" s="75" t="n">
        <v>0.07</v>
      </c>
      <c r="J52" s="76" t="n">
        <f aca="false">IF(H52="","",ROUND(H52*(1+I52),2))</f>
        <v>342.7</v>
      </c>
      <c r="K52" s="76" t="n">
        <f aca="false">IF(J52="","",ROUND(J52*(1+OHP),2))</f>
        <v>411.24</v>
      </c>
      <c r="L52" s="76" t="n">
        <f aca="false">IF(K52="","",ROUND(K52*(1+VAT),2))</f>
        <v>431.8</v>
      </c>
      <c r="M52" s="73" t="s">
        <v>89</v>
      </c>
      <c r="N52" s="71"/>
      <c r="O52" s="73"/>
      <c r="P52" s="77"/>
      <c r="Q52" s="71"/>
      <c r="R52" s="78" t="s">
        <v>1454</v>
      </c>
    </row>
    <row r="53" customFormat="false" ht="15" hidden="false" customHeight="false" outlineLevel="0" collapsed="false">
      <c r="A53" s="70" t="s">
        <v>1498</v>
      </c>
      <c r="B53" s="71" t="s">
        <v>1480</v>
      </c>
      <c r="C53" s="72" t="s">
        <v>1481</v>
      </c>
      <c r="D53" s="71" t="s">
        <v>1499</v>
      </c>
      <c r="E53" s="71" t="s">
        <v>1080</v>
      </c>
      <c r="F53" s="71" t="s">
        <v>217</v>
      </c>
      <c r="G53" s="73" t="s">
        <v>378</v>
      </c>
      <c r="H53" s="74" t="n">
        <f aca="false">ROUND(125.6*MS_PLATE,2)</f>
        <v>427.04</v>
      </c>
      <c r="I53" s="75" t="n">
        <v>0.07</v>
      </c>
      <c r="J53" s="76" t="n">
        <f aca="false">IF(H53="","",ROUND(H53*(1+I53),2))</f>
        <v>456.93</v>
      </c>
      <c r="K53" s="76" t="n">
        <f aca="false">IF(J53="","",ROUND(J53*(1+OHP),2))</f>
        <v>548.32</v>
      </c>
      <c r="L53" s="76" t="n">
        <f aca="false">IF(K53="","",ROUND(K53*(1+VAT),2))</f>
        <v>575.74</v>
      </c>
      <c r="M53" s="73" t="s">
        <v>89</v>
      </c>
      <c r="N53" s="71"/>
      <c r="O53" s="73"/>
      <c r="P53" s="77"/>
      <c r="Q53" s="71"/>
      <c r="R53" s="78" t="s">
        <v>1457</v>
      </c>
    </row>
    <row r="54" customFormat="false" ht="15" hidden="false" customHeight="false" outlineLevel="0" collapsed="false">
      <c r="A54" s="70" t="s">
        <v>1500</v>
      </c>
      <c r="B54" s="71" t="s">
        <v>1480</v>
      </c>
      <c r="C54" s="72" t="s">
        <v>1481</v>
      </c>
      <c r="D54" s="71" t="s">
        <v>1501</v>
      </c>
      <c r="E54" s="71" t="s">
        <v>1080</v>
      </c>
      <c r="F54" s="71" t="s">
        <v>217</v>
      </c>
      <c r="G54" s="73" t="s">
        <v>378</v>
      </c>
      <c r="H54" s="74" t="n">
        <f aca="false">ROUND(157*MS_PLATE,2)</f>
        <v>533.8</v>
      </c>
      <c r="I54" s="75" t="n">
        <v>0.07</v>
      </c>
      <c r="J54" s="76" t="n">
        <f aca="false">IF(H54="","",ROUND(H54*(1+I54),2))</f>
        <v>571.17</v>
      </c>
      <c r="K54" s="76" t="n">
        <f aca="false">IF(J54="","",ROUND(J54*(1+OHP),2))</f>
        <v>685.4</v>
      </c>
      <c r="L54" s="76" t="n">
        <f aca="false">IF(K54="","",ROUND(K54*(1+VAT),2))</f>
        <v>719.67</v>
      </c>
      <c r="M54" s="73" t="s">
        <v>89</v>
      </c>
      <c r="N54" s="71"/>
      <c r="O54" s="73"/>
      <c r="P54" s="77"/>
      <c r="Q54" s="71"/>
      <c r="R54" s="78" t="s">
        <v>1460</v>
      </c>
    </row>
    <row r="55" customFormat="false" ht="15" hidden="false" customHeight="false" outlineLevel="0" collapsed="false">
      <c r="A55" s="70" t="s">
        <v>1502</v>
      </c>
      <c r="B55" s="71" t="s">
        <v>1480</v>
      </c>
      <c r="C55" s="72" t="s">
        <v>1503</v>
      </c>
      <c r="D55" s="71" t="s">
        <v>1504</v>
      </c>
      <c r="E55" s="71" t="s">
        <v>1080</v>
      </c>
      <c r="F55" s="71" t="s">
        <v>217</v>
      </c>
      <c r="G55" s="73" t="s">
        <v>378</v>
      </c>
      <c r="H55" s="74" t="n">
        <f aca="false">ROUND(39.5*MS_PLATE,2)</f>
        <v>134.3</v>
      </c>
      <c r="I55" s="75" t="n">
        <v>0.07</v>
      </c>
      <c r="J55" s="76" t="n">
        <f aca="false">IF(H55="","",ROUND(H55*(1+I55),2))</f>
        <v>143.7</v>
      </c>
      <c r="K55" s="76" t="n">
        <f aca="false">IF(J55="","",ROUND(J55*(1+OHP),2))</f>
        <v>172.44</v>
      </c>
      <c r="L55" s="76" t="n">
        <f aca="false">IF(K55="","",ROUND(K55*(1+VAT),2))</f>
        <v>181.06</v>
      </c>
      <c r="M55" s="73" t="s">
        <v>89</v>
      </c>
      <c r="N55" s="71"/>
      <c r="O55" s="73"/>
      <c r="P55" s="77"/>
      <c r="Q55" s="71"/>
      <c r="R55" s="78" t="s">
        <v>1505</v>
      </c>
    </row>
    <row r="56" customFormat="false" ht="15" hidden="false" customHeight="false" outlineLevel="0" collapsed="false">
      <c r="A56" s="70" t="s">
        <v>1506</v>
      </c>
      <c r="B56" s="71" t="s">
        <v>1507</v>
      </c>
      <c r="C56" s="72" t="s">
        <v>1508</v>
      </c>
      <c r="D56" s="71" t="s">
        <v>1509</v>
      </c>
      <c r="E56" s="71" t="s">
        <v>1080</v>
      </c>
      <c r="F56" s="71" t="s">
        <v>217</v>
      </c>
      <c r="G56" s="73" t="s">
        <v>378</v>
      </c>
      <c r="H56" s="74" t="n">
        <f aca="false">ROUND(11.78*MS_PLATE,2)</f>
        <v>40.05</v>
      </c>
      <c r="I56" s="75" t="n">
        <v>0.07</v>
      </c>
      <c r="J56" s="76" t="n">
        <f aca="false">IF(H56="","",ROUND(H56*(1+I56),2))</f>
        <v>42.85</v>
      </c>
      <c r="K56" s="76" t="n">
        <f aca="false">IF(J56="","",ROUND(J56*(1+OHP),2))</f>
        <v>51.42</v>
      </c>
      <c r="L56" s="76" t="n">
        <f aca="false">IF(K56="","",ROUND(K56*(1+VAT),2))</f>
        <v>53.99</v>
      </c>
      <c r="M56" s="73" t="s">
        <v>89</v>
      </c>
      <c r="N56" s="71"/>
      <c r="O56" s="73"/>
      <c r="P56" s="77"/>
      <c r="Q56" s="71"/>
      <c r="R56" s="78" t="s">
        <v>1510</v>
      </c>
    </row>
    <row r="57" customFormat="false" ht="15" hidden="false" customHeight="false" outlineLevel="0" collapsed="false">
      <c r="A57" s="70" t="s">
        <v>1511</v>
      </c>
      <c r="B57" s="71" t="s">
        <v>1507</v>
      </c>
      <c r="C57" s="72" t="s">
        <v>1508</v>
      </c>
      <c r="D57" s="71" t="s">
        <v>1512</v>
      </c>
      <c r="E57" s="71" t="s">
        <v>1080</v>
      </c>
      <c r="F57" s="71" t="s">
        <v>217</v>
      </c>
      <c r="G57" s="73" t="s">
        <v>378</v>
      </c>
      <c r="H57" s="74" t="n">
        <f aca="false">ROUND(15.7*MS_PLATE,2)</f>
        <v>53.38</v>
      </c>
      <c r="I57" s="75" t="n">
        <v>0.07</v>
      </c>
      <c r="J57" s="76" t="n">
        <f aca="false">IF(H57="","",ROUND(H57*(1+I57),2))</f>
        <v>57.12</v>
      </c>
      <c r="K57" s="76" t="n">
        <f aca="false">IF(J57="","",ROUND(J57*(1+OHP),2))</f>
        <v>68.54</v>
      </c>
      <c r="L57" s="76" t="n">
        <f aca="false">IF(K57="","",ROUND(K57*(1+VAT),2))</f>
        <v>71.97</v>
      </c>
      <c r="M57" s="73" t="s">
        <v>89</v>
      </c>
      <c r="N57" s="71"/>
      <c r="O57" s="73"/>
      <c r="P57" s="77"/>
      <c r="Q57" s="71"/>
      <c r="R57" s="78" t="s">
        <v>1513</v>
      </c>
    </row>
    <row r="58" customFormat="false" ht="15" hidden="false" customHeight="false" outlineLevel="0" collapsed="false">
      <c r="A58" s="70" t="s">
        <v>1514</v>
      </c>
      <c r="B58" s="71" t="s">
        <v>1507</v>
      </c>
      <c r="C58" s="72" t="s">
        <v>1515</v>
      </c>
      <c r="D58" s="71" t="s">
        <v>1516</v>
      </c>
      <c r="E58" s="71" t="s">
        <v>1310</v>
      </c>
      <c r="F58" s="71" t="s">
        <v>217</v>
      </c>
      <c r="G58" s="73" t="s">
        <v>378</v>
      </c>
      <c r="H58" s="74" t="n">
        <f aca="false">ROUND(6.28*GI_KG,2)</f>
        <v>26.38</v>
      </c>
      <c r="I58" s="75" t="n">
        <v>0.07</v>
      </c>
      <c r="J58" s="76" t="n">
        <f aca="false">IF(H58="","",ROUND(H58*(1+I58),2))</f>
        <v>28.23</v>
      </c>
      <c r="K58" s="76" t="n">
        <f aca="false">IF(J58="","",ROUND(J58*(1+OHP),2))</f>
        <v>33.88</v>
      </c>
      <c r="L58" s="76" t="n">
        <f aca="false">IF(K58="","",ROUND(K58*(1+VAT),2))</f>
        <v>35.57</v>
      </c>
      <c r="M58" s="73" t="s">
        <v>89</v>
      </c>
      <c r="N58" s="71"/>
      <c r="O58" s="73"/>
      <c r="P58" s="77"/>
      <c r="Q58" s="71"/>
      <c r="R58" s="78" t="s">
        <v>1517</v>
      </c>
    </row>
    <row r="59" customFormat="false" ht="15" hidden="false" customHeight="false" outlineLevel="0" collapsed="false">
      <c r="A59" s="70" t="s">
        <v>1518</v>
      </c>
      <c r="B59" s="71" t="s">
        <v>1507</v>
      </c>
      <c r="C59" s="72" t="s">
        <v>1515</v>
      </c>
      <c r="D59" s="71" t="s">
        <v>1519</v>
      </c>
      <c r="E59" s="71" t="s">
        <v>1310</v>
      </c>
      <c r="F59" s="71" t="s">
        <v>217</v>
      </c>
      <c r="G59" s="73" t="s">
        <v>378</v>
      </c>
      <c r="H59" s="74" t="n">
        <f aca="false">ROUND(9.42*GI_KG,2)</f>
        <v>39.56</v>
      </c>
      <c r="I59" s="75" t="n">
        <v>0.07</v>
      </c>
      <c r="J59" s="76" t="n">
        <f aca="false">IF(H59="","",ROUND(H59*(1+I59),2))</f>
        <v>42.33</v>
      </c>
      <c r="K59" s="76" t="n">
        <f aca="false">IF(J59="","",ROUND(J59*(1+OHP),2))</f>
        <v>50.8</v>
      </c>
      <c r="L59" s="76" t="n">
        <f aca="false">IF(K59="","",ROUND(K59*(1+VAT),2))</f>
        <v>53.34</v>
      </c>
      <c r="M59" s="73" t="s">
        <v>89</v>
      </c>
      <c r="N59" s="71"/>
      <c r="O59" s="73"/>
      <c r="P59" s="77"/>
      <c r="Q59" s="71"/>
      <c r="R59" s="78" t="s">
        <v>1520</v>
      </c>
    </row>
    <row r="60" customFormat="false" ht="15" hidden="false" customHeight="false" outlineLevel="0" collapsed="false">
      <c r="A60" s="70" t="s">
        <v>1521</v>
      </c>
      <c r="B60" s="71" t="s">
        <v>1507</v>
      </c>
      <c r="C60" s="72" t="s">
        <v>1515</v>
      </c>
      <c r="D60" s="71" t="s">
        <v>1509</v>
      </c>
      <c r="E60" s="71" t="s">
        <v>1310</v>
      </c>
      <c r="F60" s="71" t="s">
        <v>217</v>
      </c>
      <c r="G60" s="73" t="s">
        <v>378</v>
      </c>
      <c r="H60" s="74" t="n">
        <f aca="false">ROUND(11.78*GI_KG,2)</f>
        <v>49.48</v>
      </c>
      <c r="I60" s="75" t="n">
        <v>0.07</v>
      </c>
      <c r="J60" s="76" t="n">
        <f aca="false">IF(H60="","",ROUND(H60*(1+I60),2))</f>
        <v>52.94</v>
      </c>
      <c r="K60" s="76" t="n">
        <f aca="false">IF(J60="","",ROUND(J60*(1+OHP),2))</f>
        <v>63.53</v>
      </c>
      <c r="L60" s="76" t="n">
        <f aca="false">IF(K60="","",ROUND(K60*(1+VAT),2))</f>
        <v>66.71</v>
      </c>
      <c r="M60" s="73" t="s">
        <v>89</v>
      </c>
      <c r="N60" s="71"/>
      <c r="O60" s="73"/>
      <c r="P60" s="77"/>
      <c r="Q60" s="71"/>
      <c r="R60" s="78" t="s">
        <v>1522</v>
      </c>
    </row>
    <row r="61" customFormat="false" ht="15" hidden="false" customHeight="false" outlineLevel="0" collapsed="false">
      <c r="A61" s="70" t="s">
        <v>1523</v>
      </c>
      <c r="B61" s="71" t="s">
        <v>1507</v>
      </c>
      <c r="C61" s="72" t="s">
        <v>1515</v>
      </c>
      <c r="D61" s="71" t="s">
        <v>1512</v>
      </c>
      <c r="E61" s="71" t="s">
        <v>1310</v>
      </c>
      <c r="F61" s="71" t="s">
        <v>217</v>
      </c>
      <c r="G61" s="73" t="s">
        <v>378</v>
      </c>
      <c r="H61" s="74" t="n">
        <f aca="false">ROUND(15.7*GI_KG,2)</f>
        <v>65.94</v>
      </c>
      <c r="I61" s="75" t="n">
        <v>0.07</v>
      </c>
      <c r="J61" s="76" t="n">
        <f aca="false">IF(H61="","",ROUND(H61*(1+I61),2))</f>
        <v>70.56</v>
      </c>
      <c r="K61" s="76" t="n">
        <f aca="false">IF(J61="","",ROUND(J61*(1+OHP),2))</f>
        <v>84.67</v>
      </c>
      <c r="L61" s="76" t="n">
        <f aca="false">IF(K61="","",ROUND(K61*(1+VAT),2))</f>
        <v>88.9</v>
      </c>
      <c r="M61" s="73" t="s">
        <v>89</v>
      </c>
      <c r="N61" s="71"/>
      <c r="O61" s="73"/>
      <c r="P61" s="77"/>
      <c r="Q61" s="71"/>
      <c r="R61" s="78" t="s">
        <v>1524</v>
      </c>
    </row>
    <row r="62" customFormat="false" ht="15" hidden="false" customHeight="false" outlineLevel="0" collapsed="false">
      <c r="A62" s="70" t="s">
        <v>1525</v>
      </c>
      <c r="B62" s="71" t="s">
        <v>1507</v>
      </c>
      <c r="C62" s="72" t="s">
        <v>1526</v>
      </c>
      <c r="D62" s="71" t="s">
        <v>1284</v>
      </c>
      <c r="E62" s="71" t="s">
        <v>1080</v>
      </c>
      <c r="F62" s="71" t="s">
        <v>217</v>
      </c>
      <c r="G62" s="73" t="s">
        <v>378</v>
      </c>
      <c r="H62" s="79" t="n">
        <v>95</v>
      </c>
      <c r="I62" s="75" t="n">
        <v>0.07</v>
      </c>
      <c r="J62" s="76" t="n">
        <f aca="false">IF(H62="","",ROUND(H62*(1+I62),2))</f>
        <v>101.65</v>
      </c>
      <c r="K62" s="76" t="n">
        <f aca="false">IF(J62="","",ROUND(J62*(1+OHP),2))</f>
        <v>121.98</v>
      </c>
      <c r="L62" s="76" t="n">
        <f aca="false">IF(K62="","",ROUND(K62*(1+VAT),2))</f>
        <v>128.08</v>
      </c>
      <c r="M62" s="73" t="s">
        <v>89</v>
      </c>
      <c r="N62" s="71"/>
      <c r="O62" s="73"/>
      <c r="P62" s="77"/>
      <c r="Q62" s="71"/>
      <c r="R62" s="78" t="s">
        <v>1513</v>
      </c>
    </row>
    <row r="63" customFormat="false" ht="15" hidden="false" customHeight="false" outlineLevel="0" collapsed="false">
      <c r="A63" s="70" t="s">
        <v>1527</v>
      </c>
      <c r="B63" s="71" t="s">
        <v>1507</v>
      </c>
      <c r="C63" s="72" t="s">
        <v>1528</v>
      </c>
      <c r="D63" s="71" t="s">
        <v>1529</v>
      </c>
      <c r="E63" s="71" t="s">
        <v>1530</v>
      </c>
      <c r="F63" s="71" t="s">
        <v>217</v>
      </c>
      <c r="G63" s="73" t="s">
        <v>378</v>
      </c>
      <c r="H63" s="79" t="n">
        <v>65</v>
      </c>
      <c r="I63" s="75" t="n">
        <v>0.07</v>
      </c>
      <c r="J63" s="76" t="n">
        <f aca="false">IF(H63="","",ROUND(H63*(1+I63),2))</f>
        <v>69.55</v>
      </c>
      <c r="K63" s="76" t="n">
        <f aca="false">IF(J63="","",ROUND(J63*(1+OHP),2))</f>
        <v>83.46</v>
      </c>
      <c r="L63" s="76" t="n">
        <f aca="false">IF(K63="","",ROUND(K63*(1+VAT),2))</f>
        <v>87.63</v>
      </c>
      <c r="M63" s="73" t="s">
        <v>89</v>
      </c>
      <c r="N63" s="71"/>
      <c r="O63" s="73"/>
      <c r="P63" s="77"/>
      <c r="Q63" s="71"/>
      <c r="R63" s="78" t="s">
        <v>1531</v>
      </c>
    </row>
    <row r="64" customFormat="false" ht="15" hidden="false" customHeight="false" outlineLevel="0" collapsed="false">
      <c r="A64" s="70" t="s">
        <v>1532</v>
      </c>
      <c r="B64" s="71" t="s">
        <v>1533</v>
      </c>
      <c r="C64" s="72" t="s">
        <v>1534</v>
      </c>
      <c r="D64" s="71" t="s">
        <v>1535</v>
      </c>
      <c r="E64" s="71" t="s">
        <v>1223</v>
      </c>
      <c r="F64" s="71" t="s">
        <v>217</v>
      </c>
      <c r="G64" s="73" t="s">
        <v>378</v>
      </c>
      <c r="H64" s="79" t="n">
        <v>180</v>
      </c>
      <c r="I64" s="75" t="n">
        <v>0.07</v>
      </c>
      <c r="J64" s="76" t="n">
        <f aca="false">IF(H64="","",ROUND(H64*(1+I64),2))</f>
        <v>192.6</v>
      </c>
      <c r="K64" s="76" t="n">
        <f aca="false">IF(J64="","",ROUND(J64*(1+OHP),2))</f>
        <v>231.12</v>
      </c>
      <c r="L64" s="76" t="n">
        <f aca="false">IF(K64="","",ROUND(K64*(1+VAT),2))</f>
        <v>242.68</v>
      </c>
      <c r="M64" s="73" t="s">
        <v>89</v>
      </c>
      <c r="N64" s="71"/>
      <c r="O64" s="73"/>
      <c r="P64" s="77"/>
      <c r="Q64" s="71"/>
      <c r="R64" s="78" t="s">
        <v>1536</v>
      </c>
    </row>
    <row r="65" customFormat="false" ht="19.4" hidden="false" customHeight="false" outlineLevel="0" collapsed="false">
      <c r="A65" s="70" t="s">
        <v>1537</v>
      </c>
      <c r="B65" s="71" t="s">
        <v>1533</v>
      </c>
      <c r="C65" s="72" t="s">
        <v>1538</v>
      </c>
      <c r="D65" s="71" t="s">
        <v>1539</v>
      </c>
      <c r="E65" s="71" t="s">
        <v>1540</v>
      </c>
      <c r="F65" s="71" t="s">
        <v>1224</v>
      </c>
      <c r="G65" s="73" t="s">
        <v>622</v>
      </c>
      <c r="H65" s="79" t="n">
        <v>25</v>
      </c>
      <c r="I65" s="75" t="n">
        <v>0.07</v>
      </c>
      <c r="J65" s="76" t="n">
        <f aca="false">IF(H65="","",ROUND(H65*(1+I65),2))</f>
        <v>26.75</v>
      </c>
      <c r="K65" s="76" t="n">
        <f aca="false">IF(J65="","",ROUND(J65*(1+OHP),2))</f>
        <v>32.1</v>
      </c>
      <c r="L65" s="76" t="n">
        <f aca="false">IF(K65="","",ROUND(K65*(1+VAT),2))</f>
        <v>33.71</v>
      </c>
      <c r="M65" s="73" t="s">
        <v>89</v>
      </c>
      <c r="N65" s="71"/>
      <c r="O65" s="73"/>
      <c r="P65" s="77"/>
      <c r="Q65" s="71"/>
      <c r="R65" s="78" t="s">
        <v>1541</v>
      </c>
    </row>
    <row r="66" customFormat="false" ht="15" hidden="false" customHeight="false" outlineLevel="0" collapsed="false">
      <c r="A66" s="70" t="s">
        <v>1542</v>
      </c>
      <c r="B66" s="71" t="s">
        <v>1533</v>
      </c>
      <c r="C66" s="72" t="s">
        <v>1543</v>
      </c>
      <c r="D66" s="71" t="s">
        <v>1544</v>
      </c>
      <c r="E66" s="71" t="s">
        <v>1223</v>
      </c>
      <c r="F66" s="71" t="s">
        <v>1224</v>
      </c>
      <c r="G66" s="73" t="s">
        <v>622</v>
      </c>
      <c r="H66" s="79" t="n">
        <v>40</v>
      </c>
      <c r="I66" s="75" t="n">
        <v>0.07</v>
      </c>
      <c r="J66" s="76" t="n">
        <f aca="false">IF(H66="","",ROUND(H66*(1+I66),2))</f>
        <v>42.8</v>
      </c>
      <c r="K66" s="76" t="n">
        <f aca="false">IF(J66="","",ROUND(J66*(1+OHP),2))</f>
        <v>51.36</v>
      </c>
      <c r="L66" s="76" t="n">
        <f aca="false">IF(K66="","",ROUND(K66*(1+VAT),2))</f>
        <v>53.93</v>
      </c>
      <c r="M66" s="73" t="s">
        <v>89</v>
      </c>
      <c r="N66" s="71"/>
      <c r="O66" s="73"/>
      <c r="P66" s="77"/>
      <c r="Q66" s="71"/>
      <c r="R66" s="78" t="s">
        <v>1545</v>
      </c>
    </row>
    <row r="67" customFormat="false" ht="15" hidden="false" customHeight="false" outlineLevel="0" collapsed="false">
      <c r="A67" s="70" t="s">
        <v>1546</v>
      </c>
      <c r="B67" s="71" t="s">
        <v>1533</v>
      </c>
      <c r="C67" s="72" t="s">
        <v>1547</v>
      </c>
      <c r="D67" s="71" t="s">
        <v>742</v>
      </c>
      <c r="E67" s="71" t="s">
        <v>1080</v>
      </c>
      <c r="F67" s="71" t="s">
        <v>1224</v>
      </c>
      <c r="G67" s="73" t="s">
        <v>218</v>
      </c>
      <c r="H67" s="79" t="n">
        <v>85</v>
      </c>
      <c r="I67" s="75" t="n">
        <v>0.07</v>
      </c>
      <c r="J67" s="76" t="n">
        <f aca="false">IF(H67="","",ROUND(H67*(1+I67),2))</f>
        <v>90.95</v>
      </c>
      <c r="K67" s="76" t="n">
        <f aca="false">IF(J67="","",ROUND(J67*(1+OHP),2))</f>
        <v>109.14</v>
      </c>
      <c r="L67" s="76" t="n">
        <f aca="false">IF(K67="","",ROUND(K67*(1+VAT),2))</f>
        <v>114.6</v>
      </c>
      <c r="M67" s="73" t="s">
        <v>89</v>
      </c>
      <c r="N67" s="71"/>
      <c r="O67" s="73"/>
      <c r="P67" s="77"/>
      <c r="Q67" s="71"/>
      <c r="R67" s="78" t="s">
        <v>1548</v>
      </c>
    </row>
    <row r="68" customFormat="false" ht="15" hidden="false" customHeight="false" outlineLevel="0" collapsed="false">
      <c r="A68" s="80" t="str">
        <f aca="false">IF(C68="","","MS-"&amp;TEXT(ROW()-4,"000"))</f>
        <v/>
      </c>
      <c r="B68" s="81"/>
      <c r="C68" s="81"/>
      <c r="D68" s="81"/>
      <c r="E68" s="81"/>
      <c r="F68" s="81"/>
      <c r="G68" s="82"/>
      <c r="H68" s="83"/>
      <c r="I68" s="84"/>
      <c r="J68" s="85" t="str">
        <f aca="false">IF(H68="","",ROUND(H68*(1+I68),2))</f>
        <v/>
      </c>
      <c r="K68" s="85" t="str">
        <f aca="false">IF(J68="","",ROUND(J68*(1+OHP),2))</f>
        <v/>
      </c>
      <c r="L68" s="85" t="str">
        <f aca="false">IF(K68="","",ROUND(K68*(1+VAT),2))</f>
        <v/>
      </c>
      <c r="M68" s="82"/>
      <c r="N68" s="81"/>
      <c r="O68" s="82"/>
      <c r="P68" s="86"/>
      <c r="Q68" s="81"/>
      <c r="R68" s="87"/>
    </row>
    <row r="69" customFormat="false" ht="15" hidden="false" customHeight="false" outlineLevel="0" collapsed="false">
      <c r="A69" s="80" t="str">
        <f aca="false">IF(C69="","","MS-"&amp;TEXT(ROW()-4,"000"))</f>
        <v/>
      </c>
      <c r="B69" s="81"/>
      <c r="C69" s="81"/>
      <c r="D69" s="81"/>
      <c r="E69" s="81"/>
      <c r="F69" s="81"/>
      <c r="G69" s="82"/>
      <c r="H69" s="83"/>
      <c r="I69" s="84"/>
      <c r="J69" s="85" t="str">
        <f aca="false">IF(H69="","",ROUND(H69*(1+I69),2))</f>
        <v/>
      </c>
      <c r="K69" s="85" t="str">
        <f aca="false">IF(J69="","",ROUND(J69*(1+OHP),2))</f>
        <v/>
      </c>
      <c r="L69" s="85" t="str">
        <f aca="false">IF(K69="","",ROUND(K69*(1+VAT),2))</f>
        <v/>
      </c>
      <c r="M69" s="82"/>
      <c r="N69" s="81"/>
      <c r="O69" s="82"/>
      <c r="P69" s="86"/>
      <c r="Q69" s="81"/>
      <c r="R69" s="87"/>
    </row>
    <row r="70" customFormat="false" ht="15" hidden="false" customHeight="false" outlineLevel="0" collapsed="false">
      <c r="A70" s="80" t="str">
        <f aca="false">IF(C70="","","MS-"&amp;TEXT(ROW()-4,"000"))</f>
        <v/>
      </c>
      <c r="B70" s="81"/>
      <c r="C70" s="81"/>
      <c r="D70" s="81"/>
      <c r="E70" s="81"/>
      <c r="F70" s="81"/>
      <c r="G70" s="82"/>
      <c r="H70" s="83"/>
      <c r="I70" s="84"/>
      <c r="J70" s="85" t="str">
        <f aca="false">IF(H70="","",ROUND(H70*(1+I70),2))</f>
        <v/>
      </c>
      <c r="K70" s="85" t="str">
        <f aca="false">IF(J70="","",ROUND(J70*(1+OHP),2))</f>
        <v/>
      </c>
      <c r="L70" s="85" t="str">
        <f aca="false">IF(K70="","",ROUND(K70*(1+VAT),2))</f>
        <v/>
      </c>
      <c r="M70" s="82"/>
      <c r="N70" s="81"/>
      <c r="O70" s="82"/>
      <c r="P70" s="86"/>
      <c r="Q70" s="81"/>
      <c r="R70" s="87"/>
    </row>
    <row r="71" customFormat="false" ht="15" hidden="false" customHeight="false" outlineLevel="0" collapsed="false">
      <c r="A71" s="80" t="str">
        <f aca="false">IF(C71="","","MS-"&amp;TEXT(ROW()-4,"000"))</f>
        <v/>
      </c>
      <c r="B71" s="81"/>
      <c r="C71" s="81"/>
      <c r="D71" s="81"/>
      <c r="E71" s="81"/>
      <c r="F71" s="81"/>
      <c r="G71" s="82"/>
      <c r="H71" s="83"/>
      <c r="I71" s="84"/>
      <c r="J71" s="85" t="str">
        <f aca="false">IF(H71="","",ROUND(H71*(1+I71),2))</f>
        <v/>
      </c>
      <c r="K71" s="85" t="str">
        <f aca="false">IF(J71="","",ROUND(J71*(1+OHP),2))</f>
        <v/>
      </c>
      <c r="L71" s="85" t="str">
        <f aca="false">IF(K71="","",ROUND(K71*(1+VAT),2))</f>
        <v/>
      </c>
      <c r="M71" s="82"/>
      <c r="N71" s="81"/>
      <c r="O71" s="82"/>
      <c r="P71" s="86"/>
      <c r="Q71" s="81"/>
      <c r="R71" s="87"/>
    </row>
    <row r="72" customFormat="false" ht="15" hidden="false" customHeight="false" outlineLevel="0" collapsed="false">
      <c r="A72" s="80" t="str">
        <f aca="false">IF(C72="","","MS-"&amp;TEXT(ROW()-4,"000"))</f>
        <v/>
      </c>
      <c r="B72" s="81"/>
      <c r="C72" s="81"/>
      <c r="D72" s="81"/>
      <c r="E72" s="81"/>
      <c r="F72" s="81"/>
      <c r="G72" s="82"/>
      <c r="H72" s="83"/>
      <c r="I72" s="84"/>
      <c r="J72" s="85" t="str">
        <f aca="false">IF(H72="","",ROUND(H72*(1+I72),2))</f>
        <v/>
      </c>
      <c r="K72" s="85" t="str">
        <f aca="false">IF(J72="","",ROUND(J72*(1+OHP),2))</f>
        <v/>
      </c>
      <c r="L72" s="85" t="str">
        <f aca="false">IF(K72="","",ROUND(K72*(1+VAT),2))</f>
        <v/>
      </c>
      <c r="M72" s="82"/>
      <c r="N72" s="81"/>
      <c r="O72" s="82"/>
      <c r="P72" s="86"/>
      <c r="Q72" s="81"/>
      <c r="R72" s="87"/>
    </row>
    <row r="73" customFormat="false" ht="15" hidden="false" customHeight="false" outlineLevel="0" collapsed="false">
      <c r="A73" s="80" t="str">
        <f aca="false">IF(C73="","","MS-"&amp;TEXT(ROW()-4,"000"))</f>
        <v/>
      </c>
      <c r="B73" s="81"/>
      <c r="C73" s="81"/>
      <c r="D73" s="81"/>
      <c r="E73" s="81"/>
      <c r="F73" s="81"/>
      <c r="G73" s="82"/>
      <c r="H73" s="83"/>
      <c r="I73" s="84"/>
      <c r="J73" s="85" t="str">
        <f aca="false">IF(H73="","",ROUND(H73*(1+I73),2))</f>
        <v/>
      </c>
      <c r="K73" s="85" t="str">
        <f aca="false">IF(J73="","",ROUND(J73*(1+OHP),2))</f>
        <v/>
      </c>
      <c r="L73" s="85" t="str">
        <f aca="false">IF(K73="","",ROUND(K73*(1+VAT),2))</f>
        <v/>
      </c>
      <c r="M73" s="82"/>
      <c r="N73" s="81"/>
      <c r="O73" s="82"/>
      <c r="P73" s="86"/>
      <c r="Q73" s="81"/>
      <c r="R73" s="87"/>
    </row>
    <row r="74" customFormat="false" ht="15" hidden="false" customHeight="false" outlineLevel="0" collapsed="false">
      <c r="A74" s="80" t="str">
        <f aca="false">IF(C74="","","MS-"&amp;TEXT(ROW()-4,"000"))</f>
        <v/>
      </c>
      <c r="B74" s="81"/>
      <c r="C74" s="81"/>
      <c r="D74" s="81"/>
      <c r="E74" s="81"/>
      <c r="F74" s="81"/>
      <c r="G74" s="82"/>
      <c r="H74" s="83"/>
      <c r="I74" s="84"/>
      <c r="J74" s="85" t="str">
        <f aca="false">IF(H74="","",ROUND(H74*(1+I74),2))</f>
        <v/>
      </c>
      <c r="K74" s="85" t="str">
        <f aca="false">IF(J74="","",ROUND(J74*(1+OHP),2))</f>
        <v/>
      </c>
      <c r="L74" s="85" t="str">
        <f aca="false">IF(K74="","",ROUND(K74*(1+VAT),2))</f>
        <v/>
      </c>
      <c r="M74" s="82"/>
      <c r="N74" s="81"/>
      <c r="O74" s="82"/>
      <c r="P74" s="86"/>
      <c r="Q74" s="81"/>
      <c r="R74" s="87"/>
    </row>
    <row r="75" customFormat="false" ht="15" hidden="false" customHeight="false" outlineLevel="0" collapsed="false">
      <c r="A75" s="80" t="str">
        <f aca="false">IF(C75="","","MS-"&amp;TEXT(ROW()-4,"000"))</f>
        <v/>
      </c>
      <c r="B75" s="81"/>
      <c r="C75" s="81"/>
      <c r="D75" s="81"/>
      <c r="E75" s="81"/>
      <c r="F75" s="81"/>
      <c r="G75" s="82"/>
      <c r="H75" s="83"/>
      <c r="I75" s="84"/>
      <c r="J75" s="85" t="str">
        <f aca="false">IF(H75="","",ROUND(H75*(1+I75),2))</f>
        <v/>
      </c>
      <c r="K75" s="85" t="str">
        <f aca="false">IF(J75="","",ROUND(J75*(1+OHP),2))</f>
        <v/>
      </c>
      <c r="L75" s="85" t="str">
        <f aca="false">IF(K75="","",ROUND(K75*(1+VAT),2))</f>
        <v/>
      </c>
      <c r="M75" s="82"/>
      <c r="N75" s="81"/>
      <c r="O75" s="82"/>
      <c r="P75" s="86"/>
      <c r="Q75" s="81"/>
      <c r="R75" s="87"/>
    </row>
    <row r="76" customFormat="false" ht="15" hidden="false" customHeight="false" outlineLevel="0" collapsed="false">
      <c r="A76" s="80" t="str">
        <f aca="false">IF(C76="","","MS-"&amp;TEXT(ROW()-4,"000"))</f>
        <v/>
      </c>
      <c r="B76" s="81"/>
      <c r="C76" s="81"/>
      <c r="D76" s="81"/>
      <c r="E76" s="81"/>
      <c r="F76" s="81"/>
      <c r="G76" s="82"/>
      <c r="H76" s="83"/>
      <c r="I76" s="84"/>
      <c r="J76" s="85" t="str">
        <f aca="false">IF(H76="","",ROUND(H76*(1+I76),2))</f>
        <v/>
      </c>
      <c r="K76" s="85" t="str">
        <f aca="false">IF(J76="","",ROUND(J76*(1+OHP),2))</f>
        <v/>
      </c>
      <c r="L76" s="85" t="str">
        <f aca="false">IF(K76="","",ROUND(K76*(1+VAT),2))</f>
        <v/>
      </c>
      <c r="M76" s="82"/>
      <c r="N76" s="81"/>
      <c r="O76" s="82"/>
      <c r="P76" s="86"/>
      <c r="Q76" s="81"/>
      <c r="R76" s="87"/>
    </row>
    <row r="77" customFormat="false" ht="15" hidden="false" customHeight="false" outlineLevel="0" collapsed="false">
      <c r="A77" s="80" t="str">
        <f aca="false">IF(C77="","","MS-"&amp;TEXT(ROW()-4,"000"))</f>
        <v/>
      </c>
      <c r="B77" s="81"/>
      <c r="C77" s="81"/>
      <c r="D77" s="81"/>
      <c r="E77" s="81"/>
      <c r="F77" s="81"/>
      <c r="G77" s="82"/>
      <c r="H77" s="83"/>
      <c r="I77" s="84"/>
      <c r="J77" s="85" t="str">
        <f aca="false">IF(H77="","",ROUND(H77*(1+I77),2))</f>
        <v/>
      </c>
      <c r="K77" s="85" t="str">
        <f aca="false">IF(J77="","",ROUND(J77*(1+OHP),2))</f>
        <v/>
      </c>
      <c r="L77" s="85" t="str">
        <f aca="false">IF(K77="","",ROUND(K77*(1+VAT),2))</f>
        <v/>
      </c>
      <c r="M77" s="82"/>
      <c r="N77" s="81"/>
      <c r="O77" s="82"/>
      <c r="P77" s="86"/>
      <c r="Q77" s="81"/>
      <c r="R77" s="87"/>
    </row>
    <row r="78" customFormat="false" ht="15" hidden="false" customHeight="false" outlineLevel="0" collapsed="false">
      <c r="A78" s="80" t="str">
        <f aca="false">IF(C78="","","MS-"&amp;TEXT(ROW()-4,"000"))</f>
        <v/>
      </c>
      <c r="B78" s="81"/>
      <c r="C78" s="81"/>
      <c r="D78" s="81"/>
      <c r="E78" s="81"/>
      <c r="F78" s="81"/>
      <c r="G78" s="82"/>
      <c r="H78" s="83"/>
      <c r="I78" s="84"/>
      <c r="J78" s="85" t="str">
        <f aca="false">IF(H78="","",ROUND(H78*(1+I78),2))</f>
        <v/>
      </c>
      <c r="K78" s="85" t="str">
        <f aca="false">IF(J78="","",ROUND(J78*(1+OHP),2))</f>
        <v/>
      </c>
      <c r="L78" s="85" t="str">
        <f aca="false">IF(K78="","",ROUND(K78*(1+VAT),2))</f>
        <v/>
      </c>
      <c r="M78" s="82"/>
      <c r="N78" s="81"/>
      <c r="O78" s="82"/>
      <c r="P78" s="86"/>
      <c r="Q78" s="81"/>
      <c r="R78" s="87"/>
    </row>
    <row r="79" customFormat="false" ht="15" hidden="false" customHeight="false" outlineLevel="0" collapsed="false">
      <c r="A79" s="80" t="str">
        <f aca="false">IF(C79="","","MS-"&amp;TEXT(ROW()-4,"000"))</f>
        <v/>
      </c>
      <c r="B79" s="81"/>
      <c r="C79" s="81"/>
      <c r="D79" s="81"/>
      <c r="E79" s="81"/>
      <c r="F79" s="81"/>
      <c r="G79" s="82"/>
      <c r="H79" s="83"/>
      <c r="I79" s="84"/>
      <c r="J79" s="85" t="str">
        <f aca="false">IF(H79="","",ROUND(H79*(1+I79),2))</f>
        <v/>
      </c>
      <c r="K79" s="85" t="str">
        <f aca="false">IF(J79="","",ROUND(J79*(1+OHP),2))</f>
        <v/>
      </c>
      <c r="L79" s="85" t="str">
        <f aca="false">IF(K79="","",ROUND(K79*(1+VAT),2))</f>
        <v/>
      </c>
      <c r="M79" s="82"/>
      <c r="N79" s="81"/>
      <c r="O79" s="82"/>
      <c r="P79" s="86"/>
      <c r="Q79" s="81"/>
      <c r="R79" s="87"/>
    </row>
    <row r="80" customFormat="false" ht="15" hidden="false" customHeight="false" outlineLevel="0" collapsed="false">
      <c r="A80" s="80" t="str">
        <f aca="false">IF(C80="","","MS-"&amp;TEXT(ROW()-4,"000"))</f>
        <v/>
      </c>
      <c r="B80" s="81"/>
      <c r="C80" s="81"/>
      <c r="D80" s="81"/>
      <c r="E80" s="81"/>
      <c r="F80" s="81"/>
      <c r="G80" s="82"/>
      <c r="H80" s="83"/>
      <c r="I80" s="84"/>
      <c r="J80" s="85" t="str">
        <f aca="false">IF(H80="","",ROUND(H80*(1+I80),2))</f>
        <v/>
      </c>
      <c r="K80" s="85" t="str">
        <f aca="false">IF(J80="","",ROUND(J80*(1+OHP),2))</f>
        <v/>
      </c>
      <c r="L80" s="85" t="str">
        <f aca="false">IF(K80="","",ROUND(K80*(1+VAT),2))</f>
        <v/>
      </c>
      <c r="M80" s="82"/>
      <c r="N80" s="81"/>
      <c r="O80" s="82"/>
      <c r="P80" s="86"/>
      <c r="Q80" s="81"/>
      <c r="R80" s="87"/>
    </row>
    <row r="81" customFormat="false" ht="15" hidden="false" customHeight="false" outlineLevel="0" collapsed="false">
      <c r="A81" s="80" t="str">
        <f aca="false">IF(C81="","","MS-"&amp;TEXT(ROW()-4,"000"))</f>
        <v/>
      </c>
      <c r="B81" s="81"/>
      <c r="C81" s="81"/>
      <c r="D81" s="81"/>
      <c r="E81" s="81"/>
      <c r="F81" s="81"/>
      <c r="G81" s="82"/>
      <c r="H81" s="83"/>
      <c r="I81" s="84"/>
      <c r="J81" s="85" t="str">
        <f aca="false">IF(H81="","",ROUND(H81*(1+I81),2))</f>
        <v/>
      </c>
      <c r="K81" s="85" t="str">
        <f aca="false">IF(J81="","",ROUND(J81*(1+OHP),2))</f>
        <v/>
      </c>
      <c r="L81" s="85" t="str">
        <f aca="false">IF(K81="","",ROUND(K81*(1+VAT),2))</f>
        <v/>
      </c>
      <c r="M81" s="82"/>
      <c r="N81" s="81"/>
      <c r="O81" s="82"/>
      <c r="P81" s="86"/>
      <c r="Q81" s="81"/>
      <c r="R81" s="87"/>
    </row>
    <row r="82" customFormat="false" ht="15" hidden="false" customHeight="false" outlineLevel="0" collapsed="false">
      <c r="A82" s="80" t="str">
        <f aca="false">IF(C82="","","MS-"&amp;TEXT(ROW()-4,"000"))</f>
        <v/>
      </c>
      <c r="B82" s="81"/>
      <c r="C82" s="81"/>
      <c r="D82" s="81"/>
      <c r="E82" s="81"/>
      <c r="F82" s="81"/>
      <c r="G82" s="82"/>
      <c r="H82" s="83"/>
      <c r="I82" s="84"/>
      <c r="J82" s="85" t="str">
        <f aca="false">IF(H82="","",ROUND(H82*(1+I82),2))</f>
        <v/>
      </c>
      <c r="K82" s="85" t="str">
        <f aca="false">IF(J82="","",ROUND(J82*(1+OHP),2))</f>
        <v/>
      </c>
      <c r="L82" s="85" t="str">
        <f aca="false">IF(K82="","",ROUND(K82*(1+VAT),2))</f>
        <v/>
      </c>
      <c r="M82" s="82"/>
      <c r="N82" s="81"/>
      <c r="O82" s="82"/>
      <c r="P82" s="86"/>
      <c r="Q82" s="81"/>
      <c r="R82" s="87"/>
    </row>
  </sheetData>
  <autoFilter ref="A4:R82"/>
  <mergeCells count="2">
    <mergeCell ref="A1:R1"/>
    <mergeCell ref="A2:R2"/>
  </mergeCells>
  <conditionalFormatting sqref="A5:R82">
    <cfRule type="expression" priority="2" aboveAverage="0" equalAverage="0" bottom="0" percent="0" rank="0" text="" dxfId="1">
      <formula>AND($C5&lt;&gt;"",MOD(ROW(),2)=0,$M5&lt;&gt;"Obsolete")</formula>
    </cfRule>
    <cfRule type="expression" priority="3" aboveAverage="0" equalAverage="0" bottom="0" percent="0" rank="0" text="" dxfId="12">
      <formula>$M5="Obsolete"</formula>
    </cfRule>
  </conditionalFormatting>
  <conditionalFormatting sqref="M5:M82">
    <cfRule type="expression" priority="4" aboveAverage="0" equalAverage="0" bottom="0" percent="0" rank="0" text="" dxfId="13">
      <formula>$M5="Indicative"</formula>
    </cfRule>
    <cfRule type="expression" priority="5" aboveAverage="0" equalAverage="0" bottom="0" percent="0" rank="0" text="" dxfId="14">
      <formula>$M5="Quoted"</formula>
    </cfRule>
    <cfRule type="expression" priority="6" aboveAverage="0" equalAverage="0" bottom="0" percent="0" rank="0" text="" dxfId="15">
      <formula>$M5="Verified"</formula>
    </cfRule>
    <cfRule type="expression" priority="7" aboveAverage="0" equalAverage="0" bottom="0" percent="0" rank="0" text="" dxfId="16">
      <formula>$M5="Obsolete"</formula>
    </cfRule>
  </conditionalFormatting>
  <dataValidations count="2">
    <dataValidation allowBlank="true" error="Enter wastage as a percentage, e.g. 5%" errorStyle="stop" operator="between" showDropDown="false" showErrorMessage="false" showInputMessage="false" sqref="I5:I82" type="decimal">
      <formula1>0</formula1>
      <formula2>1</formula2>
    </dataValidation>
    <dataValidation allowBlank="true" errorStyle="stop" operator="between" showDropDown="false" showErrorMessage="false" showInputMessage="false" sqref="M5:M82" type="list">
      <formula1>"Indicative,Quoted,Verified,Obsolete"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&amp;L&amp;8Mild Steel (MS) - Sections, Plates Sheets&amp;C&amp;8Page &amp;P of &amp;N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BFBF"/>
    <pageSetUpPr fitToPage="true"/>
  </sheetPr>
  <dimension ref="A1:R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32"/>
    <col collapsed="false" customWidth="true" hidden="false" outlineLevel="0" max="5" min="5" style="0" width="20"/>
    <col collapsed="false" customWidth="true" hidden="false" outlineLevel="0" max="6" min="6" style="0" width="26"/>
    <col collapsed="false" customWidth="true" hidden="false" outlineLevel="0" max="7" min="7" style="0" width="7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1" min="10" style="0" width="13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20"/>
    <col collapsed="false" customWidth="true" hidden="false" outlineLevel="0" max="15" min="15" style="0" width="13"/>
    <col collapsed="false" customWidth="true" hidden="false" outlineLevel="0" max="16" min="16" style="0" width="12"/>
    <col collapsed="false" customWidth="true" hidden="false" outlineLevel="0" max="17" min="17" style="0" width="26"/>
    <col collapsed="false" customWidth="true" hidden="false" outlineLevel="0" max="18" min="18" style="0" width="34"/>
  </cols>
  <sheetData>
    <row r="1" customFormat="false" ht="30" hidden="false" customHeight="true" outlineLevel="0" collapsed="false">
      <c r="A1" s="65" t="s">
        <v>1549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</row>
    <row r="2" customFormat="false" ht="15" hidden="false" customHeight="false" outlineLevel="0" collapsed="false">
      <c r="A2" s="97" t="s">
        <v>1550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</row>
    <row r="3" customFormat="false" ht="15" hidden="false" customHeight="false" outlineLevel="0" collapsed="false">
      <c r="A3" s="7" t="str">
        <f aca="false">HYPERLINK("#Index!A1","&lt;&lt; Back to Index")</f>
        <v>&lt;&lt; Back to Index</v>
      </c>
      <c r="D3" s="67" t="s">
        <v>180</v>
      </c>
      <c r="E3" s="68" t="n">
        <f aca="false">COUNTA(C5:C61)</f>
        <v>42</v>
      </c>
      <c r="H3" s="69" t="s">
        <v>181</v>
      </c>
    </row>
    <row r="4" customFormat="false" ht="31.5" hidden="false" customHeight="true" outlineLevel="0" collapsed="false">
      <c r="A4" s="8" t="s">
        <v>110</v>
      </c>
      <c r="B4" s="8" t="s">
        <v>121</v>
      </c>
      <c r="C4" s="8" t="s">
        <v>111</v>
      </c>
      <c r="D4" s="8" t="s">
        <v>112</v>
      </c>
      <c r="E4" s="8" t="s">
        <v>113</v>
      </c>
      <c r="F4" s="8" t="s">
        <v>114</v>
      </c>
      <c r="G4" s="8" t="s">
        <v>115</v>
      </c>
      <c r="H4" s="8" t="s">
        <v>182</v>
      </c>
      <c r="I4" s="8" t="s">
        <v>183</v>
      </c>
      <c r="J4" s="8" t="s">
        <v>184</v>
      </c>
      <c r="K4" s="8" t="s">
        <v>185</v>
      </c>
      <c r="L4" s="8" t="s">
        <v>186</v>
      </c>
      <c r="M4" s="8" t="s">
        <v>119</v>
      </c>
      <c r="N4" s="8" t="s">
        <v>187</v>
      </c>
      <c r="O4" s="8" t="s">
        <v>188</v>
      </c>
      <c r="P4" s="8" t="s">
        <v>189</v>
      </c>
      <c r="Q4" s="8" t="s">
        <v>190</v>
      </c>
      <c r="R4" s="8" t="s">
        <v>191</v>
      </c>
    </row>
    <row r="5" customFormat="false" ht="19.4" hidden="false" customHeight="false" outlineLevel="0" collapsed="false">
      <c r="A5" s="70" t="s">
        <v>1551</v>
      </c>
      <c r="B5" s="71" t="s">
        <v>1552</v>
      </c>
      <c r="C5" s="72" t="s">
        <v>1553</v>
      </c>
      <c r="D5" s="71" t="s">
        <v>1554</v>
      </c>
      <c r="E5" s="71" t="s">
        <v>1555</v>
      </c>
      <c r="F5" s="71" t="s">
        <v>349</v>
      </c>
      <c r="G5" s="73" t="s">
        <v>218</v>
      </c>
      <c r="H5" s="74" t="n">
        <f aca="false">ROUND(0.73*SS304,2)</f>
        <v>12.41</v>
      </c>
      <c r="I5" s="75" t="n">
        <v>0.05</v>
      </c>
      <c r="J5" s="76" t="n">
        <f aca="false">IF(H5="","",ROUND(H5*(1+I5),2))</f>
        <v>13.03</v>
      </c>
      <c r="K5" s="76" t="n">
        <f aca="false">IF(J5="","",ROUND(J5*(1+OHP),2))</f>
        <v>15.64</v>
      </c>
      <c r="L5" s="76" t="n">
        <f aca="false">IF(K5="","",ROUND(K5*(1+VAT),2))</f>
        <v>16.42</v>
      </c>
      <c r="M5" s="73" t="s">
        <v>89</v>
      </c>
      <c r="N5" s="71"/>
      <c r="O5" s="73"/>
      <c r="P5" s="77"/>
      <c r="Q5" s="71"/>
      <c r="R5" s="78" t="s">
        <v>1556</v>
      </c>
    </row>
    <row r="6" customFormat="false" ht="19.4" hidden="false" customHeight="false" outlineLevel="0" collapsed="false">
      <c r="A6" s="70" t="s">
        <v>1557</v>
      </c>
      <c r="B6" s="71" t="s">
        <v>1552</v>
      </c>
      <c r="C6" s="72" t="s">
        <v>1553</v>
      </c>
      <c r="D6" s="71" t="s">
        <v>1558</v>
      </c>
      <c r="E6" s="71" t="s">
        <v>1555</v>
      </c>
      <c r="F6" s="71" t="s">
        <v>349</v>
      </c>
      <c r="G6" s="73" t="s">
        <v>218</v>
      </c>
      <c r="H6" s="74" t="n">
        <f aca="false">ROUND(1.37*SS304,2)</f>
        <v>23.29</v>
      </c>
      <c r="I6" s="75" t="n">
        <v>0.05</v>
      </c>
      <c r="J6" s="76" t="n">
        <f aca="false">IF(H6="","",ROUND(H6*(1+I6),2))</f>
        <v>24.45</v>
      </c>
      <c r="K6" s="76" t="n">
        <f aca="false">IF(J6="","",ROUND(J6*(1+OHP),2))</f>
        <v>29.34</v>
      </c>
      <c r="L6" s="76" t="n">
        <f aca="false">IF(K6="","",ROUND(K6*(1+VAT),2))</f>
        <v>30.81</v>
      </c>
      <c r="M6" s="73" t="s">
        <v>89</v>
      </c>
      <c r="N6" s="71"/>
      <c r="O6" s="73"/>
      <c r="P6" s="77"/>
      <c r="Q6" s="71"/>
      <c r="R6" s="78" t="s">
        <v>1559</v>
      </c>
    </row>
    <row r="7" customFormat="false" ht="19.4" hidden="false" customHeight="false" outlineLevel="0" collapsed="false">
      <c r="A7" s="70" t="s">
        <v>1560</v>
      </c>
      <c r="B7" s="71" t="s">
        <v>1552</v>
      </c>
      <c r="C7" s="72" t="s">
        <v>1553</v>
      </c>
      <c r="D7" s="71" t="s">
        <v>1561</v>
      </c>
      <c r="E7" s="71" t="s">
        <v>1555</v>
      </c>
      <c r="F7" s="71" t="s">
        <v>349</v>
      </c>
      <c r="G7" s="73" t="s">
        <v>218</v>
      </c>
      <c r="H7" s="74" t="n">
        <f aca="false">ROUND(1.53*SS304,2)</f>
        <v>26.01</v>
      </c>
      <c r="I7" s="75" t="n">
        <v>0.05</v>
      </c>
      <c r="J7" s="76" t="n">
        <f aca="false">IF(H7="","",ROUND(H7*(1+I7),2))</f>
        <v>27.31</v>
      </c>
      <c r="K7" s="76" t="n">
        <f aca="false">IF(J7="","",ROUND(J7*(1+OHP),2))</f>
        <v>32.77</v>
      </c>
      <c r="L7" s="76" t="n">
        <f aca="false">IF(K7="","",ROUND(K7*(1+VAT),2))</f>
        <v>34.41</v>
      </c>
      <c r="M7" s="73" t="s">
        <v>89</v>
      </c>
      <c r="N7" s="71"/>
      <c r="O7" s="73"/>
      <c r="P7" s="77"/>
      <c r="Q7" s="71"/>
      <c r="R7" s="78" t="s">
        <v>1562</v>
      </c>
    </row>
    <row r="8" customFormat="false" ht="19.4" hidden="false" customHeight="false" outlineLevel="0" collapsed="false">
      <c r="A8" s="70" t="s">
        <v>1563</v>
      </c>
      <c r="B8" s="71" t="s">
        <v>1552</v>
      </c>
      <c r="C8" s="72" t="s">
        <v>1553</v>
      </c>
      <c r="D8" s="71" t="s">
        <v>1564</v>
      </c>
      <c r="E8" s="71" t="s">
        <v>1555</v>
      </c>
      <c r="F8" s="71" t="s">
        <v>349</v>
      </c>
      <c r="G8" s="73" t="s">
        <v>218</v>
      </c>
      <c r="H8" s="74" t="n">
        <f aca="false">ROUND(1.85*SS304,2)</f>
        <v>31.45</v>
      </c>
      <c r="I8" s="75" t="n">
        <v>0.05</v>
      </c>
      <c r="J8" s="76" t="n">
        <f aca="false">IF(H8="","",ROUND(H8*(1+I8),2))</f>
        <v>33.02</v>
      </c>
      <c r="K8" s="76" t="n">
        <f aca="false">IF(J8="","",ROUND(J8*(1+OHP),2))</f>
        <v>39.62</v>
      </c>
      <c r="L8" s="76" t="n">
        <f aca="false">IF(K8="","",ROUND(K8*(1+VAT),2))</f>
        <v>41.6</v>
      </c>
      <c r="M8" s="73" t="s">
        <v>89</v>
      </c>
      <c r="N8" s="71"/>
      <c r="O8" s="73"/>
      <c r="P8" s="77"/>
      <c r="Q8" s="71"/>
      <c r="R8" s="78" t="s">
        <v>1565</v>
      </c>
    </row>
    <row r="9" customFormat="false" ht="19.4" hidden="false" customHeight="false" outlineLevel="0" collapsed="false">
      <c r="A9" s="70" t="s">
        <v>1566</v>
      </c>
      <c r="B9" s="71" t="s">
        <v>1552</v>
      </c>
      <c r="C9" s="72" t="s">
        <v>1553</v>
      </c>
      <c r="D9" s="71" t="s">
        <v>1567</v>
      </c>
      <c r="E9" s="71" t="s">
        <v>1555</v>
      </c>
      <c r="F9" s="71" t="s">
        <v>349</v>
      </c>
      <c r="G9" s="73" t="s">
        <v>218</v>
      </c>
      <c r="H9" s="74" t="n">
        <f aca="false">ROUND(2.44*SS304,2)</f>
        <v>41.48</v>
      </c>
      <c r="I9" s="75" t="n">
        <v>0.05</v>
      </c>
      <c r="J9" s="76" t="n">
        <f aca="false">IF(H9="","",ROUND(H9*(1+I9),2))</f>
        <v>43.55</v>
      </c>
      <c r="K9" s="76" t="n">
        <f aca="false">IF(J9="","",ROUND(J9*(1+OHP),2))</f>
        <v>52.26</v>
      </c>
      <c r="L9" s="76" t="n">
        <f aca="false">IF(K9="","",ROUND(K9*(1+VAT),2))</f>
        <v>54.87</v>
      </c>
      <c r="M9" s="73" t="s">
        <v>89</v>
      </c>
      <c r="N9" s="71"/>
      <c r="O9" s="73"/>
      <c r="P9" s="77"/>
      <c r="Q9" s="71"/>
      <c r="R9" s="78" t="s">
        <v>1568</v>
      </c>
    </row>
    <row r="10" customFormat="false" ht="19.4" hidden="false" customHeight="false" outlineLevel="0" collapsed="false">
      <c r="A10" s="70" t="s">
        <v>1569</v>
      </c>
      <c r="B10" s="71" t="s">
        <v>1552</v>
      </c>
      <c r="C10" s="72" t="s">
        <v>1553</v>
      </c>
      <c r="D10" s="71" t="s">
        <v>1570</v>
      </c>
      <c r="E10" s="71" t="s">
        <v>1555</v>
      </c>
      <c r="F10" s="71" t="s">
        <v>349</v>
      </c>
      <c r="G10" s="73" t="s">
        <v>218</v>
      </c>
      <c r="H10" s="74" t="n">
        <f aca="false">ROUND(3.07*SS304,2)</f>
        <v>52.19</v>
      </c>
      <c r="I10" s="75" t="n">
        <v>0.05</v>
      </c>
      <c r="J10" s="76" t="n">
        <f aca="false">IF(H10="","",ROUND(H10*(1+I10),2))</f>
        <v>54.8</v>
      </c>
      <c r="K10" s="76" t="n">
        <f aca="false">IF(J10="","",ROUND(J10*(1+OHP),2))</f>
        <v>65.76</v>
      </c>
      <c r="L10" s="76" t="n">
        <f aca="false">IF(K10="","",ROUND(K10*(1+VAT),2))</f>
        <v>69.05</v>
      </c>
      <c r="M10" s="73" t="s">
        <v>89</v>
      </c>
      <c r="N10" s="71"/>
      <c r="O10" s="73"/>
      <c r="P10" s="77"/>
      <c r="Q10" s="71"/>
      <c r="R10" s="78" t="s">
        <v>1571</v>
      </c>
    </row>
    <row r="11" customFormat="false" ht="19.4" hidden="false" customHeight="false" outlineLevel="0" collapsed="false">
      <c r="A11" s="70" t="s">
        <v>1572</v>
      </c>
      <c r="B11" s="71" t="s">
        <v>1552</v>
      </c>
      <c r="C11" s="72" t="s">
        <v>1553</v>
      </c>
      <c r="D11" s="71" t="s">
        <v>1573</v>
      </c>
      <c r="E11" s="71" t="s">
        <v>1555</v>
      </c>
      <c r="F11" s="71" t="s">
        <v>349</v>
      </c>
      <c r="G11" s="73" t="s">
        <v>218</v>
      </c>
      <c r="H11" s="74" t="n">
        <f aca="false">ROUND(3.71*SS304,2)</f>
        <v>63.07</v>
      </c>
      <c r="I11" s="75" t="n">
        <v>0.05</v>
      </c>
      <c r="J11" s="76" t="n">
        <f aca="false">IF(H11="","",ROUND(H11*(1+I11),2))</f>
        <v>66.22</v>
      </c>
      <c r="K11" s="76" t="n">
        <f aca="false">IF(J11="","",ROUND(J11*(1+OHP),2))</f>
        <v>79.46</v>
      </c>
      <c r="L11" s="76" t="n">
        <f aca="false">IF(K11="","",ROUND(K11*(1+VAT),2))</f>
        <v>83.43</v>
      </c>
      <c r="M11" s="73" t="s">
        <v>89</v>
      </c>
      <c r="N11" s="71"/>
      <c r="O11" s="73"/>
      <c r="P11" s="77"/>
      <c r="Q11" s="71"/>
      <c r="R11" s="78" t="s">
        <v>1574</v>
      </c>
    </row>
    <row r="12" customFormat="false" ht="19.4" hidden="false" customHeight="false" outlineLevel="0" collapsed="false">
      <c r="A12" s="70" t="s">
        <v>1575</v>
      </c>
      <c r="B12" s="71" t="s">
        <v>1552</v>
      </c>
      <c r="C12" s="72" t="s">
        <v>1553</v>
      </c>
      <c r="D12" s="71" t="s">
        <v>1576</v>
      </c>
      <c r="E12" s="71" t="s">
        <v>1577</v>
      </c>
      <c r="F12" s="71" t="s">
        <v>349</v>
      </c>
      <c r="G12" s="73" t="s">
        <v>218</v>
      </c>
      <c r="H12" s="74" t="n">
        <f aca="false">ROUND(2.02*SS316,2)</f>
        <v>48.48</v>
      </c>
      <c r="I12" s="75" t="n">
        <v>0.05</v>
      </c>
      <c r="J12" s="76" t="n">
        <f aca="false">IF(H12="","",ROUND(H12*(1+I12),2))</f>
        <v>50.9</v>
      </c>
      <c r="K12" s="76" t="n">
        <f aca="false">IF(J12="","",ROUND(J12*(1+OHP),2))</f>
        <v>61.08</v>
      </c>
      <c r="L12" s="76" t="n">
        <f aca="false">IF(K12="","",ROUND(K12*(1+VAT),2))</f>
        <v>64.13</v>
      </c>
      <c r="M12" s="73" t="s">
        <v>89</v>
      </c>
      <c r="N12" s="71"/>
      <c r="O12" s="73"/>
      <c r="P12" s="77"/>
      <c r="Q12" s="71"/>
      <c r="R12" s="78" t="s">
        <v>1578</v>
      </c>
    </row>
    <row r="13" customFormat="false" ht="19.4" hidden="false" customHeight="false" outlineLevel="0" collapsed="false">
      <c r="A13" s="70" t="s">
        <v>1579</v>
      </c>
      <c r="B13" s="71" t="s">
        <v>1552</v>
      </c>
      <c r="C13" s="72" t="s">
        <v>1553</v>
      </c>
      <c r="D13" s="71" t="s">
        <v>1567</v>
      </c>
      <c r="E13" s="71" t="s">
        <v>1577</v>
      </c>
      <c r="F13" s="71" t="s">
        <v>349</v>
      </c>
      <c r="G13" s="73" t="s">
        <v>218</v>
      </c>
      <c r="H13" s="74" t="n">
        <f aca="false">ROUND(2.44*SS316,2)</f>
        <v>58.56</v>
      </c>
      <c r="I13" s="75" t="n">
        <v>0.05</v>
      </c>
      <c r="J13" s="76" t="n">
        <f aca="false">IF(H13="","",ROUND(H13*(1+I13),2))</f>
        <v>61.49</v>
      </c>
      <c r="K13" s="76" t="n">
        <f aca="false">IF(J13="","",ROUND(J13*(1+OHP),2))</f>
        <v>73.79</v>
      </c>
      <c r="L13" s="76" t="n">
        <f aca="false">IF(K13="","",ROUND(K13*(1+VAT),2))</f>
        <v>77.48</v>
      </c>
      <c r="M13" s="73" t="s">
        <v>89</v>
      </c>
      <c r="N13" s="71"/>
      <c r="O13" s="73"/>
      <c r="P13" s="77"/>
      <c r="Q13" s="71"/>
      <c r="R13" s="78" t="s">
        <v>1580</v>
      </c>
    </row>
    <row r="14" customFormat="false" ht="19.4" hidden="false" customHeight="false" outlineLevel="0" collapsed="false">
      <c r="A14" s="70" t="s">
        <v>1581</v>
      </c>
      <c r="B14" s="71" t="s">
        <v>1582</v>
      </c>
      <c r="C14" s="72" t="s">
        <v>1583</v>
      </c>
      <c r="D14" s="71" t="s">
        <v>1584</v>
      </c>
      <c r="E14" s="71" t="s">
        <v>1555</v>
      </c>
      <c r="F14" s="71" t="s">
        <v>349</v>
      </c>
      <c r="G14" s="73" t="s">
        <v>218</v>
      </c>
      <c r="H14" s="74" t="n">
        <f aca="false">ROUND(0.92*SS304,2)</f>
        <v>15.64</v>
      </c>
      <c r="I14" s="75" t="n">
        <v>0.05</v>
      </c>
      <c r="J14" s="76" t="n">
        <f aca="false">IF(H14="","",ROUND(H14*(1+I14),2))</f>
        <v>16.42</v>
      </c>
      <c r="K14" s="76" t="n">
        <f aca="false">IF(J14="","",ROUND(J14*(1+OHP),2))</f>
        <v>19.7</v>
      </c>
      <c r="L14" s="76" t="n">
        <f aca="false">IF(K14="","",ROUND(K14*(1+VAT),2))</f>
        <v>20.69</v>
      </c>
      <c r="M14" s="73" t="s">
        <v>89</v>
      </c>
      <c r="N14" s="71"/>
      <c r="O14" s="73"/>
      <c r="P14" s="77"/>
      <c r="Q14" s="71"/>
      <c r="R14" s="78" t="s">
        <v>1585</v>
      </c>
    </row>
    <row r="15" customFormat="false" ht="19.4" hidden="false" customHeight="false" outlineLevel="0" collapsed="false">
      <c r="A15" s="70" t="s">
        <v>1586</v>
      </c>
      <c r="B15" s="71" t="s">
        <v>1582</v>
      </c>
      <c r="C15" s="72" t="s">
        <v>1583</v>
      </c>
      <c r="D15" s="71" t="s">
        <v>1587</v>
      </c>
      <c r="E15" s="71" t="s">
        <v>1555</v>
      </c>
      <c r="F15" s="71" t="s">
        <v>349</v>
      </c>
      <c r="G15" s="73" t="s">
        <v>218</v>
      </c>
      <c r="H15" s="74" t="n">
        <f aca="false">ROUND(1.83*SS304,2)</f>
        <v>31.11</v>
      </c>
      <c r="I15" s="75" t="n">
        <v>0.05</v>
      </c>
      <c r="J15" s="76" t="n">
        <f aca="false">IF(H15="","",ROUND(H15*(1+I15),2))</f>
        <v>32.67</v>
      </c>
      <c r="K15" s="76" t="n">
        <f aca="false">IF(J15="","",ROUND(J15*(1+OHP),2))</f>
        <v>39.2</v>
      </c>
      <c r="L15" s="76" t="n">
        <f aca="false">IF(K15="","",ROUND(K15*(1+VAT),2))</f>
        <v>41.16</v>
      </c>
      <c r="M15" s="73" t="s">
        <v>89</v>
      </c>
      <c r="N15" s="71"/>
      <c r="O15" s="73"/>
      <c r="P15" s="77"/>
      <c r="Q15" s="71"/>
      <c r="R15" s="78" t="s">
        <v>1588</v>
      </c>
    </row>
    <row r="16" customFormat="false" ht="19.4" hidden="false" customHeight="false" outlineLevel="0" collapsed="false">
      <c r="A16" s="70" t="s">
        <v>1589</v>
      </c>
      <c r="B16" s="71" t="s">
        <v>1582</v>
      </c>
      <c r="C16" s="72" t="s">
        <v>1583</v>
      </c>
      <c r="D16" s="71" t="s">
        <v>1590</v>
      </c>
      <c r="E16" s="71" t="s">
        <v>1555</v>
      </c>
      <c r="F16" s="71" t="s">
        <v>349</v>
      </c>
      <c r="G16" s="73" t="s">
        <v>218</v>
      </c>
      <c r="H16" s="74" t="n">
        <f aca="false">ROUND(2.31*SS304,2)</f>
        <v>39.27</v>
      </c>
      <c r="I16" s="75" t="n">
        <v>0.05</v>
      </c>
      <c r="J16" s="76" t="n">
        <f aca="false">IF(H16="","",ROUND(H16*(1+I16),2))</f>
        <v>41.23</v>
      </c>
      <c r="K16" s="76" t="n">
        <f aca="false">IF(J16="","",ROUND(J16*(1+OHP),2))</f>
        <v>49.48</v>
      </c>
      <c r="L16" s="76" t="n">
        <f aca="false">IF(K16="","",ROUND(K16*(1+VAT),2))</f>
        <v>51.95</v>
      </c>
      <c r="M16" s="73" t="s">
        <v>89</v>
      </c>
      <c r="N16" s="71"/>
      <c r="O16" s="73"/>
      <c r="P16" s="77"/>
      <c r="Q16" s="71"/>
      <c r="R16" s="78" t="s">
        <v>1591</v>
      </c>
    </row>
    <row r="17" customFormat="false" ht="19.4" hidden="false" customHeight="false" outlineLevel="0" collapsed="false">
      <c r="A17" s="70" t="s">
        <v>1592</v>
      </c>
      <c r="B17" s="71" t="s">
        <v>1582</v>
      </c>
      <c r="C17" s="72" t="s">
        <v>1583</v>
      </c>
      <c r="D17" s="71" t="s">
        <v>1593</v>
      </c>
      <c r="E17" s="71" t="s">
        <v>1577</v>
      </c>
      <c r="F17" s="71" t="s">
        <v>349</v>
      </c>
      <c r="G17" s="73" t="s">
        <v>218</v>
      </c>
      <c r="H17" s="74" t="n">
        <f aca="false">ROUND(3.05*SS316,2)</f>
        <v>73.2</v>
      </c>
      <c r="I17" s="75" t="n">
        <v>0.05</v>
      </c>
      <c r="J17" s="76" t="n">
        <f aca="false">IF(H17="","",ROUND(H17*(1+I17),2))</f>
        <v>76.86</v>
      </c>
      <c r="K17" s="76" t="n">
        <f aca="false">IF(J17="","",ROUND(J17*(1+OHP),2))</f>
        <v>92.23</v>
      </c>
      <c r="L17" s="76" t="n">
        <f aca="false">IF(K17="","",ROUND(K17*(1+VAT),2))</f>
        <v>96.84</v>
      </c>
      <c r="M17" s="73" t="s">
        <v>89</v>
      </c>
      <c r="N17" s="71"/>
      <c r="O17" s="73"/>
      <c r="P17" s="77"/>
      <c r="Q17" s="71"/>
      <c r="R17" s="78" t="s">
        <v>1594</v>
      </c>
    </row>
    <row r="18" customFormat="false" ht="19.4" hidden="false" customHeight="false" outlineLevel="0" collapsed="false">
      <c r="A18" s="70" t="s">
        <v>1595</v>
      </c>
      <c r="B18" s="71" t="s">
        <v>1582</v>
      </c>
      <c r="C18" s="72" t="s">
        <v>1596</v>
      </c>
      <c r="D18" s="71" t="s">
        <v>1597</v>
      </c>
      <c r="E18" s="71" t="s">
        <v>1555</v>
      </c>
      <c r="F18" s="71" t="s">
        <v>349</v>
      </c>
      <c r="G18" s="73" t="s">
        <v>218</v>
      </c>
      <c r="H18" s="74" t="n">
        <f aca="false">ROUND(1.1*SS304,2)</f>
        <v>18.7</v>
      </c>
      <c r="I18" s="75" t="n">
        <v>0.05</v>
      </c>
      <c r="J18" s="76" t="n">
        <f aca="false">IF(H18="","",ROUND(H18*(1+I18),2))</f>
        <v>19.64</v>
      </c>
      <c r="K18" s="76" t="n">
        <f aca="false">IF(J18="","",ROUND(J18*(1+OHP),2))</f>
        <v>23.57</v>
      </c>
      <c r="L18" s="76" t="n">
        <f aca="false">IF(K18="","",ROUND(K18*(1+VAT),2))</f>
        <v>24.75</v>
      </c>
      <c r="M18" s="73" t="s">
        <v>89</v>
      </c>
      <c r="N18" s="71"/>
      <c r="O18" s="73"/>
      <c r="P18" s="77"/>
      <c r="Q18" s="71"/>
      <c r="R18" s="78" t="s">
        <v>1598</v>
      </c>
    </row>
    <row r="19" customFormat="false" ht="19.4" hidden="false" customHeight="false" outlineLevel="0" collapsed="false">
      <c r="A19" s="70" t="s">
        <v>1599</v>
      </c>
      <c r="B19" s="71" t="s">
        <v>1582</v>
      </c>
      <c r="C19" s="72" t="s">
        <v>1596</v>
      </c>
      <c r="D19" s="71" t="s">
        <v>1600</v>
      </c>
      <c r="E19" s="71" t="s">
        <v>1555</v>
      </c>
      <c r="F19" s="71" t="s">
        <v>349</v>
      </c>
      <c r="G19" s="73" t="s">
        <v>218</v>
      </c>
      <c r="H19" s="74" t="n">
        <f aca="false">ROUND(1.73*SS304,2)</f>
        <v>29.41</v>
      </c>
      <c r="I19" s="75" t="n">
        <v>0.05</v>
      </c>
      <c r="J19" s="76" t="n">
        <f aca="false">IF(H19="","",ROUND(H19*(1+I19),2))</f>
        <v>30.88</v>
      </c>
      <c r="K19" s="76" t="n">
        <f aca="false">IF(J19="","",ROUND(J19*(1+OHP),2))</f>
        <v>37.06</v>
      </c>
      <c r="L19" s="76" t="n">
        <f aca="false">IF(K19="","",ROUND(K19*(1+VAT),2))</f>
        <v>38.91</v>
      </c>
      <c r="M19" s="73" t="s">
        <v>89</v>
      </c>
      <c r="N19" s="71"/>
      <c r="O19" s="73"/>
      <c r="P19" s="77"/>
      <c r="Q19" s="71"/>
      <c r="R19" s="78" t="s">
        <v>1601</v>
      </c>
    </row>
    <row r="20" customFormat="false" ht="19.4" hidden="false" customHeight="false" outlineLevel="0" collapsed="false">
      <c r="A20" s="70" t="s">
        <v>1602</v>
      </c>
      <c r="B20" s="71" t="s">
        <v>1582</v>
      </c>
      <c r="C20" s="72" t="s">
        <v>1596</v>
      </c>
      <c r="D20" s="71" t="s">
        <v>1603</v>
      </c>
      <c r="E20" s="71" t="s">
        <v>1555</v>
      </c>
      <c r="F20" s="71" t="s">
        <v>349</v>
      </c>
      <c r="G20" s="73" t="s">
        <v>218</v>
      </c>
      <c r="H20" s="74" t="n">
        <f aca="false">ROUND(2.31*SS304,2)</f>
        <v>39.27</v>
      </c>
      <c r="I20" s="75" t="n">
        <v>0.05</v>
      </c>
      <c r="J20" s="76" t="n">
        <f aca="false">IF(H20="","",ROUND(H20*(1+I20),2))</f>
        <v>41.23</v>
      </c>
      <c r="K20" s="76" t="n">
        <f aca="false">IF(J20="","",ROUND(J20*(1+OHP),2))</f>
        <v>49.48</v>
      </c>
      <c r="L20" s="76" t="n">
        <f aca="false">IF(K20="","",ROUND(K20*(1+VAT),2))</f>
        <v>51.95</v>
      </c>
      <c r="M20" s="73" t="s">
        <v>89</v>
      </c>
      <c r="N20" s="71"/>
      <c r="O20" s="73"/>
      <c r="P20" s="77"/>
      <c r="Q20" s="71"/>
      <c r="R20" s="78" t="s">
        <v>1604</v>
      </c>
    </row>
    <row r="21" customFormat="false" ht="19.4" hidden="false" customHeight="false" outlineLevel="0" collapsed="false">
      <c r="A21" s="70" t="s">
        <v>1605</v>
      </c>
      <c r="B21" s="71" t="s">
        <v>1582</v>
      </c>
      <c r="C21" s="72" t="s">
        <v>1596</v>
      </c>
      <c r="D21" s="71" t="s">
        <v>1606</v>
      </c>
      <c r="E21" s="71" t="s">
        <v>1555</v>
      </c>
      <c r="F21" s="71" t="s">
        <v>349</v>
      </c>
      <c r="G21" s="73" t="s">
        <v>218</v>
      </c>
      <c r="H21" s="74" t="n">
        <f aca="false">ROUND(4.59*SS304,2)</f>
        <v>78.03</v>
      </c>
      <c r="I21" s="75" t="n">
        <v>0.05</v>
      </c>
      <c r="J21" s="76" t="n">
        <f aca="false">IF(H21="","",ROUND(H21*(1+I21),2))</f>
        <v>81.93</v>
      </c>
      <c r="K21" s="76" t="n">
        <f aca="false">IF(J21="","",ROUND(J21*(1+OHP),2))</f>
        <v>98.32</v>
      </c>
      <c r="L21" s="76" t="n">
        <f aca="false">IF(K21="","",ROUND(K21*(1+VAT),2))</f>
        <v>103.24</v>
      </c>
      <c r="M21" s="73" t="s">
        <v>89</v>
      </c>
      <c r="N21" s="71"/>
      <c r="O21" s="73"/>
      <c r="P21" s="77"/>
      <c r="Q21" s="71"/>
      <c r="R21" s="78" t="s">
        <v>1607</v>
      </c>
    </row>
    <row r="22" customFormat="false" ht="19.4" hidden="false" customHeight="false" outlineLevel="0" collapsed="false">
      <c r="A22" s="70" t="s">
        <v>1608</v>
      </c>
      <c r="B22" s="71" t="s">
        <v>1609</v>
      </c>
      <c r="C22" s="72" t="s">
        <v>1610</v>
      </c>
      <c r="D22" s="71" t="s">
        <v>1611</v>
      </c>
      <c r="E22" s="71" t="s">
        <v>737</v>
      </c>
      <c r="F22" s="71" t="s">
        <v>349</v>
      </c>
      <c r="G22" s="73" t="s">
        <v>218</v>
      </c>
      <c r="H22" s="74" t="n">
        <f aca="false">ROUND(1.59*SS304,2)</f>
        <v>27.03</v>
      </c>
      <c r="I22" s="75" t="n">
        <v>0.05</v>
      </c>
      <c r="J22" s="76" t="n">
        <f aca="false">IF(H22="","",ROUND(H22*(1+I22),2))</f>
        <v>28.38</v>
      </c>
      <c r="K22" s="76" t="n">
        <f aca="false">IF(J22="","",ROUND(J22*(1+OHP),2))</f>
        <v>34.06</v>
      </c>
      <c r="L22" s="76" t="n">
        <f aca="false">IF(K22="","",ROUND(K22*(1+VAT),2))</f>
        <v>35.76</v>
      </c>
      <c r="M22" s="73" t="s">
        <v>89</v>
      </c>
      <c r="N22" s="71"/>
      <c r="O22" s="73"/>
      <c r="P22" s="77"/>
      <c r="Q22" s="71"/>
      <c r="R22" s="78" t="s">
        <v>1612</v>
      </c>
    </row>
    <row r="23" customFormat="false" ht="19.4" hidden="false" customHeight="false" outlineLevel="0" collapsed="false">
      <c r="A23" s="70" t="s">
        <v>1613</v>
      </c>
      <c r="B23" s="71" t="s">
        <v>1609</v>
      </c>
      <c r="C23" s="72" t="s">
        <v>1610</v>
      </c>
      <c r="D23" s="71" t="s">
        <v>1614</v>
      </c>
      <c r="E23" s="71" t="s">
        <v>737</v>
      </c>
      <c r="F23" s="71" t="s">
        <v>349</v>
      </c>
      <c r="G23" s="73" t="s">
        <v>218</v>
      </c>
      <c r="H23" s="74" t="n">
        <f aca="false">ROUND(3.97*SS304,2)</f>
        <v>67.49</v>
      </c>
      <c r="I23" s="75" t="n">
        <v>0.05</v>
      </c>
      <c r="J23" s="76" t="n">
        <f aca="false">IF(H23="","",ROUND(H23*(1+I23),2))</f>
        <v>70.86</v>
      </c>
      <c r="K23" s="76" t="n">
        <f aca="false">IF(J23="","",ROUND(J23*(1+OHP),2))</f>
        <v>85.03</v>
      </c>
      <c r="L23" s="76" t="n">
        <f aca="false">IF(K23="","",ROUND(K23*(1+VAT),2))</f>
        <v>89.28</v>
      </c>
      <c r="M23" s="73" t="s">
        <v>89</v>
      </c>
      <c r="N23" s="71"/>
      <c r="O23" s="73"/>
      <c r="P23" s="77"/>
      <c r="Q23" s="71"/>
      <c r="R23" s="78" t="s">
        <v>1615</v>
      </c>
    </row>
    <row r="24" customFormat="false" ht="15" hidden="false" customHeight="false" outlineLevel="0" collapsed="false">
      <c r="A24" s="70" t="s">
        <v>1616</v>
      </c>
      <c r="B24" s="71" t="s">
        <v>1609</v>
      </c>
      <c r="C24" s="72" t="s">
        <v>1617</v>
      </c>
      <c r="D24" s="71" t="s">
        <v>1618</v>
      </c>
      <c r="E24" s="71" t="s">
        <v>737</v>
      </c>
      <c r="F24" s="71" t="s">
        <v>349</v>
      </c>
      <c r="G24" s="73" t="s">
        <v>218</v>
      </c>
      <c r="H24" s="74" t="n">
        <f aca="false">ROUND(0.62*SS304,2)</f>
        <v>10.54</v>
      </c>
      <c r="I24" s="75" t="n">
        <v>0.05</v>
      </c>
      <c r="J24" s="76" t="n">
        <f aca="false">IF(H24="","",ROUND(H24*(1+I24),2))</f>
        <v>11.07</v>
      </c>
      <c r="K24" s="76" t="n">
        <f aca="false">IF(J24="","",ROUND(J24*(1+OHP),2))</f>
        <v>13.28</v>
      </c>
      <c r="L24" s="76" t="n">
        <f aca="false">IF(K24="","",ROUND(K24*(1+VAT),2))</f>
        <v>13.94</v>
      </c>
      <c r="M24" s="73" t="s">
        <v>89</v>
      </c>
      <c r="N24" s="71"/>
      <c r="O24" s="73"/>
      <c r="P24" s="77"/>
      <c r="Q24" s="71"/>
      <c r="R24" s="78" t="s">
        <v>1619</v>
      </c>
    </row>
    <row r="25" customFormat="false" ht="15" hidden="false" customHeight="false" outlineLevel="0" collapsed="false">
      <c r="A25" s="70" t="s">
        <v>1620</v>
      </c>
      <c r="B25" s="71" t="s">
        <v>1609</v>
      </c>
      <c r="C25" s="72" t="s">
        <v>1617</v>
      </c>
      <c r="D25" s="71" t="s">
        <v>1453</v>
      </c>
      <c r="E25" s="71" t="s">
        <v>737</v>
      </c>
      <c r="F25" s="71" t="s">
        <v>349</v>
      </c>
      <c r="G25" s="73" t="s">
        <v>218</v>
      </c>
      <c r="H25" s="74" t="n">
        <f aca="false">ROUND(0.89*SS304,2)</f>
        <v>15.13</v>
      </c>
      <c r="I25" s="75" t="n">
        <v>0.05</v>
      </c>
      <c r="J25" s="76" t="n">
        <f aca="false">IF(H25="","",ROUND(H25*(1+I25),2))</f>
        <v>15.89</v>
      </c>
      <c r="K25" s="76" t="n">
        <f aca="false">IF(J25="","",ROUND(J25*(1+OHP),2))</f>
        <v>19.07</v>
      </c>
      <c r="L25" s="76" t="n">
        <f aca="false">IF(K25="","",ROUND(K25*(1+VAT),2))</f>
        <v>20.02</v>
      </c>
      <c r="M25" s="73" t="s">
        <v>89</v>
      </c>
      <c r="N25" s="71"/>
      <c r="O25" s="73"/>
      <c r="P25" s="77"/>
      <c r="Q25" s="71"/>
      <c r="R25" s="78" t="s">
        <v>1011</v>
      </c>
    </row>
    <row r="26" customFormat="false" ht="19.4" hidden="false" customHeight="false" outlineLevel="0" collapsed="false">
      <c r="A26" s="70" t="s">
        <v>1621</v>
      </c>
      <c r="B26" s="71" t="s">
        <v>1609</v>
      </c>
      <c r="C26" s="72" t="s">
        <v>1622</v>
      </c>
      <c r="D26" s="71" t="s">
        <v>1623</v>
      </c>
      <c r="E26" s="71" t="s">
        <v>737</v>
      </c>
      <c r="F26" s="71" t="s">
        <v>349</v>
      </c>
      <c r="G26" s="73" t="s">
        <v>218</v>
      </c>
      <c r="H26" s="74" t="n">
        <f aca="false">ROUND(2.45*SS304,2)</f>
        <v>41.65</v>
      </c>
      <c r="I26" s="75" t="n">
        <v>0.05</v>
      </c>
      <c r="J26" s="76" t="n">
        <f aca="false">IF(H26="","",ROUND(H26*(1+I26),2))</f>
        <v>43.73</v>
      </c>
      <c r="K26" s="76" t="n">
        <f aca="false">IF(J26="","",ROUND(J26*(1+OHP),2))</f>
        <v>52.48</v>
      </c>
      <c r="L26" s="76" t="n">
        <f aca="false">IF(K26="","",ROUND(K26*(1+VAT),2))</f>
        <v>55.1</v>
      </c>
      <c r="M26" s="73" t="s">
        <v>89</v>
      </c>
      <c r="N26" s="71"/>
      <c r="O26" s="73"/>
      <c r="P26" s="77"/>
      <c r="Q26" s="71"/>
      <c r="R26" s="78" t="s">
        <v>1624</v>
      </c>
    </row>
    <row r="27" customFormat="false" ht="19.4" hidden="false" customHeight="false" outlineLevel="0" collapsed="false">
      <c r="A27" s="70" t="s">
        <v>1625</v>
      </c>
      <c r="B27" s="71" t="s">
        <v>1507</v>
      </c>
      <c r="C27" s="72" t="s">
        <v>1626</v>
      </c>
      <c r="D27" s="71" t="s">
        <v>1627</v>
      </c>
      <c r="E27" s="71" t="s">
        <v>1628</v>
      </c>
      <c r="F27" s="71" t="s">
        <v>349</v>
      </c>
      <c r="G27" s="73" t="s">
        <v>378</v>
      </c>
      <c r="H27" s="74" t="n">
        <f aca="false">ROUND(7.93*SS304,2)</f>
        <v>134.81</v>
      </c>
      <c r="I27" s="75" t="n">
        <v>0.05</v>
      </c>
      <c r="J27" s="76" t="n">
        <f aca="false">IF(H27="","",ROUND(H27*(1+I27),2))</f>
        <v>141.55</v>
      </c>
      <c r="K27" s="76" t="n">
        <f aca="false">IF(J27="","",ROUND(J27*(1+OHP),2))</f>
        <v>169.86</v>
      </c>
      <c r="L27" s="76" t="n">
        <f aca="false">IF(K27="","",ROUND(K27*(1+VAT),2))</f>
        <v>178.35</v>
      </c>
      <c r="M27" s="73" t="s">
        <v>89</v>
      </c>
      <c r="N27" s="71"/>
      <c r="O27" s="73"/>
      <c r="P27" s="77"/>
      <c r="Q27" s="71"/>
      <c r="R27" s="78" t="s">
        <v>1629</v>
      </c>
    </row>
    <row r="28" customFormat="false" ht="19.4" hidden="false" customHeight="false" outlineLevel="0" collapsed="false">
      <c r="A28" s="70" t="s">
        <v>1630</v>
      </c>
      <c r="B28" s="71" t="s">
        <v>1507</v>
      </c>
      <c r="C28" s="72" t="s">
        <v>1626</v>
      </c>
      <c r="D28" s="71" t="s">
        <v>1631</v>
      </c>
      <c r="E28" s="71" t="s">
        <v>1628</v>
      </c>
      <c r="F28" s="71" t="s">
        <v>349</v>
      </c>
      <c r="G28" s="73" t="s">
        <v>378</v>
      </c>
      <c r="H28" s="74" t="n">
        <f aca="false">ROUND(9.52*SS304,2)</f>
        <v>161.84</v>
      </c>
      <c r="I28" s="75" t="n">
        <v>0.05</v>
      </c>
      <c r="J28" s="76" t="n">
        <f aca="false">IF(H28="","",ROUND(H28*(1+I28),2))</f>
        <v>169.93</v>
      </c>
      <c r="K28" s="76" t="n">
        <f aca="false">IF(J28="","",ROUND(J28*(1+OHP),2))</f>
        <v>203.92</v>
      </c>
      <c r="L28" s="76" t="n">
        <f aca="false">IF(K28="","",ROUND(K28*(1+VAT),2))</f>
        <v>214.12</v>
      </c>
      <c r="M28" s="73" t="s">
        <v>89</v>
      </c>
      <c r="N28" s="71"/>
      <c r="O28" s="73"/>
      <c r="P28" s="77"/>
      <c r="Q28" s="71"/>
      <c r="R28" s="78" t="s">
        <v>1632</v>
      </c>
    </row>
    <row r="29" customFormat="false" ht="19.4" hidden="false" customHeight="false" outlineLevel="0" collapsed="false">
      <c r="A29" s="70" t="s">
        <v>1633</v>
      </c>
      <c r="B29" s="71" t="s">
        <v>1507</v>
      </c>
      <c r="C29" s="72" t="s">
        <v>1626</v>
      </c>
      <c r="D29" s="71" t="s">
        <v>1634</v>
      </c>
      <c r="E29" s="71" t="s">
        <v>1628</v>
      </c>
      <c r="F29" s="71" t="s">
        <v>349</v>
      </c>
      <c r="G29" s="73" t="s">
        <v>378</v>
      </c>
      <c r="H29" s="74" t="n">
        <f aca="false">ROUND(11.9*SS304,2)</f>
        <v>202.3</v>
      </c>
      <c r="I29" s="75" t="n">
        <v>0.05</v>
      </c>
      <c r="J29" s="76" t="n">
        <f aca="false">IF(H29="","",ROUND(H29*(1+I29),2))</f>
        <v>212.42</v>
      </c>
      <c r="K29" s="76" t="n">
        <f aca="false">IF(J29="","",ROUND(J29*(1+OHP),2))</f>
        <v>254.9</v>
      </c>
      <c r="L29" s="76" t="n">
        <f aca="false">IF(K29="","",ROUND(K29*(1+VAT),2))</f>
        <v>267.65</v>
      </c>
      <c r="M29" s="73" t="s">
        <v>89</v>
      </c>
      <c r="N29" s="71"/>
      <c r="O29" s="73"/>
      <c r="P29" s="77"/>
      <c r="Q29" s="71"/>
      <c r="R29" s="78" t="s">
        <v>1635</v>
      </c>
    </row>
    <row r="30" customFormat="false" ht="19.4" hidden="false" customHeight="false" outlineLevel="0" collapsed="false">
      <c r="A30" s="70" t="s">
        <v>1636</v>
      </c>
      <c r="B30" s="71" t="s">
        <v>1507</v>
      </c>
      <c r="C30" s="72" t="s">
        <v>1626</v>
      </c>
      <c r="D30" s="71" t="s">
        <v>1637</v>
      </c>
      <c r="E30" s="71" t="s">
        <v>1628</v>
      </c>
      <c r="F30" s="71" t="s">
        <v>349</v>
      </c>
      <c r="G30" s="73" t="s">
        <v>378</v>
      </c>
      <c r="H30" s="74" t="n">
        <f aca="false">ROUND(15.86*SS304,2)</f>
        <v>269.62</v>
      </c>
      <c r="I30" s="75" t="n">
        <v>0.05</v>
      </c>
      <c r="J30" s="76" t="n">
        <f aca="false">IF(H30="","",ROUND(H30*(1+I30),2))</f>
        <v>283.1</v>
      </c>
      <c r="K30" s="76" t="n">
        <f aca="false">IF(J30="","",ROUND(J30*(1+OHP),2))</f>
        <v>339.72</v>
      </c>
      <c r="L30" s="76" t="n">
        <f aca="false">IF(K30="","",ROUND(K30*(1+VAT),2))</f>
        <v>356.71</v>
      </c>
      <c r="M30" s="73" t="s">
        <v>89</v>
      </c>
      <c r="N30" s="71"/>
      <c r="O30" s="73"/>
      <c r="P30" s="77"/>
      <c r="Q30" s="71"/>
      <c r="R30" s="78" t="s">
        <v>1638</v>
      </c>
    </row>
    <row r="31" customFormat="false" ht="19.4" hidden="false" customHeight="false" outlineLevel="0" collapsed="false">
      <c r="A31" s="70" t="s">
        <v>1639</v>
      </c>
      <c r="B31" s="71" t="s">
        <v>1507</v>
      </c>
      <c r="C31" s="72" t="s">
        <v>1626</v>
      </c>
      <c r="D31" s="71" t="s">
        <v>1640</v>
      </c>
      <c r="E31" s="71" t="s">
        <v>1628</v>
      </c>
      <c r="F31" s="71" t="s">
        <v>349</v>
      </c>
      <c r="G31" s="73" t="s">
        <v>378</v>
      </c>
      <c r="H31" s="74" t="n">
        <f aca="false">ROUND(23.79*SS304,2)</f>
        <v>404.43</v>
      </c>
      <c r="I31" s="75" t="n">
        <v>0.05</v>
      </c>
      <c r="J31" s="76" t="n">
        <f aca="false">IF(H31="","",ROUND(H31*(1+I31),2))</f>
        <v>424.65</v>
      </c>
      <c r="K31" s="76" t="n">
        <f aca="false">IF(J31="","",ROUND(J31*(1+OHP),2))</f>
        <v>509.58</v>
      </c>
      <c r="L31" s="76" t="n">
        <f aca="false">IF(K31="","",ROUND(K31*(1+VAT),2))</f>
        <v>535.06</v>
      </c>
      <c r="M31" s="73" t="s">
        <v>89</v>
      </c>
      <c r="N31" s="71"/>
      <c r="O31" s="73"/>
      <c r="P31" s="77"/>
      <c r="Q31" s="71"/>
      <c r="R31" s="78" t="s">
        <v>1641</v>
      </c>
    </row>
    <row r="32" customFormat="false" ht="19.4" hidden="false" customHeight="false" outlineLevel="0" collapsed="false">
      <c r="A32" s="70" t="s">
        <v>1642</v>
      </c>
      <c r="B32" s="71" t="s">
        <v>1507</v>
      </c>
      <c r="C32" s="72" t="s">
        <v>1626</v>
      </c>
      <c r="D32" s="71" t="s">
        <v>1634</v>
      </c>
      <c r="E32" s="71" t="s">
        <v>1643</v>
      </c>
      <c r="F32" s="71" t="s">
        <v>349</v>
      </c>
      <c r="G32" s="73" t="s">
        <v>378</v>
      </c>
      <c r="H32" s="74" t="n">
        <f aca="false">ROUND(11.9*(SS304+SS_MIRROR),2)</f>
        <v>238</v>
      </c>
      <c r="I32" s="75" t="n">
        <v>0.05</v>
      </c>
      <c r="J32" s="76" t="n">
        <f aca="false">IF(H32="","",ROUND(H32*(1+I32),2))</f>
        <v>249.9</v>
      </c>
      <c r="K32" s="76" t="n">
        <f aca="false">IF(J32="","",ROUND(J32*(1+OHP),2))</f>
        <v>299.88</v>
      </c>
      <c r="L32" s="76" t="n">
        <f aca="false">IF(K32="","",ROUND(K32*(1+VAT),2))</f>
        <v>314.87</v>
      </c>
      <c r="M32" s="73" t="s">
        <v>89</v>
      </c>
      <c r="N32" s="71"/>
      <c r="O32" s="73"/>
      <c r="P32" s="77"/>
      <c r="Q32" s="71"/>
      <c r="R32" s="78" t="s">
        <v>1644</v>
      </c>
    </row>
    <row r="33" customFormat="false" ht="19.4" hidden="false" customHeight="false" outlineLevel="0" collapsed="false">
      <c r="A33" s="70" t="s">
        <v>1645</v>
      </c>
      <c r="B33" s="71" t="s">
        <v>1507</v>
      </c>
      <c r="C33" s="72" t="s">
        <v>1626</v>
      </c>
      <c r="D33" s="71" t="s">
        <v>1634</v>
      </c>
      <c r="E33" s="71" t="s">
        <v>1646</v>
      </c>
      <c r="F33" s="71" t="s">
        <v>349</v>
      </c>
      <c r="G33" s="73" t="s">
        <v>378</v>
      </c>
      <c r="H33" s="74" t="n">
        <f aca="false">ROUND(11.9*SS316,2)</f>
        <v>285.6</v>
      </c>
      <c r="I33" s="75" t="n">
        <v>0.05</v>
      </c>
      <c r="J33" s="76" t="n">
        <f aca="false">IF(H33="","",ROUND(H33*(1+I33),2))</f>
        <v>299.88</v>
      </c>
      <c r="K33" s="76" t="n">
        <f aca="false">IF(J33="","",ROUND(J33*(1+OHP),2))</f>
        <v>359.86</v>
      </c>
      <c r="L33" s="76" t="n">
        <f aca="false">IF(K33="","",ROUND(K33*(1+VAT),2))</f>
        <v>377.85</v>
      </c>
      <c r="M33" s="73" t="s">
        <v>89</v>
      </c>
      <c r="N33" s="71"/>
      <c r="O33" s="73"/>
      <c r="P33" s="77"/>
      <c r="Q33" s="71"/>
      <c r="R33" s="78" t="s">
        <v>1647</v>
      </c>
    </row>
    <row r="34" customFormat="false" ht="19.4" hidden="false" customHeight="false" outlineLevel="0" collapsed="false">
      <c r="A34" s="70" t="s">
        <v>1648</v>
      </c>
      <c r="B34" s="71" t="s">
        <v>1507</v>
      </c>
      <c r="C34" s="72" t="s">
        <v>1626</v>
      </c>
      <c r="D34" s="71" t="s">
        <v>1637</v>
      </c>
      <c r="E34" s="71" t="s">
        <v>1646</v>
      </c>
      <c r="F34" s="71" t="s">
        <v>349</v>
      </c>
      <c r="G34" s="73" t="s">
        <v>378</v>
      </c>
      <c r="H34" s="74" t="n">
        <f aca="false">ROUND(15.86*SS316,2)</f>
        <v>380.64</v>
      </c>
      <c r="I34" s="75" t="n">
        <v>0.05</v>
      </c>
      <c r="J34" s="76" t="n">
        <f aca="false">IF(H34="","",ROUND(H34*(1+I34),2))</f>
        <v>399.67</v>
      </c>
      <c r="K34" s="76" t="n">
        <f aca="false">IF(J34="","",ROUND(J34*(1+OHP),2))</f>
        <v>479.6</v>
      </c>
      <c r="L34" s="76" t="n">
        <f aca="false">IF(K34="","",ROUND(K34*(1+VAT),2))</f>
        <v>503.58</v>
      </c>
      <c r="M34" s="73" t="s">
        <v>89</v>
      </c>
      <c r="N34" s="71"/>
      <c r="O34" s="73"/>
      <c r="P34" s="77"/>
      <c r="Q34" s="71"/>
      <c r="R34" s="78" t="s">
        <v>1649</v>
      </c>
    </row>
    <row r="35" customFormat="false" ht="15" hidden="false" customHeight="false" outlineLevel="0" collapsed="false">
      <c r="A35" s="70" t="s">
        <v>1650</v>
      </c>
      <c r="B35" s="71" t="s">
        <v>1507</v>
      </c>
      <c r="C35" s="72" t="s">
        <v>1651</v>
      </c>
      <c r="D35" s="71" t="s">
        <v>1652</v>
      </c>
      <c r="E35" s="71" t="s">
        <v>1653</v>
      </c>
      <c r="F35" s="71" t="s">
        <v>453</v>
      </c>
      <c r="G35" s="73" t="s">
        <v>378</v>
      </c>
      <c r="H35" s="79" t="n">
        <v>420</v>
      </c>
      <c r="I35" s="75" t="n">
        <v>0.05</v>
      </c>
      <c r="J35" s="76" t="n">
        <f aca="false">IF(H35="","",ROUND(H35*(1+I35),2))</f>
        <v>441</v>
      </c>
      <c r="K35" s="76" t="n">
        <f aca="false">IF(J35="","",ROUND(J35*(1+OHP),2))</f>
        <v>529.2</v>
      </c>
      <c r="L35" s="76" t="n">
        <f aca="false">IF(K35="","",ROUND(K35*(1+VAT),2))</f>
        <v>555.66</v>
      </c>
      <c r="M35" s="73" t="s">
        <v>89</v>
      </c>
      <c r="N35" s="71"/>
      <c r="O35" s="73"/>
      <c r="P35" s="77"/>
      <c r="Q35" s="71"/>
      <c r="R35" s="78" t="s">
        <v>1654</v>
      </c>
    </row>
    <row r="36" customFormat="false" ht="19.4" hidden="false" customHeight="false" outlineLevel="0" collapsed="false">
      <c r="A36" s="70" t="s">
        <v>1655</v>
      </c>
      <c r="B36" s="71" t="s">
        <v>1507</v>
      </c>
      <c r="C36" s="72" t="s">
        <v>1656</v>
      </c>
      <c r="D36" s="71" t="s">
        <v>1287</v>
      </c>
      <c r="E36" s="71" t="s">
        <v>737</v>
      </c>
      <c r="F36" s="71" t="s">
        <v>453</v>
      </c>
      <c r="G36" s="73" t="s">
        <v>378</v>
      </c>
      <c r="H36" s="79" t="n">
        <v>520</v>
      </c>
      <c r="I36" s="75" t="n">
        <v>0.05</v>
      </c>
      <c r="J36" s="76" t="n">
        <f aca="false">IF(H36="","",ROUND(H36*(1+I36),2))</f>
        <v>546</v>
      </c>
      <c r="K36" s="76" t="n">
        <f aca="false">IF(J36="","",ROUND(J36*(1+OHP),2))</f>
        <v>655.2</v>
      </c>
      <c r="L36" s="76" t="n">
        <f aca="false">IF(K36="","",ROUND(K36*(1+VAT),2))</f>
        <v>687.96</v>
      </c>
      <c r="M36" s="73" t="s">
        <v>89</v>
      </c>
      <c r="N36" s="71"/>
      <c r="O36" s="73"/>
      <c r="P36" s="77"/>
      <c r="Q36" s="71"/>
      <c r="R36" s="78" t="s">
        <v>1657</v>
      </c>
    </row>
    <row r="37" customFormat="false" ht="19.4" hidden="false" customHeight="false" outlineLevel="0" collapsed="false">
      <c r="A37" s="70" t="s">
        <v>1658</v>
      </c>
      <c r="B37" s="71" t="s">
        <v>1659</v>
      </c>
      <c r="C37" s="72" t="s">
        <v>1660</v>
      </c>
      <c r="D37" s="71" t="s">
        <v>1661</v>
      </c>
      <c r="E37" s="71" t="s">
        <v>446</v>
      </c>
      <c r="F37" s="71" t="s">
        <v>349</v>
      </c>
      <c r="G37" s="73" t="s">
        <v>622</v>
      </c>
      <c r="H37" s="79" t="n">
        <v>250</v>
      </c>
      <c r="I37" s="75" t="n">
        <v>0.05</v>
      </c>
      <c r="J37" s="76" t="n">
        <f aca="false">IF(H37="","",ROUND(H37*(1+I37),2))</f>
        <v>262.5</v>
      </c>
      <c r="K37" s="76" t="n">
        <f aca="false">IF(J37="","",ROUND(J37*(1+OHP),2))</f>
        <v>315</v>
      </c>
      <c r="L37" s="76" t="n">
        <f aca="false">IF(K37="","",ROUND(K37*(1+VAT),2))</f>
        <v>330.75</v>
      </c>
      <c r="M37" s="73" t="s">
        <v>89</v>
      </c>
      <c r="N37" s="71"/>
      <c r="O37" s="73"/>
      <c r="P37" s="77"/>
      <c r="Q37" s="71"/>
      <c r="R37" s="78" t="s">
        <v>1662</v>
      </c>
    </row>
    <row r="38" customFormat="false" ht="19.4" hidden="false" customHeight="false" outlineLevel="0" collapsed="false">
      <c r="A38" s="70" t="s">
        <v>1663</v>
      </c>
      <c r="B38" s="71" t="s">
        <v>1659</v>
      </c>
      <c r="C38" s="72" t="s">
        <v>1660</v>
      </c>
      <c r="D38" s="71" t="s">
        <v>1664</v>
      </c>
      <c r="E38" s="71" t="s">
        <v>446</v>
      </c>
      <c r="F38" s="71" t="s">
        <v>349</v>
      </c>
      <c r="G38" s="73" t="s">
        <v>622</v>
      </c>
      <c r="H38" s="79" t="n">
        <v>300</v>
      </c>
      <c r="I38" s="75" t="n">
        <v>0.05</v>
      </c>
      <c r="J38" s="76" t="n">
        <f aca="false">IF(H38="","",ROUND(H38*(1+I38),2))</f>
        <v>315</v>
      </c>
      <c r="K38" s="76" t="n">
        <f aca="false">IF(J38="","",ROUND(J38*(1+OHP),2))</f>
        <v>378</v>
      </c>
      <c r="L38" s="76" t="n">
        <f aca="false">IF(K38="","",ROUND(K38*(1+VAT),2))</f>
        <v>396.9</v>
      </c>
      <c r="M38" s="73" t="s">
        <v>89</v>
      </c>
      <c r="N38" s="71"/>
      <c r="O38" s="73"/>
      <c r="P38" s="77"/>
      <c r="Q38" s="71"/>
      <c r="R38" s="78" t="s">
        <v>1665</v>
      </c>
    </row>
    <row r="39" customFormat="false" ht="19.4" hidden="false" customHeight="false" outlineLevel="0" collapsed="false">
      <c r="A39" s="70" t="s">
        <v>1666</v>
      </c>
      <c r="B39" s="71" t="s">
        <v>1659</v>
      </c>
      <c r="C39" s="72" t="s">
        <v>1660</v>
      </c>
      <c r="D39" s="71" t="s">
        <v>1667</v>
      </c>
      <c r="E39" s="71" t="s">
        <v>446</v>
      </c>
      <c r="F39" s="71" t="s">
        <v>349</v>
      </c>
      <c r="G39" s="73" t="s">
        <v>622</v>
      </c>
      <c r="H39" s="79" t="n">
        <v>380</v>
      </c>
      <c r="I39" s="75" t="n">
        <v>0.05</v>
      </c>
      <c r="J39" s="76" t="n">
        <f aca="false">IF(H39="","",ROUND(H39*(1+I39),2))</f>
        <v>399</v>
      </c>
      <c r="K39" s="76" t="n">
        <f aca="false">IF(J39="","",ROUND(J39*(1+OHP),2))</f>
        <v>478.8</v>
      </c>
      <c r="L39" s="76" t="n">
        <f aca="false">IF(K39="","",ROUND(K39*(1+VAT),2))</f>
        <v>502.74</v>
      </c>
      <c r="M39" s="73" t="s">
        <v>89</v>
      </c>
      <c r="N39" s="71"/>
      <c r="O39" s="73"/>
      <c r="P39" s="77"/>
      <c r="Q39" s="71"/>
      <c r="R39" s="78" t="s">
        <v>1668</v>
      </c>
    </row>
    <row r="40" customFormat="false" ht="19.4" hidden="false" customHeight="false" outlineLevel="0" collapsed="false">
      <c r="A40" s="70" t="s">
        <v>1669</v>
      </c>
      <c r="B40" s="71" t="s">
        <v>1659</v>
      </c>
      <c r="C40" s="72" t="s">
        <v>1670</v>
      </c>
      <c r="D40" s="71" t="s">
        <v>1664</v>
      </c>
      <c r="E40" s="71" t="s">
        <v>446</v>
      </c>
      <c r="F40" s="71" t="s">
        <v>349</v>
      </c>
      <c r="G40" s="73" t="s">
        <v>622</v>
      </c>
      <c r="H40" s="79" t="n">
        <v>280</v>
      </c>
      <c r="I40" s="75" t="n">
        <v>0.05</v>
      </c>
      <c r="J40" s="76" t="n">
        <f aca="false">IF(H40="","",ROUND(H40*(1+I40),2))</f>
        <v>294</v>
      </c>
      <c r="K40" s="76" t="n">
        <f aca="false">IF(J40="","",ROUND(J40*(1+OHP),2))</f>
        <v>352.8</v>
      </c>
      <c r="L40" s="76" t="n">
        <f aca="false">IF(K40="","",ROUND(K40*(1+VAT),2))</f>
        <v>370.44</v>
      </c>
      <c r="M40" s="73" t="s">
        <v>89</v>
      </c>
      <c r="N40" s="71"/>
      <c r="O40" s="73"/>
      <c r="P40" s="77"/>
      <c r="Q40" s="71"/>
      <c r="R40" s="78" t="s">
        <v>1671</v>
      </c>
    </row>
    <row r="41" customFormat="false" ht="19.4" hidden="false" customHeight="false" outlineLevel="0" collapsed="false">
      <c r="A41" s="70" t="s">
        <v>1672</v>
      </c>
      <c r="B41" s="71" t="s">
        <v>1659</v>
      </c>
      <c r="C41" s="72" t="s">
        <v>1673</v>
      </c>
      <c r="D41" s="71" t="s">
        <v>1674</v>
      </c>
      <c r="E41" s="71" t="s">
        <v>446</v>
      </c>
      <c r="F41" s="71" t="s">
        <v>1224</v>
      </c>
      <c r="G41" s="73" t="s">
        <v>218</v>
      </c>
      <c r="H41" s="79" t="n">
        <v>450</v>
      </c>
      <c r="I41" s="75" t="n">
        <v>0.05</v>
      </c>
      <c r="J41" s="76" t="n">
        <f aca="false">IF(H41="","",ROUND(H41*(1+I41),2))</f>
        <v>472.5</v>
      </c>
      <c r="K41" s="76" t="n">
        <f aca="false">IF(J41="","",ROUND(J41*(1+OHP),2))</f>
        <v>567</v>
      </c>
      <c r="L41" s="76" t="n">
        <f aca="false">IF(K41="","",ROUND(K41*(1+VAT),2))</f>
        <v>595.35</v>
      </c>
      <c r="M41" s="73" t="s">
        <v>89</v>
      </c>
      <c r="N41" s="71"/>
      <c r="O41" s="73"/>
      <c r="P41" s="77"/>
      <c r="Q41" s="71"/>
      <c r="R41" s="78" t="s">
        <v>1675</v>
      </c>
    </row>
    <row r="42" customFormat="false" ht="19.4" hidden="false" customHeight="false" outlineLevel="0" collapsed="false">
      <c r="A42" s="70" t="s">
        <v>1676</v>
      </c>
      <c r="B42" s="71" t="s">
        <v>1659</v>
      </c>
      <c r="C42" s="72" t="s">
        <v>1677</v>
      </c>
      <c r="D42" s="71" t="s">
        <v>1678</v>
      </c>
      <c r="E42" s="71" t="s">
        <v>446</v>
      </c>
      <c r="F42" s="71" t="s">
        <v>1224</v>
      </c>
      <c r="G42" s="73" t="s">
        <v>218</v>
      </c>
      <c r="H42" s="79" t="n">
        <v>650</v>
      </c>
      <c r="I42" s="75" t="n">
        <v>0.05</v>
      </c>
      <c r="J42" s="76" t="n">
        <f aca="false">IF(H42="","",ROUND(H42*(1+I42),2))</f>
        <v>682.5</v>
      </c>
      <c r="K42" s="76" t="n">
        <f aca="false">IF(J42="","",ROUND(J42*(1+OHP),2))</f>
        <v>819</v>
      </c>
      <c r="L42" s="76" t="n">
        <f aca="false">IF(K42="","",ROUND(K42*(1+VAT),2))</f>
        <v>859.95</v>
      </c>
      <c r="M42" s="73" t="s">
        <v>89</v>
      </c>
      <c r="N42" s="71"/>
      <c r="O42" s="73"/>
      <c r="P42" s="77"/>
      <c r="Q42" s="71"/>
      <c r="R42" s="78" t="s">
        <v>1679</v>
      </c>
    </row>
    <row r="43" customFormat="false" ht="19.4" hidden="false" customHeight="false" outlineLevel="0" collapsed="false">
      <c r="A43" s="70" t="s">
        <v>1680</v>
      </c>
      <c r="B43" s="71" t="s">
        <v>1681</v>
      </c>
      <c r="C43" s="72" t="s">
        <v>1682</v>
      </c>
      <c r="D43" s="71" t="s">
        <v>1683</v>
      </c>
      <c r="E43" s="71" t="s">
        <v>1555</v>
      </c>
      <c r="F43" s="71" t="s">
        <v>217</v>
      </c>
      <c r="G43" s="73" t="s">
        <v>218</v>
      </c>
      <c r="H43" s="79" t="n">
        <v>45</v>
      </c>
      <c r="I43" s="75" t="n">
        <v>0.05</v>
      </c>
      <c r="J43" s="76" t="n">
        <f aca="false">IF(H43="","",ROUND(H43*(1+I43),2))</f>
        <v>47.25</v>
      </c>
      <c r="K43" s="76" t="n">
        <f aca="false">IF(J43="","",ROUND(J43*(1+OHP),2))</f>
        <v>56.7</v>
      </c>
      <c r="L43" s="76" t="n">
        <f aca="false">IF(K43="","",ROUND(K43*(1+VAT),2))</f>
        <v>59.54</v>
      </c>
      <c r="M43" s="73" t="s">
        <v>89</v>
      </c>
      <c r="N43" s="71"/>
      <c r="O43" s="73"/>
      <c r="P43" s="77"/>
      <c r="Q43" s="71"/>
      <c r="R43" s="78" t="s">
        <v>1684</v>
      </c>
    </row>
    <row r="44" customFormat="false" ht="19.4" hidden="false" customHeight="false" outlineLevel="0" collapsed="false">
      <c r="A44" s="70" t="s">
        <v>1685</v>
      </c>
      <c r="B44" s="71" t="s">
        <v>1681</v>
      </c>
      <c r="C44" s="72" t="s">
        <v>1686</v>
      </c>
      <c r="D44" s="71" t="s">
        <v>1687</v>
      </c>
      <c r="E44" s="71" t="s">
        <v>1555</v>
      </c>
      <c r="F44" s="71" t="s">
        <v>217</v>
      </c>
      <c r="G44" s="73" t="s">
        <v>218</v>
      </c>
      <c r="H44" s="79" t="n">
        <v>60</v>
      </c>
      <c r="I44" s="75" t="n">
        <v>0.05</v>
      </c>
      <c r="J44" s="76" t="n">
        <f aca="false">IF(H44="","",ROUND(H44*(1+I44),2))</f>
        <v>63</v>
      </c>
      <c r="K44" s="76" t="n">
        <f aca="false">IF(J44="","",ROUND(J44*(1+OHP),2))</f>
        <v>75.6</v>
      </c>
      <c r="L44" s="76" t="n">
        <f aca="false">IF(K44="","",ROUND(K44*(1+VAT),2))</f>
        <v>79.38</v>
      </c>
      <c r="M44" s="73" t="s">
        <v>89</v>
      </c>
      <c r="N44" s="71"/>
      <c r="O44" s="73"/>
      <c r="P44" s="77"/>
      <c r="Q44" s="71"/>
      <c r="R44" s="78" t="s">
        <v>1688</v>
      </c>
    </row>
    <row r="45" customFormat="false" ht="15" hidden="false" customHeight="false" outlineLevel="0" collapsed="false">
      <c r="A45" s="70" t="s">
        <v>1689</v>
      </c>
      <c r="B45" s="71" t="s">
        <v>1681</v>
      </c>
      <c r="C45" s="72" t="s">
        <v>1690</v>
      </c>
      <c r="D45" s="71" t="s">
        <v>1691</v>
      </c>
      <c r="E45" s="71" t="s">
        <v>737</v>
      </c>
      <c r="F45" s="71" t="s">
        <v>349</v>
      </c>
      <c r="G45" s="73" t="s">
        <v>218</v>
      </c>
      <c r="H45" s="79" t="n">
        <v>22</v>
      </c>
      <c r="I45" s="75" t="n">
        <v>0.05</v>
      </c>
      <c r="J45" s="76" t="n">
        <f aca="false">IF(H45="","",ROUND(H45*(1+I45),2))</f>
        <v>23.1</v>
      </c>
      <c r="K45" s="76" t="n">
        <f aca="false">IF(J45="","",ROUND(J45*(1+OHP),2))</f>
        <v>27.72</v>
      </c>
      <c r="L45" s="76" t="n">
        <f aca="false">IF(K45="","",ROUND(K45*(1+VAT),2))</f>
        <v>29.11</v>
      </c>
      <c r="M45" s="73" t="s">
        <v>89</v>
      </c>
      <c r="N45" s="71"/>
      <c r="O45" s="73"/>
      <c r="P45" s="77"/>
      <c r="Q45" s="71"/>
      <c r="R45" s="78" t="s">
        <v>1692</v>
      </c>
    </row>
    <row r="46" customFormat="false" ht="19.4" hidden="false" customHeight="false" outlineLevel="0" collapsed="false">
      <c r="A46" s="70" t="s">
        <v>1693</v>
      </c>
      <c r="B46" s="71" t="s">
        <v>1681</v>
      </c>
      <c r="C46" s="72" t="s">
        <v>1694</v>
      </c>
      <c r="D46" s="71" t="s">
        <v>1695</v>
      </c>
      <c r="E46" s="71" t="s">
        <v>737</v>
      </c>
      <c r="F46" s="71" t="s">
        <v>349</v>
      </c>
      <c r="G46" s="73" t="s">
        <v>622</v>
      </c>
      <c r="H46" s="79" t="n">
        <v>950</v>
      </c>
      <c r="I46" s="75" t="n">
        <v>0.05</v>
      </c>
      <c r="J46" s="76" t="n">
        <f aca="false">IF(H46="","",ROUND(H46*(1+I46),2))</f>
        <v>997.5</v>
      </c>
      <c r="K46" s="76" t="n">
        <f aca="false">IF(J46="","",ROUND(J46*(1+OHP),2))</f>
        <v>1197</v>
      </c>
      <c r="L46" s="76" t="n">
        <f aca="false">IF(K46="","",ROUND(K46*(1+VAT),2))</f>
        <v>1256.85</v>
      </c>
      <c r="M46" s="73" t="s">
        <v>89</v>
      </c>
      <c r="N46" s="71"/>
      <c r="O46" s="73"/>
      <c r="P46" s="77"/>
      <c r="Q46" s="71"/>
      <c r="R46" s="78" t="s">
        <v>1696</v>
      </c>
    </row>
    <row r="47" customFormat="false" ht="15" hidden="false" customHeight="false" outlineLevel="0" collapsed="false">
      <c r="A47" s="80" t="str">
        <f aca="false">IF(C47="","","SS-"&amp;TEXT(ROW()-4,"000"))</f>
        <v/>
      </c>
      <c r="B47" s="81"/>
      <c r="C47" s="81"/>
      <c r="D47" s="81"/>
      <c r="E47" s="81"/>
      <c r="F47" s="81"/>
      <c r="G47" s="82"/>
      <c r="H47" s="83"/>
      <c r="I47" s="84"/>
      <c r="J47" s="85" t="str">
        <f aca="false">IF(H47="","",ROUND(H47*(1+I47),2))</f>
        <v/>
      </c>
      <c r="K47" s="85" t="str">
        <f aca="false">IF(J47="","",ROUND(J47*(1+OHP),2))</f>
        <v/>
      </c>
      <c r="L47" s="85" t="str">
        <f aca="false">IF(K47="","",ROUND(K47*(1+VAT),2))</f>
        <v/>
      </c>
      <c r="M47" s="82"/>
      <c r="N47" s="81"/>
      <c r="O47" s="82"/>
      <c r="P47" s="86"/>
      <c r="Q47" s="81"/>
      <c r="R47" s="87"/>
    </row>
    <row r="48" customFormat="false" ht="15" hidden="false" customHeight="false" outlineLevel="0" collapsed="false">
      <c r="A48" s="80" t="str">
        <f aca="false">IF(C48="","","SS-"&amp;TEXT(ROW()-4,"000"))</f>
        <v/>
      </c>
      <c r="B48" s="81"/>
      <c r="C48" s="81"/>
      <c r="D48" s="81"/>
      <c r="E48" s="81"/>
      <c r="F48" s="81"/>
      <c r="G48" s="82"/>
      <c r="H48" s="83"/>
      <c r="I48" s="84"/>
      <c r="J48" s="85" t="str">
        <f aca="false">IF(H48="","",ROUND(H48*(1+I48),2))</f>
        <v/>
      </c>
      <c r="K48" s="85" t="str">
        <f aca="false">IF(J48="","",ROUND(J48*(1+OHP),2))</f>
        <v/>
      </c>
      <c r="L48" s="85" t="str">
        <f aca="false">IF(K48="","",ROUND(K48*(1+VAT),2))</f>
        <v/>
      </c>
      <c r="M48" s="82"/>
      <c r="N48" s="81"/>
      <c r="O48" s="82"/>
      <c r="P48" s="86"/>
      <c r="Q48" s="81"/>
      <c r="R48" s="87"/>
    </row>
    <row r="49" customFormat="false" ht="15" hidden="false" customHeight="false" outlineLevel="0" collapsed="false">
      <c r="A49" s="80" t="str">
        <f aca="false">IF(C49="","","SS-"&amp;TEXT(ROW()-4,"000"))</f>
        <v/>
      </c>
      <c r="B49" s="81"/>
      <c r="C49" s="81"/>
      <c r="D49" s="81"/>
      <c r="E49" s="81"/>
      <c r="F49" s="81"/>
      <c r="G49" s="82"/>
      <c r="H49" s="83"/>
      <c r="I49" s="84"/>
      <c r="J49" s="85" t="str">
        <f aca="false">IF(H49="","",ROUND(H49*(1+I49),2))</f>
        <v/>
      </c>
      <c r="K49" s="85" t="str">
        <f aca="false">IF(J49="","",ROUND(J49*(1+OHP),2))</f>
        <v/>
      </c>
      <c r="L49" s="85" t="str">
        <f aca="false">IF(K49="","",ROUND(K49*(1+VAT),2))</f>
        <v/>
      </c>
      <c r="M49" s="82"/>
      <c r="N49" s="81"/>
      <c r="O49" s="82"/>
      <c r="P49" s="86"/>
      <c r="Q49" s="81"/>
      <c r="R49" s="87"/>
    </row>
    <row r="50" customFormat="false" ht="15" hidden="false" customHeight="false" outlineLevel="0" collapsed="false">
      <c r="A50" s="80" t="str">
        <f aca="false">IF(C50="","","SS-"&amp;TEXT(ROW()-4,"000"))</f>
        <v/>
      </c>
      <c r="B50" s="81"/>
      <c r="C50" s="81"/>
      <c r="D50" s="81"/>
      <c r="E50" s="81"/>
      <c r="F50" s="81"/>
      <c r="G50" s="82"/>
      <c r="H50" s="83"/>
      <c r="I50" s="84"/>
      <c r="J50" s="85" t="str">
        <f aca="false">IF(H50="","",ROUND(H50*(1+I50),2))</f>
        <v/>
      </c>
      <c r="K50" s="85" t="str">
        <f aca="false">IF(J50="","",ROUND(J50*(1+OHP),2))</f>
        <v/>
      </c>
      <c r="L50" s="85" t="str">
        <f aca="false">IF(K50="","",ROUND(K50*(1+VAT),2))</f>
        <v/>
      </c>
      <c r="M50" s="82"/>
      <c r="N50" s="81"/>
      <c r="O50" s="82"/>
      <c r="P50" s="86"/>
      <c r="Q50" s="81"/>
      <c r="R50" s="87"/>
    </row>
    <row r="51" customFormat="false" ht="15" hidden="false" customHeight="false" outlineLevel="0" collapsed="false">
      <c r="A51" s="80" t="str">
        <f aca="false">IF(C51="","","SS-"&amp;TEXT(ROW()-4,"000"))</f>
        <v/>
      </c>
      <c r="B51" s="81"/>
      <c r="C51" s="81"/>
      <c r="D51" s="81"/>
      <c r="E51" s="81"/>
      <c r="F51" s="81"/>
      <c r="G51" s="82"/>
      <c r="H51" s="83"/>
      <c r="I51" s="84"/>
      <c r="J51" s="85" t="str">
        <f aca="false">IF(H51="","",ROUND(H51*(1+I51),2))</f>
        <v/>
      </c>
      <c r="K51" s="85" t="str">
        <f aca="false">IF(J51="","",ROUND(J51*(1+OHP),2))</f>
        <v/>
      </c>
      <c r="L51" s="85" t="str">
        <f aca="false">IF(K51="","",ROUND(K51*(1+VAT),2))</f>
        <v/>
      </c>
      <c r="M51" s="82"/>
      <c r="N51" s="81"/>
      <c r="O51" s="82"/>
      <c r="P51" s="86"/>
      <c r="Q51" s="81"/>
      <c r="R51" s="87"/>
    </row>
    <row r="52" customFormat="false" ht="15" hidden="false" customHeight="false" outlineLevel="0" collapsed="false">
      <c r="A52" s="80" t="str">
        <f aca="false">IF(C52="","","SS-"&amp;TEXT(ROW()-4,"000"))</f>
        <v/>
      </c>
      <c r="B52" s="81"/>
      <c r="C52" s="81"/>
      <c r="D52" s="81"/>
      <c r="E52" s="81"/>
      <c r="F52" s="81"/>
      <c r="G52" s="82"/>
      <c r="H52" s="83"/>
      <c r="I52" s="84"/>
      <c r="J52" s="85" t="str">
        <f aca="false">IF(H52="","",ROUND(H52*(1+I52),2))</f>
        <v/>
      </c>
      <c r="K52" s="85" t="str">
        <f aca="false">IF(J52="","",ROUND(J52*(1+OHP),2))</f>
        <v/>
      </c>
      <c r="L52" s="85" t="str">
        <f aca="false">IF(K52="","",ROUND(K52*(1+VAT),2))</f>
        <v/>
      </c>
      <c r="M52" s="82"/>
      <c r="N52" s="81"/>
      <c r="O52" s="82"/>
      <c r="P52" s="86"/>
      <c r="Q52" s="81"/>
      <c r="R52" s="87"/>
    </row>
    <row r="53" customFormat="false" ht="15" hidden="false" customHeight="false" outlineLevel="0" collapsed="false">
      <c r="A53" s="80" t="str">
        <f aca="false">IF(C53="","","SS-"&amp;TEXT(ROW()-4,"000"))</f>
        <v/>
      </c>
      <c r="B53" s="81"/>
      <c r="C53" s="81"/>
      <c r="D53" s="81"/>
      <c r="E53" s="81"/>
      <c r="F53" s="81"/>
      <c r="G53" s="82"/>
      <c r="H53" s="83"/>
      <c r="I53" s="84"/>
      <c r="J53" s="85" t="str">
        <f aca="false">IF(H53="","",ROUND(H53*(1+I53),2))</f>
        <v/>
      </c>
      <c r="K53" s="85" t="str">
        <f aca="false">IF(J53="","",ROUND(J53*(1+OHP),2))</f>
        <v/>
      </c>
      <c r="L53" s="85" t="str">
        <f aca="false">IF(K53="","",ROUND(K53*(1+VAT),2))</f>
        <v/>
      </c>
      <c r="M53" s="82"/>
      <c r="N53" s="81"/>
      <c r="O53" s="82"/>
      <c r="P53" s="86"/>
      <c r="Q53" s="81"/>
      <c r="R53" s="87"/>
    </row>
    <row r="54" customFormat="false" ht="15" hidden="false" customHeight="false" outlineLevel="0" collapsed="false">
      <c r="A54" s="80" t="str">
        <f aca="false">IF(C54="","","SS-"&amp;TEXT(ROW()-4,"000"))</f>
        <v/>
      </c>
      <c r="B54" s="81"/>
      <c r="C54" s="81"/>
      <c r="D54" s="81"/>
      <c r="E54" s="81"/>
      <c r="F54" s="81"/>
      <c r="G54" s="82"/>
      <c r="H54" s="83"/>
      <c r="I54" s="84"/>
      <c r="J54" s="85" t="str">
        <f aca="false">IF(H54="","",ROUND(H54*(1+I54),2))</f>
        <v/>
      </c>
      <c r="K54" s="85" t="str">
        <f aca="false">IF(J54="","",ROUND(J54*(1+OHP),2))</f>
        <v/>
      </c>
      <c r="L54" s="85" t="str">
        <f aca="false">IF(K54="","",ROUND(K54*(1+VAT),2))</f>
        <v/>
      </c>
      <c r="M54" s="82"/>
      <c r="N54" s="81"/>
      <c r="O54" s="82"/>
      <c r="P54" s="86"/>
      <c r="Q54" s="81"/>
      <c r="R54" s="87"/>
    </row>
    <row r="55" customFormat="false" ht="15" hidden="false" customHeight="false" outlineLevel="0" collapsed="false">
      <c r="A55" s="80" t="str">
        <f aca="false">IF(C55="","","SS-"&amp;TEXT(ROW()-4,"000"))</f>
        <v/>
      </c>
      <c r="B55" s="81"/>
      <c r="C55" s="81"/>
      <c r="D55" s="81"/>
      <c r="E55" s="81"/>
      <c r="F55" s="81"/>
      <c r="G55" s="82"/>
      <c r="H55" s="83"/>
      <c r="I55" s="84"/>
      <c r="J55" s="85" t="str">
        <f aca="false">IF(H55="","",ROUND(H55*(1+I55),2))</f>
        <v/>
      </c>
      <c r="K55" s="85" t="str">
        <f aca="false">IF(J55="","",ROUND(J55*(1+OHP),2))</f>
        <v/>
      </c>
      <c r="L55" s="85" t="str">
        <f aca="false">IF(K55="","",ROUND(K55*(1+VAT),2))</f>
        <v/>
      </c>
      <c r="M55" s="82"/>
      <c r="N55" s="81"/>
      <c r="O55" s="82"/>
      <c r="P55" s="86"/>
      <c r="Q55" s="81"/>
      <c r="R55" s="87"/>
    </row>
    <row r="56" customFormat="false" ht="15" hidden="false" customHeight="false" outlineLevel="0" collapsed="false">
      <c r="A56" s="80" t="str">
        <f aca="false">IF(C56="","","SS-"&amp;TEXT(ROW()-4,"000"))</f>
        <v/>
      </c>
      <c r="B56" s="81"/>
      <c r="C56" s="81"/>
      <c r="D56" s="81"/>
      <c r="E56" s="81"/>
      <c r="F56" s="81"/>
      <c r="G56" s="82"/>
      <c r="H56" s="83"/>
      <c r="I56" s="84"/>
      <c r="J56" s="85" t="str">
        <f aca="false">IF(H56="","",ROUND(H56*(1+I56),2))</f>
        <v/>
      </c>
      <c r="K56" s="85" t="str">
        <f aca="false">IF(J56="","",ROUND(J56*(1+OHP),2))</f>
        <v/>
      </c>
      <c r="L56" s="85" t="str">
        <f aca="false">IF(K56="","",ROUND(K56*(1+VAT),2))</f>
        <v/>
      </c>
      <c r="M56" s="82"/>
      <c r="N56" s="81"/>
      <c r="O56" s="82"/>
      <c r="P56" s="86"/>
      <c r="Q56" s="81"/>
      <c r="R56" s="87"/>
    </row>
    <row r="57" customFormat="false" ht="15" hidden="false" customHeight="false" outlineLevel="0" collapsed="false">
      <c r="A57" s="80" t="str">
        <f aca="false">IF(C57="","","SS-"&amp;TEXT(ROW()-4,"000"))</f>
        <v/>
      </c>
      <c r="B57" s="81"/>
      <c r="C57" s="81"/>
      <c r="D57" s="81"/>
      <c r="E57" s="81"/>
      <c r="F57" s="81"/>
      <c r="G57" s="82"/>
      <c r="H57" s="83"/>
      <c r="I57" s="84"/>
      <c r="J57" s="85" t="str">
        <f aca="false">IF(H57="","",ROUND(H57*(1+I57),2))</f>
        <v/>
      </c>
      <c r="K57" s="85" t="str">
        <f aca="false">IF(J57="","",ROUND(J57*(1+OHP),2))</f>
        <v/>
      </c>
      <c r="L57" s="85" t="str">
        <f aca="false">IF(K57="","",ROUND(K57*(1+VAT),2))</f>
        <v/>
      </c>
      <c r="M57" s="82"/>
      <c r="N57" s="81"/>
      <c r="O57" s="82"/>
      <c r="P57" s="86"/>
      <c r="Q57" s="81"/>
      <c r="R57" s="87"/>
    </row>
    <row r="58" customFormat="false" ht="15" hidden="false" customHeight="false" outlineLevel="0" collapsed="false">
      <c r="A58" s="80" t="str">
        <f aca="false">IF(C58="","","SS-"&amp;TEXT(ROW()-4,"000"))</f>
        <v/>
      </c>
      <c r="B58" s="81"/>
      <c r="C58" s="81"/>
      <c r="D58" s="81"/>
      <c r="E58" s="81"/>
      <c r="F58" s="81"/>
      <c r="G58" s="82"/>
      <c r="H58" s="83"/>
      <c r="I58" s="84"/>
      <c r="J58" s="85" t="str">
        <f aca="false">IF(H58="","",ROUND(H58*(1+I58),2))</f>
        <v/>
      </c>
      <c r="K58" s="85" t="str">
        <f aca="false">IF(J58="","",ROUND(J58*(1+OHP),2))</f>
        <v/>
      </c>
      <c r="L58" s="85" t="str">
        <f aca="false">IF(K58="","",ROUND(K58*(1+VAT),2))</f>
        <v/>
      </c>
      <c r="M58" s="82"/>
      <c r="N58" s="81"/>
      <c r="O58" s="82"/>
      <c r="P58" s="86"/>
      <c r="Q58" s="81"/>
      <c r="R58" s="87"/>
    </row>
    <row r="59" customFormat="false" ht="15" hidden="false" customHeight="false" outlineLevel="0" collapsed="false">
      <c r="A59" s="80" t="str">
        <f aca="false">IF(C59="","","SS-"&amp;TEXT(ROW()-4,"000"))</f>
        <v/>
      </c>
      <c r="B59" s="81"/>
      <c r="C59" s="81"/>
      <c r="D59" s="81"/>
      <c r="E59" s="81"/>
      <c r="F59" s="81"/>
      <c r="G59" s="82"/>
      <c r="H59" s="83"/>
      <c r="I59" s="84"/>
      <c r="J59" s="85" t="str">
        <f aca="false">IF(H59="","",ROUND(H59*(1+I59),2))</f>
        <v/>
      </c>
      <c r="K59" s="85" t="str">
        <f aca="false">IF(J59="","",ROUND(J59*(1+OHP),2))</f>
        <v/>
      </c>
      <c r="L59" s="85" t="str">
        <f aca="false">IF(K59="","",ROUND(K59*(1+VAT),2))</f>
        <v/>
      </c>
      <c r="M59" s="82"/>
      <c r="N59" s="81"/>
      <c r="O59" s="82"/>
      <c r="P59" s="86"/>
      <c r="Q59" s="81"/>
      <c r="R59" s="87"/>
    </row>
    <row r="60" customFormat="false" ht="15" hidden="false" customHeight="false" outlineLevel="0" collapsed="false">
      <c r="A60" s="80" t="str">
        <f aca="false">IF(C60="","","SS-"&amp;TEXT(ROW()-4,"000"))</f>
        <v/>
      </c>
      <c r="B60" s="81"/>
      <c r="C60" s="81"/>
      <c r="D60" s="81"/>
      <c r="E60" s="81"/>
      <c r="F60" s="81"/>
      <c r="G60" s="82"/>
      <c r="H60" s="83"/>
      <c r="I60" s="84"/>
      <c r="J60" s="85" t="str">
        <f aca="false">IF(H60="","",ROUND(H60*(1+I60),2))</f>
        <v/>
      </c>
      <c r="K60" s="85" t="str">
        <f aca="false">IF(J60="","",ROUND(J60*(1+OHP),2))</f>
        <v/>
      </c>
      <c r="L60" s="85" t="str">
        <f aca="false">IF(K60="","",ROUND(K60*(1+VAT),2))</f>
        <v/>
      </c>
      <c r="M60" s="82"/>
      <c r="N60" s="81"/>
      <c r="O60" s="82"/>
      <c r="P60" s="86"/>
      <c r="Q60" s="81"/>
      <c r="R60" s="87"/>
    </row>
    <row r="61" customFormat="false" ht="15" hidden="false" customHeight="false" outlineLevel="0" collapsed="false">
      <c r="A61" s="80" t="str">
        <f aca="false">IF(C61="","","SS-"&amp;TEXT(ROW()-4,"000"))</f>
        <v/>
      </c>
      <c r="B61" s="81"/>
      <c r="C61" s="81"/>
      <c r="D61" s="81"/>
      <c r="E61" s="81"/>
      <c r="F61" s="81"/>
      <c r="G61" s="82"/>
      <c r="H61" s="83"/>
      <c r="I61" s="84"/>
      <c r="J61" s="85" t="str">
        <f aca="false">IF(H61="","",ROUND(H61*(1+I61),2))</f>
        <v/>
      </c>
      <c r="K61" s="85" t="str">
        <f aca="false">IF(J61="","",ROUND(J61*(1+OHP),2))</f>
        <v/>
      </c>
      <c r="L61" s="85" t="str">
        <f aca="false">IF(K61="","",ROUND(K61*(1+VAT),2))</f>
        <v/>
      </c>
      <c r="M61" s="82"/>
      <c r="N61" s="81"/>
      <c r="O61" s="82"/>
      <c r="P61" s="86"/>
      <c r="Q61" s="81"/>
      <c r="R61" s="87"/>
    </row>
  </sheetData>
  <autoFilter ref="A4:R61"/>
  <mergeCells count="2">
    <mergeCell ref="A1:R1"/>
    <mergeCell ref="A2:R2"/>
  </mergeCells>
  <conditionalFormatting sqref="A5:R61">
    <cfRule type="expression" priority="2" aboveAverage="0" equalAverage="0" bottom="0" percent="0" rank="0" text="" dxfId="1">
      <formula>AND($C5&lt;&gt;"",MOD(ROW(),2)=0,$M5&lt;&gt;"Obsolete")</formula>
    </cfRule>
    <cfRule type="expression" priority="3" aboveAverage="0" equalAverage="0" bottom="0" percent="0" rank="0" text="" dxfId="12">
      <formula>$M5="Obsolete"</formula>
    </cfRule>
  </conditionalFormatting>
  <conditionalFormatting sqref="M5:M61">
    <cfRule type="expression" priority="4" aboveAverage="0" equalAverage="0" bottom="0" percent="0" rank="0" text="" dxfId="13">
      <formula>$M5="Indicative"</formula>
    </cfRule>
    <cfRule type="expression" priority="5" aboveAverage="0" equalAverage="0" bottom="0" percent="0" rank="0" text="" dxfId="14">
      <formula>$M5="Quoted"</formula>
    </cfRule>
    <cfRule type="expression" priority="6" aboveAverage="0" equalAverage="0" bottom="0" percent="0" rank="0" text="" dxfId="15">
      <formula>$M5="Verified"</formula>
    </cfRule>
    <cfRule type="expression" priority="7" aboveAverage="0" equalAverage="0" bottom="0" percent="0" rank="0" text="" dxfId="16">
      <formula>$M5="Obsolete"</formula>
    </cfRule>
  </conditionalFormatting>
  <dataValidations count="2">
    <dataValidation allowBlank="true" error="Enter wastage as a percentage, e.g. 5%" errorStyle="stop" operator="between" showDropDown="false" showErrorMessage="false" showInputMessage="false" sqref="I5:I61" type="decimal">
      <formula1>0</formula1>
      <formula2>1</formula2>
    </dataValidation>
    <dataValidation allowBlank="true" errorStyle="stop" operator="between" showDropDown="false" showErrorMessage="false" showInputMessage="false" sqref="M5:M61" type="list">
      <formula1>"Indicative,Quoted,Verified,Obsolete"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&amp;L&amp;8Stainless Steel (SS) - Tubes, Sheets Drains&amp;C&amp;8Page &amp;P of &amp;N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C6E7"/>
    <pageSetUpPr fitToPage="true"/>
  </sheetPr>
  <dimension ref="A1:R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32"/>
    <col collapsed="false" customWidth="true" hidden="false" outlineLevel="0" max="5" min="5" style="0" width="20"/>
    <col collapsed="false" customWidth="true" hidden="false" outlineLevel="0" max="6" min="6" style="0" width="26"/>
    <col collapsed="false" customWidth="true" hidden="false" outlineLevel="0" max="7" min="7" style="0" width="7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1" min="10" style="0" width="13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20"/>
    <col collapsed="false" customWidth="true" hidden="false" outlineLevel="0" max="15" min="15" style="0" width="13"/>
    <col collapsed="false" customWidth="true" hidden="false" outlineLevel="0" max="16" min="16" style="0" width="12"/>
    <col collapsed="false" customWidth="true" hidden="false" outlineLevel="0" max="17" min="17" style="0" width="26"/>
    <col collapsed="false" customWidth="true" hidden="false" outlineLevel="0" max="18" min="18" style="0" width="34"/>
  </cols>
  <sheetData>
    <row r="1" customFormat="false" ht="30" hidden="false" customHeight="true" outlineLevel="0" collapsed="false">
      <c r="A1" s="65" t="s">
        <v>1697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</row>
    <row r="2" customFormat="false" ht="15" hidden="false" customHeight="false" outlineLevel="0" collapsed="false">
      <c r="A2" s="98" t="s">
        <v>1698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</row>
    <row r="3" customFormat="false" ht="15" hidden="false" customHeight="false" outlineLevel="0" collapsed="false">
      <c r="A3" s="7" t="str">
        <f aca="false">HYPERLINK("#Index!A1","&lt;&lt; Back to Index")</f>
        <v>&lt;&lt; Back to Index</v>
      </c>
      <c r="D3" s="67" t="s">
        <v>180</v>
      </c>
      <c r="E3" s="68" t="n">
        <f aca="false">COUNTA(C5:C37)</f>
        <v>18</v>
      </c>
      <c r="H3" s="69" t="s">
        <v>181</v>
      </c>
    </row>
    <row r="4" customFormat="false" ht="31.5" hidden="false" customHeight="true" outlineLevel="0" collapsed="false">
      <c r="A4" s="8" t="s">
        <v>110</v>
      </c>
      <c r="B4" s="8" t="s">
        <v>121</v>
      </c>
      <c r="C4" s="8" t="s">
        <v>111</v>
      </c>
      <c r="D4" s="8" t="s">
        <v>112</v>
      </c>
      <c r="E4" s="8" t="s">
        <v>113</v>
      </c>
      <c r="F4" s="8" t="s">
        <v>114</v>
      </c>
      <c r="G4" s="8" t="s">
        <v>115</v>
      </c>
      <c r="H4" s="8" t="s">
        <v>182</v>
      </c>
      <c r="I4" s="8" t="s">
        <v>183</v>
      </c>
      <c r="J4" s="8" t="s">
        <v>184</v>
      </c>
      <c r="K4" s="8" t="s">
        <v>185</v>
      </c>
      <c r="L4" s="8" t="s">
        <v>186</v>
      </c>
      <c r="M4" s="8" t="s">
        <v>119</v>
      </c>
      <c r="N4" s="8" t="s">
        <v>187</v>
      </c>
      <c r="O4" s="8" t="s">
        <v>188</v>
      </c>
      <c r="P4" s="8" t="s">
        <v>189</v>
      </c>
      <c r="Q4" s="8" t="s">
        <v>190</v>
      </c>
      <c r="R4" s="8" t="s">
        <v>191</v>
      </c>
    </row>
    <row r="5" customFormat="false" ht="15" hidden="false" customHeight="false" outlineLevel="0" collapsed="false">
      <c r="A5" s="70" t="s">
        <v>1699</v>
      </c>
      <c r="B5" s="71" t="s">
        <v>1700</v>
      </c>
      <c r="C5" s="72" t="s">
        <v>1701</v>
      </c>
      <c r="D5" s="71" t="s">
        <v>1702</v>
      </c>
      <c r="E5" s="71" t="s">
        <v>760</v>
      </c>
      <c r="F5" s="71" t="s">
        <v>1703</v>
      </c>
      <c r="G5" s="73" t="s">
        <v>738</v>
      </c>
      <c r="H5" s="79" t="n">
        <v>10500</v>
      </c>
      <c r="I5" s="75" t="n">
        <v>0</v>
      </c>
      <c r="J5" s="76" t="n">
        <f aca="false">IF(H5="","",ROUND(H5*(1+I5),2))</f>
        <v>10500</v>
      </c>
      <c r="K5" s="76" t="n">
        <f aca="false">IF(J5="","",ROUND(J5*(1+OHP),2))</f>
        <v>12600</v>
      </c>
      <c r="L5" s="76" t="n">
        <f aca="false">IF(K5="","",ROUND(K5*(1+VAT),2))</f>
        <v>13230</v>
      </c>
      <c r="M5" s="73" t="s">
        <v>89</v>
      </c>
      <c r="N5" s="71"/>
      <c r="O5" s="73"/>
      <c r="P5" s="77"/>
      <c r="Q5" s="71"/>
      <c r="R5" s="78" t="s">
        <v>1704</v>
      </c>
    </row>
    <row r="6" customFormat="false" ht="15" hidden="false" customHeight="false" outlineLevel="0" collapsed="false">
      <c r="A6" s="70" t="s">
        <v>1705</v>
      </c>
      <c r="B6" s="71" t="s">
        <v>1700</v>
      </c>
      <c r="C6" s="72" t="s">
        <v>1701</v>
      </c>
      <c r="D6" s="71" t="s">
        <v>1706</v>
      </c>
      <c r="E6" s="71" t="s">
        <v>760</v>
      </c>
      <c r="F6" s="71" t="s">
        <v>1707</v>
      </c>
      <c r="G6" s="73" t="s">
        <v>738</v>
      </c>
      <c r="H6" s="79" t="n">
        <v>11000</v>
      </c>
      <c r="I6" s="75" t="n">
        <v>0</v>
      </c>
      <c r="J6" s="76" t="n">
        <f aca="false">IF(H6="","",ROUND(H6*(1+I6),2))</f>
        <v>11000</v>
      </c>
      <c r="K6" s="76" t="n">
        <f aca="false">IF(J6="","",ROUND(J6*(1+OHP),2))</f>
        <v>13200</v>
      </c>
      <c r="L6" s="76" t="n">
        <f aca="false">IF(K6="","",ROUND(K6*(1+VAT),2))</f>
        <v>13860</v>
      </c>
      <c r="M6" s="73" t="s">
        <v>89</v>
      </c>
      <c r="N6" s="71"/>
      <c r="O6" s="73"/>
      <c r="P6" s="77"/>
      <c r="Q6" s="71"/>
      <c r="R6" s="78" t="s">
        <v>1708</v>
      </c>
    </row>
    <row r="7" customFormat="false" ht="15" hidden="false" customHeight="false" outlineLevel="0" collapsed="false">
      <c r="A7" s="70" t="s">
        <v>1709</v>
      </c>
      <c r="B7" s="71" t="s">
        <v>1700</v>
      </c>
      <c r="C7" s="72" t="s">
        <v>1701</v>
      </c>
      <c r="D7" s="71" t="s">
        <v>1710</v>
      </c>
      <c r="E7" s="71" t="s">
        <v>760</v>
      </c>
      <c r="F7" s="71" t="s">
        <v>756</v>
      </c>
      <c r="G7" s="73" t="s">
        <v>738</v>
      </c>
      <c r="H7" s="79" t="n">
        <v>5500</v>
      </c>
      <c r="I7" s="75" t="n">
        <v>0</v>
      </c>
      <c r="J7" s="76" t="n">
        <f aca="false">IF(H7="","",ROUND(H7*(1+I7),2))</f>
        <v>5500</v>
      </c>
      <c r="K7" s="76" t="n">
        <f aca="false">IF(J7="","",ROUND(J7*(1+OHP),2))</f>
        <v>6600</v>
      </c>
      <c r="L7" s="76" t="n">
        <f aca="false">IF(K7="","",ROUND(K7*(1+VAT),2))</f>
        <v>6930</v>
      </c>
      <c r="M7" s="73" t="s">
        <v>89</v>
      </c>
      <c r="N7" s="71"/>
      <c r="O7" s="73"/>
      <c r="P7" s="77"/>
      <c r="Q7" s="71"/>
      <c r="R7" s="78" t="s">
        <v>1708</v>
      </c>
    </row>
    <row r="8" customFormat="false" ht="15" hidden="false" customHeight="false" outlineLevel="0" collapsed="false">
      <c r="A8" s="70" t="s">
        <v>1711</v>
      </c>
      <c r="B8" s="71" t="s">
        <v>1700</v>
      </c>
      <c r="C8" s="72" t="s">
        <v>1712</v>
      </c>
      <c r="D8" s="71" t="s">
        <v>1713</v>
      </c>
      <c r="E8" s="71" t="s">
        <v>760</v>
      </c>
      <c r="F8" s="71" t="s">
        <v>1714</v>
      </c>
      <c r="G8" s="73" t="s">
        <v>738</v>
      </c>
      <c r="H8" s="79" t="n">
        <v>16500</v>
      </c>
      <c r="I8" s="75" t="n">
        <v>0</v>
      </c>
      <c r="J8" s="76" t="n">
        <f aca="false">IF(H8="","",ROUND(H8*(1+I8),2))</f>
        <v>16500</v>
      </c>
      <c r="K8" s="76" t="n">
        <f aca="false">IF(J8="","",ROUND(J8*(1+OHP),2))</f>
        <v>19800</v>
      </c>
      <c r="L8" s="76" t="n">
        <f aca="false">IF(K8="","",ROUND(K8*(1+VAT),2))</f>
        <v>20790</v>
      </c>
      <c r="M8" s="73" t="s">
        <v>89</v>
      </c>
      <c r="N8" s="71"/>
      <c r="O8" s="73"/>
      <c r="P8" s="77"/>
      <c r="Q8" s="71"/>
      <c r="R8" s="78"/>
    </row>
    <row r="9" customFormat="false" ht="15" hidden="false" customHeight="false" outlineLevel="0" collapsed="false">
      <c r="A9" s="70" t="s">
        <v>1715</v>
      </c>
      <c r="B9" s="71" t="s">
        <v>1700</v>
      </c>
      <c r="C9" s="72" t="s">
        <v>1716</v>
      </c>
      <c r="D9" s="71" t="s">
        <v>1717</v>
      </c>
      <c r="E9" s="71" t="s">
        <v>457</v>
      </c>
      <c r="F9" s="71" t="s">
        <v>453</v>
      </c>
      <c r="G9" s="73" t="s">
        <v>738</v>
      </c>
      <c r="H9" s="79" t="n">
        <v>18000</v>
      </c>
      <c r="I9" s="75" t="n">
        <v>0</v>
      </c>
      <c r="J9" s="76" t="n">
        <f aca="false">IF(H9="","",ROUND(H9*(1+I9),2))</f>
        <v>18000</v>
      </c>
      <c r="K9" s="76" t="n">
        <f aca="false">IF(J9="","",ROUND(J9*(1+OHP),2))</f>
        <v>21600</v>
      </c>
      <c r="L9" s="76" t="n">
        <f aca="false">IF(K9="","",ROUND(K9*(1+VAT),2))</f>
        <v>22680</v>
      </c>
      <c r="M9" s="73" t="s">
        <v>89</v>
      </c>
      <c r="N9" s="71"/>
      <c r="O9" s="73"/>
      <c r="P9" s="77"/>
      <c r="Q9" s="71"/>
      <c r="R9" s="78"/>
    </row>
    <row r="10" customFormat="false" ht="15" hidden="false" customHeight="false" outlineLevel="0" collapsed="false">
      <c r="A10" s="70" t="s">
        <v>1718</v>
      </c>
      <c r="B10" s="71" t="s">
        <v>1719</v>
      </c>
      <c r="C10" s="72" t="s">
        <v>1720</v>
      </c>
      <c r="D10" s="71" t="s">
        <v>1721</v>
      </c>
      <c r="E10" s="71" t="s">
        <v>760</v>
      </c>
      <c r="F10" s="71" t="s">
        <v>1722</v>
      </c>
      <c r="G10" s="73" t="s">
        <v>738</v>
      </c>
      <c r="H10" s="79" t="n">
        <v>8500</v>
      </c>
      <c r="I10" s="75" t="n">
        <v>0</v>
      </c>
      <c r="J10" s="76" t="n">
        <f aca="false">IF(H10="","",ROUND(H10*(1+I10),2))</f>
        <v>8500</v>
      </c>
      <c r="K10" s="76" t="n">
        <f aca="false">IF(J10="","",ROUND(J10*(1+OHP),2))</f>
        <v>10200</v>
      </c>
      <c r="L10" s="76" t="n">
        <f aca="false">IF(K10="","",ROUND(K10*(1+VAT),2))</f>
        <v>10710</v>
      </c>
      <c r="M10" s="73" t="s">
        <v>89</v>
      </c>
      <c r="N10" s="71"/>
      <c r="O10" s="73"/>
      <c r="P10" s="77"/>
      <c r="Q10" s="71"/>
      <c r="R10" s="78"/>
    </row>
    <row r="11" customFormat="false" ht="15" hidden="false" customHeight="false" outlineLevel="0" collapsed="false">
      <c r="A11" s="70" t="s">
        <v>1723</v>
      </c>
      <c r="B11" s="71" t="s">
        <v>1719</v>
      </c>
      <c r="C11" s="72" t="s">
        <v>1720</v>
      </c>
      <c r="D11" s="71" t="s">
        <v>1717</v>
      </c>
      <c r="E11" s="71" t="s">
        <v>760</v>
      </c>
      <c r="F11" s="71" t="s">
        <v>756</v>
      </c>
      <c r="G11" s="73" t="s">
        <v>738</v>
      </c>
      <c r="H11" s="79" t="n">
        <v>4200</v>
      </c>
      <c r="I11" s="75" t="n">
        <v>0</v>
      </c>
      <c r="J11" s="76" t="n">
        <f aca="false">IF(H11="","",ROUND(H11*(1+I11),2))</f>
        <v>4200</v>
      </c>
      <c r="K11" s="76" t="n">
        <f aca="false">IF(J11="","",ROUND(J11*(1+OHP),2))</f>
        <v>5040</v>
      </c>
      <c r="L11" s="76" t="n">
        <f aca="false">IF(K11="","",ROUND(K11*(1+VAT),2))</f>
        <v>5292</v>
      </c>
      <c r="M11" s="73" t="s">
        <v>89</v>
      </c>
      <c r="N11" s="71"/>
      <c r="O11" s="73"/>
      <c r="P11" s="77"/>
      <c r="Q11" s="71"/>
      <c r="R11" s="78"/>
    </row>
    <row r="12" customFormat="false" ht="15" hidden="false" customHeight="false" outlineLevel="0" collapsed="false">
      <c r="A12" s="70" t="s">
        <v>1724</v>
      </c>
      <c r="B12" s="71" t="s">
        <v>1725</v>
      </c>
      <c r="C12" s="72" t="s">
        <v>1726</v>
      </c>
      <c r="D12" s="71" t="s">
        <v>457</v>
      </c>
      <c r="E12" s="71" t="s">
        <v>457</v>
      </c>
      <c r="F12" s="71" t="s">
        <v>1727</v>
      </c>
      <c r="G12" s="73" t="s">
        <v>622</v>
      </c>
      <c r="H12" s="79" t="n">
        <v>650</v>
      </c>
      <c r="I12" s="75" t="n">
        <v>0</v>
      </c>
      <c r="J12" s="76" t="n">
        <f aca="false">IF(H12="","",ROUND(H12*(1+I12),2))</f>
        <v>650</v>
      </c>
      <c r="K12" s="76" t="n">
        <f aca="false">IF(J12="","",ROUND(J12*(1+OHP),2))</f>
        <v>780</v>
      </c>
      <c r="L12" s="76" t="n">
        <f aca="false">IF(K12="","",ROUND(K12*(1+VAT),2))</f>
        <v>819</v>
      </c>
      <c r="M12" s="73" t="s">
        <v>89</v>
      </c>
      <c r="N12" s="71"/>
      <c r="O12" s="73"/>
      <c r="P12" s="77"/>
      <c r="Q12" s="71"/>
      <c r="R12" s="78"/>
    </row>
    <row r="13" customFormat="false" ht="15" hidden="false" customHeight="false" outlineLevel="0" collapsed="false">
      <c r="A13" s="70" t="s">
        <v>1728</v>
      </c>
      <c r="B13" s="71" t="s">
        <v>1725</v>
      </c>
      <c r="C13" s="72" t="s">
        <v>1729</v>
      </c>
      <c r="D13" s="71" t="s">
        <v>457</v>
      </c>
      <c r="E13" s="71" t="s">
        <v>457</v>
      </c>
      <c r="F13" s="71" t="s">
        <v>1727</v>
      </c>
      <c r="G13" s="73" t="s">
        <v>622</v>
      </c>
      <c r="H13" s="79" t="n">
        <v>250</v>
      </c>
      <c r="I13" s="75" t="n">
        <v>0</v>
      </c>
      <c r="J13" s="76" t="n">
        <f aca="false">IF(H13="","",ROUND(H13*(1+I13),2))</f>
        <v>250</v>
      </c>
      <c r="K13" s="76" t="n">
        <f aca="false">IF(J13="","",ROUND(J13*(1+OHP),2))</f>
        <v>300</v>
      </c>
      <c r="L13" s="76" t="n">
        <f aca="false">IF(K13="","",ROUND(K13*(1+VAT),2))</f>
        <v>315</v>
      </c>
      <c r="M13" s="73" t="s">
        <v>89</v>
      </c>
      <c r="N13" s="71"/>
      <c r="O13" s="73"/>
      <c r="P13" s="77"/>
      <c r="Q13" s="71"/>
      <c r="R13" s="78"/>
    </row>
    <row r="14" customFormat="false" ht="15" hidden="false" customHeight="false" outlineLevel="0" collapsed="false">
      <c r="A14" s="70" t="s">
        <v>1730</v>
      </c>
      <c r="B14" s="71" t="s">
        <v>1725</v>
      </c>
      <c r="C14" s="72" t="s">
        <v>1731</v>
      </c>
      <c r="D14" s="71" t="s">
        <v>457</v>
      </c>
      <c r="E14" s="71" t="s">
        <v>457</v>
      </c>
      <c r="F14" s="71" t="s">
        <v>1732</v>
      </c>
      <c r="G14" s="73" t="s">
        <v>622</v>
      </c>
      <c r="H14" s="79" t="n">
        <v>350</v>
      </c>
      <c r="I14" s="75" t="n">
        <v>0</v>
      </c>
      <c r="J14" s="76" t="n">
        <f aca="false">IF(H14="","",ROUND(H14*(1+I14),2))</f>
        <v>350</v>
      </c>
      <c r="K14" s="76" t="n">
        <f aca="false">IF(J14="","",ROUND(J14*(1+OHP),2))</f>
        <v>420</v>
      </c>
      <c r="L14" s="76" t="n">
        <f aca="false">IF(K14="","",ROUND(K14*(1+VAT),2))</f>
        <v>441</v>
      </c>
      <c r="M14" s="73" t="s">
        <v>89</v>
      </c>
      <c r="N14" s="71"/>
      <c r="O14" s="73"/>
      <c r="P14" s="77"/>
      <c r="Q14" s="71"/>
      <c r="R14" s="78"/>
    </row>
    <row r="15" customFormat="false" ht="15" hidden="false" customHeight="false" outlineLevel="0" collapsed="false">
      <c r="A15" s="70" t="s">
        <v>1733</v>
      </c>
      <c r="B15" s="71" t="s">
        <v>1725</v>
      </c>
      <c r="C15" s="72" t="s">
        <v>1734</v>
      </c>
      <c r="D15" s="71" t="s">
        <v>457</v>
      </c>
      <c r="E15" s="71" t="s">
        <v>457</v>
      </c>
      <c r="F15" s="71" t="s">
        <v>1732</v>
      </c>
      <c r="G15" s="73" t="s">
        <v>622</v>
      </c>
      <c r="H15" s="79" t="n">
        <v>750</v>
      </c>
      <c r="I15" s="75" t="n">
        <v>0</v>
      </c>
      <c r="J15" s="76" t="n">
        <f aca="false">IF(H15="","",ROUND(H15*(1+I15),2))</f>
        <v>750</v>
      </c>
      <c r="K15" s="76" t="n">
        <f aca="false">IF(J15="","",ROUND(J15*(1+OHP),2))</f>
        <v>900</v>
      </c>
      <c r="L15" s="76" t="n">
        <f aca="false">IF(K15="","",ROUND(K15*(1+VAT),2))</f>
        <v>945</v>
      </c>
      <c r="M15" s="73" t="s">
        <v>89</v>
      </c>
      <c r="N15" s="71"/>
      <c r="O15" s="73"/>
      <c r="P15" s="77"/>
      <c r="Q15" s="71"/>
      <c r="R15" s="78"/>
    </row>
    <row r="16" customFormat="false" ht="15" hidden="false" customHeight="false" outlineLevel="0" collapsed="false">
      <c r="A16" s="70" t="s">
        <v>1735</v>
      </c>
      <c r="B16" s="71" t="s">
        <v>1725</v>
      </c>
      <c r="C16" s="72" t="s">
        <v>1736</v>
      </c>
      <c r="D16" s="71" t="s">
        <v>457</v>
      </c>
      <c r="E16" s="71" t="s">
        <v>55</v>
      </c>
      <c r="F16" s="71" t="s">
        <v>217</v>
      </c>
      <c r="G16" s="73" t="s">
        <v>622</v>
      </c>
      <c r="H16" s="79" t="n">
        <v>85</v>
      </c>
      <c r="I16" s="75" t="n">
        <v>0</v>
      </c>
      <c r="J16" s="76" t="n">
        <f aca="false">IF(H16="","",ROUND(H16*(1+I16),2))</f>
        <v>85</v>
      </c>
      <c r="K16" s="76" t="n">
        <f aca="false">IF(J16="","",ROUND(J16*(1+OHP),2))</f>
        <v>102</v>
      </c>
      <c r="L16" s="76" t="n">
        <f aca="false">IF(K16="","",ROUND(K16*(1+VAT),2))</f>
        <v>107.1</v>
      </c>
      <c r="M16" s="73" t="s">
        <v>89</v>
      </c>
      <c r="N16" s="71"/>
      <c r="O16" s="73"/>
      <c r="P16" s="77"/>
      <c r="Q16" s="71"/>
      <c r="R16" s="78" t="s">
        <v>671</v>
      </c>
    </row>
    <row r="17" customFormat="false" ht="15" hidden="false" customHeight="false" outlineLevel="0" collapsed="false">
      <c r="A17" s="70" t="s">
        <v>1737</v>
      </c>
      <c r="B17" s="71" t="s">
        <v>1725</v>
      </c>
      <c r="C17" s="72" t="s">
        <v>1738</v>
      </c>
      <c r="D17" s="71" t="s">
        <v>1739</v>
      </c>
      <c r="E17" s="71" t="s">
        <v>457</v>
      </c>
      <c r="F17" s="71" t="s">
        <v>349</v>
      </c>
      <c r="G17" s="73" t="s">
        <v>622</v>
      </c>
      <c r="H17" s="79" t="n">
        <v>450</v>
      </c>
      <c r="I17" s="75" t="n">
        <v>0</v>
      </c>
      <c r="J17" s="76" t="n">
        <f aca="false">IF(H17="","",ROUND(H17*(1+I17),2))</f>
        <v>450</v>
      </c>
      <c r="K17" s="76" t="n">
        <f aca="false">IF(J17="","",ROUND(J17*(1+OHP),2))</f>
        <v>540</v>
      </c>
      <c r="L17" s="76" t="n">
        <f aca="false">IF(K17="","",ROUND(K17*(1+VAT),2))</f>
        <v>567</v>
      </c>
      <c r="M17" s="73" t="s">
        <v>89</v>
      </c>
      <c r="N17" s="71"/>
      <c r="O17" s="73"/>
      <c r="P17" s="77"/>
      <c r="Q17" s="71"/>
      <c r="R17" s="78" t="s">
        <v>671</v>
      </c>
    </row>
    <row r="18" customFormat="false" ht="15" hidden="false" customHeight="false" outlineLevel="0" collapsed="false">
      <c r="A18" s="70" t="s">
        <v>1740</v>
      </c>
      <c r="B18" s="71" t="s">
        <v>1741</v>
      </c>
      <c r="C18" s="72" t="s">
        <v>1742</v>
      </c>
      <c r="D18" s="71" t="s">
        <v>723</v>
      </c>
      <c r="E18" s="71" t="s">
        <v>877</v>
      </c>
      <c r="F18" s="71" t="s">
        <v>217</v>
      </c>
      <c r="G18" s="73" t="s">
        <v>378</v>
      </c>
      <c r="H18" s="79" t="n">
        <v>280</v>
      </c>
      <c r="I18" s="75" t="n">
        <v>0</v>
      </c>
      <c r="J18" s="76" t="n">
        <f aca="false">IF(H18="","",ROUND(H18*(1+I18),2))</f>
        <v>280</v>
      </c>
      <c r="K18" s="76" t="n">
        <f aca="false">IF(J18="","",ROUND(J18*(1+OHP),2))</f>
        <v>336</v>
      </c>
      <c r="L18" s="76" t="n">
        <f aca="false">IF(K18="","",ROUND(K18*(1+VAT),2))</f>
        <v>352.8</v>
      </c>
      <c r="M18" s="73" t="s">
        <v>89</v>
      </c>
      <c r="N18" s="71"/>
      <c r="O18" s="73"/>
      <c r="P18" s="77"/>
      <c r="Q18" s="71"/>
      <c r="R18" s="78" t="s">
        <v>199</v>
      </c>
    </row>
    <row r="19" customFormat="false" ht="15" hidden="false" customHeight="false" outlineLevel="0" collapsed="false">
      <c r="A19" s="70" t="s">
        <v>1743</v>
      </c>
      <c r="B19" s="71" t="s">
        <v>1741</v>
      </c>
      <c r="C19" s="72" t="s">
        <v>1744</v>
      </c>
      <c r="D19" s="71" t="s">
        <v>1745</v>
      </c>
      <c r="E19" s="71" t="s">
        <v>877</v>
      </c>
      <c r="F19" s="71" t="s">
        <v>217</v>
      </c>
      <c r="G19" s="73" t="s">
        <v>378</v>
      </c>
      <c r="H19" s="79" t="n">
        <v>420</v>
      </c>
      <c r="I19" s="75" t="n">
        <v>0</v>
      </c>
      <c r="J19" s="76" t="n">
        <f aca="false">IF(H19="","",ROUND(H19*(1+I19),2))</f>
        <v>420</v>
      </c>
      <c r="K19" s="76" t="n">
        <f aca="false">IF(J19="","",ROUND(J19*(1+OHP),2))</f>
        <v>504</v>
      </c>
      <c r="L19" s="76" t="n">
        <f aca="false">IF(K19="","",ROUND(K19*(1+VAT),2))</f>
        <v>529.2</v>
      </c>
      <c r="M19" s="73" t="s">
        <v>89</v>
      </c>
      <c r="N19" s="71"/>
      <c r="O19" s="73"/>
      <c r="P19" s="77"/>
      <c r="Q19" s="71"/>
      <c r="R19" s="78" t="s">
        <v>199</v>
      </c>
    </row>
    <row r="20" customFormat="false" ht="15" hidden="false" customHeight="false" outlineLevel="0" collapsed="false">
      <c r="A20" s="70" t="s">
        <v>1746</v>
      </c>
      <c r="B20" s="71" t="s">
        <v>1741</v>
      </c>
      <c r="C20" s="72" t="s">
        <v>1747</v>
      </c>
      <c r="D20" s="71" t="s">
        <v>723</v>
      </c>
      <c r="E20" s="71" t="s">
        <v>1748</v>
      </c>
      <c r="F20" s="71" t="s">
        <v>217</v>
      </c>
      <c r="G20" s="73" t="s">
        <v>378</v>
      </c>
      <c r="H20" s="79" t="n">
        <v>320</v>
      </c>
      <c r="I20" s="75" t="n">
        <v>0</v>
      </c>
      <c r="J20" s="76" t="n">
        <f aca="false">IF(H20="","",ROUND(H20*(1+I20),2))</f>
        <v>320</v>
      </c>
      <c r="K20" s="76" t="n">
        <f aca="false">IF(J20="","",ROUND(J20*(1+OHP),2))</f>
        <v>384</v>
      </c>
      <c r="L20" s="76" t="n">
        <f aca="false">IF(K20="","",ROUND(K20*(1+VAT),2))</f>
        <v>403.2</v>
      </c>
      <c r="M20" s="73" t="s">
        <v>89</v>
      </c>
      <c r="N20" s="71"/>
      <c r="O20" s="73"/>
      <c r="P20" s="77"/>
      <c r="Q20" s="71"/>
      <c r="R20" s="78" t="s">
        <v>1311</v>
      </c>
    </row>
    <row r="21" customFormat="false" ht="15" hidden="false" customHeight="false" outlineLevel="0" collapsed="false">
      <c r="A21" s="70" t="s">
        <v>1749</v>
      </c>
      <c r="B21" s="71" t="s">
        <v>1741</v>
      </c>
      <c r="C21" s="72" t="s">
        <v>1750</v>
      </c>
      <c r="D21" s="71" t="s">
        <v>1751</v>
      </c>
      <c r="E21" s="71" t="s">
        <v>1310</v>
      </c>
      <c r="F21" s="71" t="s">
        <v>453</v>
      </c>
      <c r="G21" s="73" t="s">
        <v>378</v>
      </c>
      <c r="H21" s="79" t="n">
        <v>950</v>
      </c>
      <c r="I21" s="75" t="n">
        <v>0</v>
      </c>
      <c r="J21" s="76" t="n">
        <f aca="false">IF(H21="","",ROUND(H21*(1+I21),2))</f>
        <v>950</v>
      </c>
      <c r="K21" s="76" t="n">
        <f aca="false">IF(J21="","",ROUND(J21*(1+OHP),2))</f>
        <v>1140</v>
      </c>
      <c r="L21" s="76" t="n">
        <f aca="false">IF(K21="","",ROUND(K21*(1+VAT),2))</f>
        <v>1197</v>
      </c>
      <c r="M21" s="73" t="s">
        <v>89</v>
      </c>
      <c r="N21" s="71"/>
      <c r="O21" s="73"/>
      <c r="P21" s="77"/>
      <c r="Q21" s="71"/>
      <c r="R21" s="78" t="s">
        <v>1752</v>
      </c>
    </row>
    <row r="22" customFormat="false" ht="15" hidden="false" customHeight="false" outlineLevel="0" collapsed="false">
      <c r="A22" s="70" t="s">
        <v>1753</v>
      </c>
      <c r="B22" s="71" t="s">
        <v>1741</v>
      </c>
      <c r="C22" s="72" t="s">
        <v>1754</v>
      </c>
      <c r="D22" s="71" t="s">
        <v>1755</v>
      </c>
      <c r="E22" s="71" t="s">
        <v>457</v>
      </c>
      <c r="F22" s="71" t="s">
        <v>1756</v>
      </c>
      <c r="G22" s="73" t="s">
        <v>622</v>
      </c>
      <c r="H22" s="79" t="n">
        <v>950</v>
      </c>
      <c r="I22" s="75" t="n">
        <v>0</v>
      </c>
      <c r="J22" s="76" t="n">
        <f aca="false">IF(H22="","",ROUND(H22*(1+I22),2))</f>
        <v>950</v>
      </c>
      <c r="K22" s="76" t="n">
        <f aca="false">IF(J22="","",ROUND(J22*(1+OHP),2))</f>
        <v>1140</v>
      </c>
      <c r="L22" s="76" t="n">
        <f aca="false">IF(K22="","",ROUND(K22*(1+VAT),2))</f>
        <v>1197</v>
      </c>
      <c r="M22" s="73" t="s">
        <v>89</v>
      </c>
      <c r="N22" s="71"/>
      <c r="O22" s="73"/>
      <c r="P22" s="77"/>
      <c r="Q22" s="71"/>
      <c r="R22" s="78"/>
    </row>
    <row r="23" customFormat="false" ht="15" hidden="false" customHeight="false" outlineLevel="0" collapsed="false">
      <c r="A23" s="80" t="str">
        <f aca="false">IF(C23="","","AD-"&amp;TEXT(ROW()-4,"000"))</f>
        <v/>
      </c>
      <c r="B23" s="81"/>
      <c r="C23" s="81"/>
      <c r="D23" s="81"/>
      <c r="E23" s="81"/>
      <c r="F23" s="81"/>
      <c r="G23" s="82"/>
      <c r="H23" s="83"/>
      <c r="I23" s="84"/>
      <c r="J23" s="85" t="str">
        <f aca="false">IF(H23="","",ROUND(H23*(1+I23),2))</f>
        <v/>
      </c>
      <c r="K23" s="85" t="str">
        <f aca="false">IF(J23="","",ROUND(J23*(1+OHP),2))</f>
        <v/>
      </c>
      <c r="L23" s="85" t="str">
        <f aca="false">IF(K23="","",ROUND(K23*(1+VAT),2))</f>
        <v/>
      </c>
      <c r="M23" s="82"/>
      <c r="N23" s="81"/>
      <c r="O23" s="82"/>
      <c r="P23" s="86"/>
      <c r="Q23" s="81"/>
      <c r="R23" s="87"/>
    </row>
    <row r="24" customFormat="false" ht="15" hidden="false" customHeight="false" outlineLevel="0" collapsed="false">
      <c r="A24" s="80" t="str">
        <f aca="false">IF(C24="","","AD-"&amp;TEXT(ROW()-4,"000"))</f>
        <v/>
      </c>
      <c r="B24" s="81"/>
      <c r="C24" s="81"/>
      <c r="D24" s="81"/>
      <c r="E24" s="81"/>
      <c r="F24" s="81"/>
      <c r="G24" s="82"/>
      <c r="H24" s="83"/>
      <c r="I24" s="84"/>
      <c r="J24" s="85" t="str">
        <f aca="false">IF(H24="","",ROUND(H24*(1+I24),2))</f>
        <v/>
      </c>
      <c r="K24" s="85" t="str">
        <f aca="false">IF(J24="","",ROUND(J24*(1+OHP),2))</f>
        <v/>
      </c>
      <c r="L24" s="85" t="str">
        <f aca="false">IF(K24="","",ROUND(K24*(1+VAT),2))</f>
        <v/>
      </c>
      <c r="M24" s="82"/>
      <c r="N24" s="81"/>
      <c r="O24" s="82"/>
      <c r="P24" s="86"/>
      <c r="Q24" s="81"/>
      <c r="R24" s="87"/>
    </row>
    <row r="25" customFormat="false" ht="15" hidden="false" customHeight="false" outlineLevel="0" collapsed="false">
      <c r="A25" s="80" t="str">
        <f aca="false">IF(C25="","","AD-"&amp;TEXT(ROW()-4,"000"))</f>
        <v/>
      </c>
      <c r="B25" s="81"/>
      <c r="C25" s="81"/>
      <c r="D25" s="81"/>
      <c r="E25" s="81"/>
      <c r="F25" s="81"/>
      <c r="G25" s="82"/>
      <c r="H25" s="83"/>
      <c r="I25" s="84"/>
      <c r="J25" s="85" t="str">
        <f aca="false">IF(H25="","",ROUND(H25*(1+I25),2))</f>
        <v/>
      </c>
      <c r="K25" s="85" t="str">
        <f aca="false">IF(J25="","",ROUND(J25*(1+OHP),2))</f>
        <v/>
      </c>
      <c r="L25" s="85" t="str">
        <f aca="false">IF(K25="","",ROUND(K25*(1+VAT),2))</f>
        <v/>
      </c>
      <c r="M25" s="82"/>
      <c r="N25" s="81"/>
      <c r="O25" s="82"/>
      <c r="P25" s="86"/>
      <c r="Q25" s="81"/>
      <c r="R25" s="87"/>
    </row>
    <row r="26" customFormat="false" ht="15" hidden="false" customHeight="false" outlineLevel="0" collapsed="false">
      <c r="A26" s="80" t="str">
        <f aca="false">IF(C26="","","AD-"&amp;TEXT(ROW()-4,"000"))</f>
        <v/>
      </c>
      <c r="B26" s="81"/>
      <c r="C26" s="81"/>
      <c r="D26" s="81"/>
      <c r="E26" s="81"/>
      <c r="F26" s="81"/>
      <c r="G26" s="82"/>
      <c r="H26" s="83"/>
      <c r="I26" s="84"/>
      <c r="J26" s="85" t="str">
        <f aca="false">IF(H26="","",ROUND(H26*(1+I26),2))</f>
        <v/>
      </c>
      <c r="K26" s="85" t="str">
        <f aca="false">IF(J26="","",ROUND(J26*(1+OHP),2))</f>
        <v/>
      </c>
      <c r="L26" s="85" t="str">
        <f aca="false">IF(K26="","",ROUND(K26*(1+VAT),2))</f>
        <v/>
      </c>
      <c r="M26" s="82"/>
      <c r="N26" s="81"/>
      <c r="O26" s="82"/>
      <c r="P26" s="86"/>
      <c r="Q26" s="81"/>
      <c r="R26" s="87"/>
    </row>
    <row r="27" customFormat="false" ht="15" hidden="false" customHeight="false" outlineLevel="0" collapsed="false">
      <c r="A27" s="80" t="str">
        <f aca="false">IF(C27="","","AD-"&amp;TEXT(ROW()-4,"000"))</f>
        <v/>
      </c>
      <c r="B27" s="81"/>
      <c r="C27" s="81"/>
      <c r="D27" s="81"/>
      <c r="E27" s="81"/>
      <c r="F27" s="81"/>
      <c r="G27" s="82"/>
      <c r="H27" s="83"/>
      <c r="I27" s="84"/>
      <c r="J27" s="85" t="str">
        <f aca="false">IF(H27="","",ROUND(H27*(1+I27),2))</f>
        <v/>
      </c>
      <c r="K27" s="85" t="str">
        <f aca="false">IF(J27="","",ROUND(J27*(1+OHP),2))</f>
        <v/>
      </c>
      <c r="L27" s="85" t="str">
        <f aca="false">IF(K27="","",ROUND(K27*(1+VAT),2))</f>
        <v/>
      </c>
      <c r="M27" s="82"/>
      <c r="N27" s="81"/>
      <c r="O27" s="82"/>
      <c r="P27" s="86"/>
      <c r="Q27" s="81"/>
      <c r="R27" s="87"/>
    </row>
    <row r="28" customFormat="false" ht="15" hidden="false" customHeight="false" outlineLevel="0" collapsed="false">
      <c r="A28" s="80" t="str">
        <f aca="false">IF(C28="","","AD-"&amp;TEXT(ROW()-4,"000"))</f>
        <v/>
      </c>
      <c r="B28" s="81"/>
      <c r="C28" s="81"/>
      <c r="D28" s="81"/>
      <c r="E28" s="81"/>
      <c r="F28" s="81"/>
      <c r="G28" s="82"/>
      <c r="H28" s="83"/>
      <c r="I28" s="84"/>
      <c r="J28" s="85" t="str">
        <f aca="false">IF(H28="","",ROUND(H28*(1+I28),2))</f>
        <v/>
      </c>
      <c r="K28" s="85" t="str">
        <f aca="false">IF(J28="","",ROUND(J28*(1+OHP),2))</f>
        <v/>
      </c>
      <c r="L28" s="85" t="str">
        <f aca="false">IF(K28="","",ROUND(K28*(1+VAT),2))</f>
        <v/>
      </c>
      <c r="M28" s="82"/>
      <c r="N28" s="81"/>
      <c r="O28" s="82"/>
      <c r="P28" s="86"/>
      <c r="Q28" s="81"/>
      <c r="R28" s="87"/>
    </row>
    <row r="29" customFormat="false" ht="15" hidden="false" customHeight="false" outlineLevel="0" collapsed="false">
      <c r="A29" s="80" t="str">
        <f aca="false">IF(C29="","","AD-"&amp;TEXT(ROW()-4,"000"))</f>
        <v/>
      </c>
      <c r="B29" s="81"/>
      <c r="C29" s="81"/>
      <c r="D29" s="81"/>
      <c r="E29" s="81"/>
      <c r="F29" s="81"/>
      <c r="G29" s="82"/>
      <c r="H29" s="83"/>
      <c r="I29" s="84"/>
      <c r="J29" s="85" t="str">
        <f aca="false">IF(H29="","",ROUND(H29*(1+I29),2))</f>
        <v/>
      </c>
      <c r="K29" s="85" t="str">
        <f aca="false">IF(J29="","",ROUND(J29*(1+OHP),2))</f>
        <v/>
      </c>
      <c r="L29" s="85" t="str">
        <f aca="false">IF(K29="","",ROUND(K29*(1+VAT),2))</f>
        <v/>
      </c>
      <c r="M29" s="82"/>
      <c r="N29" s="81"/>
      <c r="O29" s="82"/>
      <c r="P29" s="86"/>
      <c r="Q29" s="81"/>
      <c r="R29" s="87"/>
    </row>
    <row r="30" customFormat="false" ht="15" hidden="false" customHeight="false" outlineLevel="0" collapsed="false">
      <c r="A30" s="80" t="str">
        <f aca="false">IF(C30="","","AD-"&amp;TEXT(ROW()-4,"000"))</f>
        <v/>
      </c>
      <c r="B30" s="81"/>
      <c r="C30" s="81"/>
      <c r="D30" s="81"/>
      <c r="E30" s="81"/>
      <c r="F30" s="81"/>
      <c r="G30" s="82"/>
      <c r="H30" s="83"/>
      <c r="I30" s="84"/>
      <c r="J30" s="85" t="str">
        <f aca="false">IF(H30="","",ROUND(H30*(1+I30),2))</f>
        <v/>
      </c>
      <c r="K30" s="85" t="str">
        <f aca="false">IF(J30="","",ROUND(J30*(1+OHP),2))</f>
        <v/>
      </c>
      <c r="L30" s="85" t="str">
        <f aca="false">IF(K30="","",ROUND(K30*(1+VAT),2))</f>
        <v/>
      </c>
      <c r="M30" s="82"/>
      <c r="N30" s="81"/>
      <c r="O30" s="82"/>
      <c r="P30" s="86"/>
      <c r="Q30" s="81"/>
      <c r="R30" s="87"/>
    </row>
    <row r="31" customFormat="false" ht="15" hidden="false" customHeight="false" outlineLevel="0" collapsed="false">
      <c r="A31" s="80" t="str">
        <f aca="false">IF(C31="","","AD-"&amp;TEXT(ROW()-4,"000"))</f>
        <v/>
      </c>
      <c r="B31" s="81"/>
      <c r="C31" s="81"/>
      <c r="D31" s="81"/>
      <c r="E31" s="81"/>
      <c r="F31" s="81"/>
      <c r="G31" s="82"/>
      <c r="H31" s="83"/>
      <c r="I31" s="84"/>
      <c r="J31" s="85" t="str">
        <f aca="false">IF(H31="","",ROUND(H31*(1+I31),2))</f>
        <v/>
      </c>
      <c r="K31" s="85" t="str">
        <f aca="false">IF(J31="","",ROUND(J31*(1+OHP),2))</f>
        <v/>
      </c>
      <c r="L31" s="85" t="str">
        <f aca="false">IF(K31="","",ROUND(K31*(1+VAT),2))</f>
        <v/>
      </c>
      <c r="M31" s="82"/>
      <c r="N31" s="81"/>
      <c r="O31" s="82"/>
      <c r="P31" s="86"/>
      <c r="Q31" s="81"/>
      <c r="R31" s="87"/>
    </row>
    <row r="32" customFormat="false" ht="15" hidden="false" customHeight="false" outlineLevel="0" collapsed="false">
      <c r="A32" s="80" t="str">
        <f aca="false">IF(C32="","","AD-"&amp;TEXT(ROW()-4,"000"))</f>
        <v/>
      </c>
      <c r="B32" s="81"/>
      <c r="C32" s="81"/>
      <c r="D32" s="81"/>
      <c r="E32" s="81"/>
      <c r="F32" s="81"/>
      <c r="G32" s="82"/>
      <c r="H32" s="83"/>
      <c r="I32" s="84"/>
      <c r="J32" s="85" t="str">
        <f aca="false">IF(H32="","",ROUND(H32*(1+I32),2))</f>
        <v/>
      </c>
      <c r="K32" s="85" t="str">
        <f aca="false">IF(J32="","",ROUND(J32*(1+OHP),2))</f>
        <v/>
      </c>
      <c r="L32" s="85" t="str">
        <f aca="false">IF(K32="","",ROUND(K32*(1+VAT),2))</f>
        <v/>
      </c>
      <c r="M32" s="82"/>
      <c r="N32" s="81"/>
      <c r="O32" s="82"/>
      <c r="P32" s="86"/>
      <c r="Q32" s="81"/>
      <c r="R32" s="87"/>
    </row>
    <row r="33" customFormat="false" ht="15" hidden="false" customHeight="false" outlineLevel="0" collapsed="false">
      <c r="A33" s="80" t="str">
        <f aca="false">IF(C33="","","AD-"&amp;TEXT(ROW()-4,"000"))</f>
        <v/>
      </c>
      <c r="B33" s="81"/>
      <c r="C33" s="81"/>
      <c r="D33" s="81"/>
      <c r="E33" s="81"/>
      <c r="F33" s="81"/>
      <c r="G33" s="82"/>
      <c r="H33" s="83"/>
      <c r="I33" s="84"/>
      <c r="J33" s="85" t="str">
        <f aca="false">IF(H33="","",ROUND(H33*(1+I33),2))</f>
        <v/>
      </c>
      <c r="K33" s="85" t="str">
        <f aca="false">IF(J33="","",ROUND(J33*(1+OHP),2))</f>
        <v/>
      </c>
      <c r="L33" s="85" t="str">
        <f aca="false">IF(K33="","",ROUND(K33*(1+VAT),2))</f>
        <v/>
      </c>
      <c r="M33" s="82"/>
      <c r="N33" s="81"/>
      <c r="O33" s="82"/>
      <c r="P33" s="86"/>
      <c r="Q33" s="81"/>
      <c r="R33" s="87"/>
    </row>
    <row r="34" customFormat="false" ht="15" hidden="false" customHeight="false" outlineLevel="0" collapsed="false">
      <c r="A34" s="80" t="str">
        <f aca="false">IF(C34="","","AD-"&amp;TEXT(ROW()-4,"000"))</f>
        <v/>
      </c>
      <c r="B34" s="81"/>
      <c r="C34" s="81"/>
      <c r="D34" s="81"/>
      <c r="E34" s="81"/>
      <c r="F34" s="81"/>
      <c r="G34" s="82"/>
      <c r="H34" s="83"/>
      <c r="I34" s="84"/>
      <c r="J34" s="85" t="str">
        <f aca="false">IF(H34="","",ROUND(H34*(1+I34),2))</f>
        <v/>
      </c>
      <c r="K34" s="85" t="str">
        <f aca="false">IF(J34="","",ROUND(J34*(1+OHP),2))</f>
        <v/>
      </c>
      <c r="L34" s="85" t="str">
        <f aca="false">IF(K34="","",ROUND(K34*(1+VAT),2))</f>
        <v/>
      </c>
      <c r="M34" s="82"/>
      <c r="N34" s="81"/>
      <c r="O34" s="82"/>
      <c r="P34" s="86"/>
      <c r="Q34" s="81"/>
      <c r="R34" s="87"/>
    </row>
    <row r="35" customFormat="false" ht="15" hidden="false" customHeight="false" outlineLevel="0" collapsed="false">
      <c r="A35" s="80" t="str">
        <f aca="false">IF(C35="","","AD-"&amp;TEXT(ROW()-4,"000"))</f>
        <v/>
      </c>
      <c r="B35" s="81"/>
      <c r="C35" s="81"/>
      <c r="D35" s="81"/>
      <c r="E35" s="81"/>
      <c r="F35" s="81"/>
      <c r="G35" s="82"/>
      <c r="H35" s="83"/>
      <c r="I35" s="84"/>
      <c r="J35" s="85" t="str">
        <f aca="false">IF(H35="","",ROUND(H35*(1+I35),2))</f>
        <v/>
      </c>
      <c r="K35" s="85" t="str">
        <f aca="false">IF(J35="","",ROUND(J35*(1+OHP),2))</f>
        <v/>
      </c>
      <c r="L35" s="85" t="str">
        <f aca="false">IF(K35="","",ROUND(K35*(1+VAT),2))</f>
        <v/>
      </c>
      <c r="M35" s="82"/>
      <c r="N35" s="81"/>
      <c r="O35" s="82"/>
      <c r="P35" s="86"/>
      <c r="Q35" s="81"/>
      <c r="R35" s="87"/>
    </row>
    <row r="36" customFormat="false" ht="15" hidden="false" customHeight="false" outlineLevel="0" collapsed="false">
      <c r="A36" s="80" t="str">
        <f aca="false">IF(C36="","","AD-"&amp;TEXT(ROW()-4,"000"))</f>
        <v/>
      </c>
      <c r="B36" s="81"/>
      <c r="C36" s="81"/>
      <c r="D36" s="81"/>
      <c r="E36" s="81"/>
      <c r="F36" s="81"/>
      <c r="G36" s="82"/>
      <c r="H36" s="83"/>
      <c r="I36" s="84"/>
      <c r="J36" s="85" t="str">
        <f aca="false">IF(H36="","",ROUND(H36*(1+I36),2))</f>
        <v/>
      </c>
      <c r="K36" s="85" t="str">
        <f aca="false">IF(J36="","",ROUND(J36*(1+OHP),2))</f>
        <v/>
      </c>
      <c r="L36" s="85" t="str">
        <f aca="false">IF(K36="","",ROUND(K36*(1+VAT),2))</f>
        <v/>
      </c>
      <c r="M36" s="82"/>
      <c r="N36" s="81"/>
      <c r="O36" s="82"/>
      <c r="P36" s="86"/>
      <c r="Q36" s="81"/>
      <c r="R36" s="87"/>
    </row>
    <row r="37" customFormat="false" ht="15" hidden="false" customHeight="false" outlineLevel="0" collapsed="false">
      <c r="A37" s="80" t="str">
        <f aca="false">IF(C37="","","AD-"&amp;TEXT(ROW()-4,"000"))</f>
        <v/>
      </c>
      <c r="B37" s="81"/>
      <c r="C37" s="81"/>
      <c r="D37" s="81"/>
      <c r="E37" s="81"/>
      <c r="F37" s="81"/>
      <c r="G37" s="82"/>
      <c r="H37" s="83"/>
      <c r="I37" s="84"/>
      <c r="J37" s="85" t="str">
        <f aca="false">IF(H37="","",ROUND(H37*(1+I37),2))</f>
        <v/>
      </c>
      <c r="K37" s="85" t="str">
        <f aca="false">IF(J37="","",ROUND(J37*(1+OHP),2))</f>
        <v/>
      </c>
      <c r="L37" s="85" t="str">
        <f aca="false">IF(K37="","",ROUND(K37*(1+VAT),2))</f>
        <v/>
      </c>
      <c r="M37" s="82"/>
      <c r="N37" s="81"/>
      <c r="O37" s="82"/>
      <c r="P37" s="86"/>
      <c r="Q37" s="81"/>
      <c r="R37" s="87"/>
    </row>
  </sheetData>
  <autoFilter ref="A4:R37"/>
  <mergeCells count="2">
    <mergeCell ref="A1:R1"/>
    <mergeCell ref="A2:R2"/>
  </mergeCells>
  <conditionalFormatting sqref="A5:R37">
    <cfRule type="expression" priority="2" aboveAverage="0" equalAverage="0" bottom="0" percent="0" rank="0" text="" dxfId="1">
      <formula>AND($C5&lt;&gt;"",MOD(ROW(),2)=0,$M5&lt;&gt;"Obsolete")</formula>
    </cfRule>
    <cfRule type="expression" priority="3" aboveAverage="0" equalAverage="0" bottom="0" percent="0" rank="0" text="" dxfId="12">
      <formula>$M5="Obsolete"</formula>
    </cfRule>
  </conditionalFormatting>
  <conditionalFormatting sqref="M5:M37">
    <cfRule type="expression" priority="4" aboveAverage="0" equalAverage="0" bottom="0" percent="0" rank="0" text="" dxfId="13">
      <formula>$M5="Indicative"</formula>
    </cfRule>
    <cfRule type="expression" priority="5" aboveAverage="0" equalAverage="0" bottom="0" percent="0" rank="0" text="" dxfId="14">
      <formula>$M5="Quoted"</formula>
    </cfRule>
    <cfRule type="expression" priority="6" aboveAverage="0" equalAverage="0" bottom="0" percent="0" rank="0" text="" dxfId="15">
      <formula>$M5="Verified"</formula>
    </cfRule>
    <cfRule type="expression" priority="7" aboveAverage="0" equalAverage="0" bottom="0" percent="0" rank="0" text="" dxfId="16">
      <formula>$M5="Obsolete"</formula>
    </cfRule>
  </conditionalFormatting>
  <dataValidations count="2">
    <dataValidation allowBlank="true" error="Enter wastage as a percentage, e.g. 5%" errorStyle="stop" operator="between" showDropDown="false" showErrorMessage="false" showInputMessage="false" sqref="I5:I37" type="decimal">
      <formula1>0</formula1>
      <formula2>1</formula2>
    </dataValidation>
    <dataValidation allowBlank="true" errorStyle="stop" operator="between" showDropDown="false" showErrorMessage="false" showInputMessage="false" sqref="M5:M37" type="list">
      <formula1>"Indicative,Quoted,Verified,Obsolete"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&amp;L&amp;8Automatic Doors, Operators Shutters&amp;C&amp;8Page &amp;P of &amp;N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2EFDA"/>
    <pageSetUpPr fitToPage="true"/>
  </sheetPr>
  <dimension ref="A1:R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32"/>
    <col collapsed="false" customWidth="true" hidden="false" outlineLevel="0" max="5" min="5" style="0" width="20"/>
    <col collapsed="false" customWidth="true" hidden="false" outlineLevel="0" max="6" min="6" style="0" width="26"/>
    <col collapsed="false" customWidth="true" hidden="false" outlineLevel="0" max="7" min="7" style="0" width="7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1" min="10" style="0" width="13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20"/>
    <col collapsed="false" customWidth="true" hidden="false" outlineLevel="0" max="15" min="15" style="0" width="13"/>
    <col collapsed="false" customWidth="true" hidden="false" outlineLevel="0" max="16" min="16" style="0" width="12"/>
    <col collapsed="false" customWidth="true" hidden="false" outlineLevel="0" max="17" min="17" style="0" width="26"/>
    <col collapsed="false" customWidth="true" hidden="false" outlineLevel="0" max="18" min="18" style="0" width="34"/>
  </cols>
  <sheetData>
    <row r="1" customFormat="false" ht="30" hidden="false" customHeight="true" outlineLevel="0" collapsed="false">
      <c r="A1" s="65" t="s">
        <v>1757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</row>
    <row r="2" customFormat="false" ht="15" hidden="false" customHeight="false" outlineLevel="0" collapsed="false">
      <c r="A2" s="99" t="s">
        <v>1758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</row>
    <row r="3" customFormat="false" ht="15" hidden="false" customHeight="false" outlineLevel="0" collapsed="false">
      <c r="A3" s="7" t="str">
        <f aca="false">HYPERLINK("#Index!A1","&lt;&lt; Back to Index")</f>
        <v>&lt;&lt; Back to Index</v>
      </c>
      <c r="D3" s="67" t="s">
        <v>180</v>
      </c>
      <c r="E3" s="68" t="n">
        <f aca="false">COUNTA(C5:C36)</f>
        <v>17</v>
      </c>
      <c r="H3" s="69" t="s">
        <v>181</v>
      </c>
    </row>
    <row r="4" customFormat="false" ht="31.5" hidden="false" customHeight="true" outlineLevel="0" collapsed="false">
      <c r="A4" s="8" t="s">
        <v>110</v>
      </c>
      <c r="B4" s="8" t="s">
        <v>121</v>
      </c>
      <c r="C4" s="8" t="s">
        <v>111</v>
      </c>
      <c r="D4" s="8" t="s">
        <v>112</v>
      </c>
      <c r="E4" s="8" t="s">
        <v>113</v>
      </c>
      <c r="F4" s="8" t="s">
        <v>114</v>
      </c>
      <c r="G4" s="8" t="s">
        <v>115</v>
      </c>
      <c r="H4" s="8" t="s">
        <v>182</v>
      </c>
      <c r="I4" s="8" t="s">
        <v>183</v>
      </c>
      <c r="J4" s="8" t="s">
        <v>184</v>
      </c>
      <c r="K4" s="8" t="s">
        <v>185</v>
      </c>
      <c r="L4" s="8" t="s">
        <v>186</v>
      </c>
      <c r="M4" s="8" t="s">
        <v>119</v>
      </c>
      <c r="N4" s="8" t="s">
        <v>187</v>
      </c>
      <c r="O4" s="8" t="s">
        <v>188</v>
      </c>
      <c r="P4" s="8" t="s">
        <v>189</v>
      </c>
      <c r="Q4" s="8" t="s">
        <v>190</v>
      </c>
      <c r="R4" s="8" t="s">
        <v>191</v>
      </c>
    </row>
    <row r="5" customFormat="false" ht="15" hidden="false" customHeight="false" outlineLevel="0" collapsed="false">
      <c r="A5" s="70" t="s">
        <v>1759</v>
      </c>
      <c r="B5" s="71" t="s">
        <v>1760</v>
      </c>
      <c r="C5" s="72" t="s">
        <v>1761</v>
      </c>
      <c r="D5" s="71" t="s">
        <v>1762</v>
      </c>
      <c r="E5" s="71" t="s">
        <v>1763</v>
      </c>
      <c r="F5" s="71" t="s">
        <v>1764</v>
      </c>
      <c r="G5" s="73" t="s">
        <v>198</v>
      </c>
      <c r="H5" s="79" t="n">
        <v>3</v>
      </c>
      <c r="I5" s="75" t="n">
        <v>0</v>
      </c>
      <c r="J5" s="76" t="n">
        <f aca="false">IF(H5="","",ROUND(H5*(1+I5),2))</f>
        <v>3</v>
      </c>
      <c r="K5" s="76" t="n">
        <f aca="false">IF(J5="","",ROUND(J5*(1+OHP),2))</f>
        <v>3.6</v>
      </c>
      <c r="L5" s="76" t="n">
        <f aca="false">IF(K5="","",ROUND(K5*(1+VAT),2))</f>
        <v>3.78</v>
      </c>
      <c r="M5" s="73" t="s">
        <v>89</v>
      </c>
      <c r="N5" s="71"/>
      <c r="O5" s="73"/>
      <c r="P5" s="77"/>
      <c r="Q5" s="71"/>
      <c r="R5" s="78" t="s">
        <v>1765</v>
      </c>
    </row>
    <row r="6" customFormat="false" ht="15" hidden="false" customHeight="false" outlineLevel="0" collapsed="false">
      <c r="A6" s="70" t="s">
        <v>1766</v>
      </c>
      <c r="B6" s="71" t="s">
        <v>1760</v>
      </c>
      <c r="C6" s="72" t="s">
        <v>1761</v>
      </c>
      <c r="D6" s="71" t="s">
        <v>1767</v>
      </c>
      <c r="E6" s="71" t="s">
        <v>1763</v>
      </c>
      <c r="F6" s="71" t="s">
        <v>1764</v>
      </c>
      <c r="G6" s="73" t="s">
        <v>378</v>
      </c>
      <c r="H6" s="79" t="n">
        <v>30</v>
      </c>
      <c r="I6" s="75" t="n">
        <v>0</v>
      </c>
      <c r="J6" s="76" t="n">
        <f aca="false">IF(H6="","",ROUND(H6*(1+I6),2))</f>
        <v>30</v>
      </c>
      <c r="K6" s="76" t="n">
        <f aca="false">IF(J6="","",ROUND(J6*(1+OHP),2))</f>
        <v>36</v>
      </c>
      <c r="L6" s="76" t="n">
        <f aca="false">IF(K6="","",ROUND(K6*(1+VAT),2))</f>
        <v>37.8</v>
      </c>
      <c r="M6" s="73" t="s">
        <v>89</v>
      </c>
      <c r="N6" s="71"/>
      <c r="O6" s="73"/>
      <c r="P6" s="77"/>
      <c r="Q6" s="71"/>
      <c r="R6" s="78" t="s">
        <v>1765</v>
      </c>
    </row>
    <row r="7" customFormat="false" ht="15" hidden="false" customHeight="false" outlineLevel="0" collapsed="false">
      <c r="A7" s="70" t="s">
        <v>1768</v>
      </c>
      <c r="B7" s="71" t="s">
        <v>1760</v>
      </c>
      <c r="C7" s="72" t="s">
        <v>1769</v>
      </c>
      <c r="D7" s="71" t="s">
        <v>723</v>
      </c>
      <c r="E7" s="71" t="s">
        <v>1279</v>
      </c>
      <c r="F7" s="71" t="s">
        <v>1764</v>
      </c>
      <c r="G7" s="73" t="s">
        <v>378</v>
      </c>
      <c r="H7" s="79" t="n">
        <v>45</v>
      </c>
      <c r="I7" s="75" t="n">
        <v>0</v>
      </c>
      <c r="J7" s="76" t="n">
        <f aca="false">IF(H7="","",ROUND(H7*(1+I7),2))</f>
        <v>45</v>
      </c>
      <c r="K7" s="76" t="n">
        <f aca="false">IF(J7="","",ROUND(J7*(1+OHP),2))</f>
        <v>54</v>
      </c>
      <c r="L7" s="76" t="n">
        <f aca="false">IF(K7="","",ROUND(K7*(1+VAT),2))</f>
        <v>56.7</v>
      </c>
      <c r="M7" s="73" t="s">
        <v>89</v>
      </c>
      <c r="N7" s="71"/>
      <c r="O7" s="73"/>
      <c r="P7" s="77"/>
      <c r="Q7" s="71"/>
      <c r="R7" s="78" t="s">
        <v>202</v>
      </c>
    </row>
    <row r="8" customFormat="false" ht="15" hidden="false" customHeight="false" outlineLevel="0" collapsed="false">
      <c r="A8" s="70" t="s">
        <v>1770</v>
      </c>
      <c r="B8" s="71" t="s">
        <v>1760</v>
      </c>
      <c r="C8" s="72" t="s">
        <v>1771</v>
      </c>
      <c r="D8" s="71" t="s">
        <v>145</v>
      </c>
      <c r="E8" s="71" t="s">
        <v>1772</v>
      </c>
      <c r="F8" s="71" t="s">
        <v>1764</v>
      </c>
      <c r="G8" s="73" t="s">
        <v>198</v>
      </c>
      <c r="H8" s="79" t="n">
        <v>5</v>
      </c>
      <c r="I8" s="75" t="n">
        <v>0</v>
      </c>
      <c r="J8" s="76" t="n">
        <f aca="false">IF(H8="","",ROUND(H8*(1+I8),2))</f>
        <v>5</v>
      </c>
      <c r="K8" s="76" t="n">
        <f aca="false">IF(J8="","",ROUND(J8*(1+OHP),2))</f>
        <v>6</v>
      </c>
      <c r="L8" s="76" t="n">
        <f aca="false">IF(K8="","",ROUND(K8*(1+VAT),2))</f>
        <v>6.3</v>
      </c>
      <c r="M8" s="73" t="s">
        <v>89</v>
      </c>
      <c r="N8" s="71"/>
      <c r="O8" s="73"/>
      <c r="P8" s="77"/>
      <c r="Q8" s="71"/>
      <c r="R8" s="78" t="s">
        <v>199</v>
      </c>
    </row>
    <row r="9" customFormat="false" ht="15" hidden="false" customHeight="false" outlineLevel="0" collapsed="false">
      <c r="A9" s="70" t="s">
        <v>1773</v>
      </c>
      <c r="B9" s="71" t="s">
        <v>1760</v>
      </c>
      <c r="C9" s="72" t="s">
        <v>1774</v>
      </c>
      <c r="D9" s="71" t="s">
        <v>1775</v>
      </c>
      <c r="E9" s="71" t="s">
        <v>1776</v>
      </c>
      <c r="F9" s="71" t="s">
        <v>1764</v>
      </c>
      <c r="G9" s="73" t="s">
        <v>378</v>
      </c>
      <c r="H9" s="79" t="n">
        <v>70</v>
      </c>
      <c r="I9" s="75" t="n">
        <v>0</v>
      </c>
      <c r="J9" s="76" t="n">
        <f aca="false">IF(H9="","",ROUND(H9*(1+I9),2))</f>
        <v>70</v>
      </c>
      <c r="K9" s="76" t="n">
        <f aca="false">IF(J9="","",ROUND(J9*(1+OHP),2))</f>
        <v>84</v>
      </c>
      <c r="L9" s="76" t="n">
        <f aca="false">IF(K9="","",ROUND(K9*(1+VAT),2))</f>
        <v>88.2</v>
      </c>
      <c r="M9" s="73" t="s">
        <v>89</v>
      </c>
      <c r="N9" s="71"/>
      <c r="O9" s="73"/>
      <c r="P9" s="77"/>
      <c r="Q9" s="71"/>
      <c r="R9" s="78" t="s">
        <v>199</v>
      </c>
    </row>
    <row r="10" customFormat="false" ht="15" hidden="false" customHeight="false" outlineLevel="0" collapsed="false">
      <c r="A10" s="70" t="s">
        <v>1777</v>
      </c>
      <c r="B10" s="71" t="s">
        <v>1760</v>
      </c>
      <c r="C10" s="72" t="s">
        <v>1774</v>
      </c>
      <c r="D10" s="71" t="s">
        <v>1778</v>
      </c>
      <c r="E10" s="71" t="s">
        <v>1779</v>
      </c>
      <c r="F10" s="71" t="s">
        <v>1764</v>
      </c>
      <c r="G10" s="73" t="s">
        <v>378</v>
      </c>
      <c r="H10" s="79" t="n">
        <v>90</v>
      </c>
      <c r="I10" s="75" t="n">
        <v>0</v>
      </c>
      <c r="J10" s="76" t="n">
        <f aca="false">IF(H10="","",ROUND(H10*(1+I10),2))</f>
        <v>90</v>
      </c>
      <c r="K10" s="76" t="n">
        <f aca="false">IF(J10="","",ROUND(J10*(1+OHP),2))</f>
        <v>108</v>
      </c>
      <c r="L10" s="76" t="n">
        <f aca="false">IF(K10="","",ROUND(K10*(1+VAT),2))</f>
        <v>113.4</v>
      </c>
      <c r="M10" s="73" t="s">
        <v>89</v>
      </c>
      <c r="N10" s="71"/>
      <c r="O10" s="73"/>
      <c r="P10" s="77"/>
      <c r="Q10" s="71"/>
      <c r="R10" s="78" t="s">
        <v>199</v>
      </c>
    </row>
    <row r="11" customFormat="false" ht="15" hidden="false" customHeight="false" outlineLevel="0" collapsed="false">
      <c r="A11" s="70" t="s">
        <v>1780</v>
      </c>
      <c r="B11" s="71" t="s">
        <v>1760</v>
      </c>
      <c r="C11" s="72" t="s">
        <v>1781</v>
      </c>
      <c r="D11" s="71" t="s">
        <v>1782</v>
      </c>
      <c r="E11" s="71" t="s">
        <v>1783</v>
      </c>
      <c r="F11" s="71" t="s">
        <v>1764</v>
      </c>
      <c r="G11" s="73" t="s">
        <v>378</v>
      </c>
      <c r="H11" s="79" t="n">
        <v>55</v>
      </c>
      <c r="I11" s="75" t="n">
        <v>0</v>
      </c>
      <c r="J11" s="76" t="n">
        <f aca="false">IF(H11="","",ROUND(H11*(1+I11),2))</f>
        <v>55</v>
      </c>
      <c r="K11" s="76" t="n">
        <f aca="false">IF(J11="","",ROUND(J11*(1+OHP),2))</f>
        <v>66</v>
      </c>
      <c r="L11" s="76" t="n">
        <f aca="false">IF(K11="","",ROUND(K11*(1+VAT),2))</f>
        <v>69.3</v>
      </c>
      <c r="M11" s="73" t="s">
        <v>89</v>
      </c>
      <c r="N11" s="71"/>
      <c r="O11" s="73"/>
      <c r="P11" s="77"/>
      <c r="Q11" s="71"/>
      <c r="R11" s="78" t="s">
        <v>202</v>
      </c>
    </row>
    <row r="12" customFormat="false" ht="15" hidden="false" customHeight="false" outlineLevel="0" collapsed="false">
      <c r="A12" s="70" t="s">
        <v>1784</v>
      </c>
      <c r="B12" s="71" t="s">
        <v>1785</v>
      </c>
      <c r="C12" s="72" t="s">
        <v>1786</v>
      </c>
      <c r="D12" s="71" t="s">
        <v>1787</v>
      </c>
      <c r="E12" s="71" t="s">
        <v>1223</v>
      </c>
      <c r="F12" s="71" t="s">
        <v>1788</v>
      </c>
      <c r="G12" s="73" t="s">
        <v>198</v>
      </c>
      <c r="H12" s="79" t="n">
        <v>1.6</v>
      </c>
      <c r="I12" s="75" t="n">
        <v>0</v>
      </c>
      <c r="J12" s="76" t="n">
        <f aca="false">IF(H12="","",ROUND(H12*(1+I12),2))</f>
        <v>1.6</v>
      </c>
      <c r="K12" s="76" t="n">
        <f aca="false">IF(J12="","",ROUND(J12*(1+OHP),2))</f>
        <v>1.92</v>
      </c>
      <c r="L12" s="76" t="n">
        <f aca="false">IF(K12="","",ROUND(K12*(1+VAT),2))</f>
        <v>2.02</v>
      </c>
      <c r="M12" s="73" t="s">
        <v>89</v>
      </c>
      <c r="N12" s="71"/>
      <c r="O12" s="73"/>
      <c r="P12" s="77"/>
      <c r="Q12" s="71"/>
      <c r="R12" s="78" t="s">
        <v>1789</v>
      </c>
    </row>
    <row r="13" customFormat="false" ht="15" hidden="false" customHeight="false" outlineLevel="0" collapsed="false">
      <c r="A13" s="70" t="s">
        <v>1790</v>
      </c>
      <c r="B13" s="71" t="s">
        <v>1785</v>
      </c>
      <c r="C13" s="72" t="s">
        <v>1791</v>
      </c>
      <c r="D13" s="71" t="s">
        <v>723</v>
      </c>
      <c r="E13" s="71" t="s">
        <v>457</v>
      </c>
      <c r="F13" s="71" t="s">
        <v>217</v>
      </c>
      <c r="G13" s="73" t="s">
        <v>378</v>
      </c>
      <c r="H13" s="79" t="n">
        <v>20</v>
      </c>
      <c r="I13" s="75" t="n">
        <v>0</v>
      </c>
      <c r="J13" s="76" t="n">
        <f aca="false">IF(H13="","",ROUND(H13*(1+I13),2))</f>
        <v>20</v>
      </c>
      <c r="K13" s="76" t="n">
        <f aca="false">IF(J13="","",ROUND(J13*(1+OHP),2))</f>
        <v>24</v>
      </c>
      <c r="L13" s="76" t="n">
        <f aca="false">IF(K13="","",ROUND(K13*(1+VAT),2))</f>
        <v>25.2</v>
      </c>
      <c r="M13" s="73" t="s">
        <v>89</v>
      </c>
      <c r="N13" s="71"/>
      <c r="O13" s="73"/>
      <c r="P13" s="77"/>
      <c r="Q13" s="71"/>
      <c r="R13" s="78"/>
    </row>
    <row r="14" customFormat="false" ht="15" hidden="false" customHeight="false" outlineLevel="0" collapsed="false">
      <c r="A14" s="70" t="s">
        <v>1792</v>
      </c>
      <c r="B14" s="71" t="s">
        <v>1785</v>
      </c>
      <c r="C14" s="72" t="s">
        <v>1793</v>
      </c>
      <c r="D14" s="71" t="s">
        <v>723</v>
      </c>
      <c r="E14" s="71" t="s">
        <v>1089</v>
      </c>
      <c r="F14" s="71" t="s">
        <v>1794</v>
      </c>
      <c r="G14" s="73" t="s">
        <v>378</v>
      </c>
      <c r="H14" s="79" t="n">
        <v>25</v>
      </c>
      <c r="I14" s="75" t="n">
        <v>0</v>
      </c>
      <c r="J14" s="76" t="n">
        <f aca="false">IF(H14="","",ROUND(H14*(1+I14),2))</f>
        <v>25</v>
      </c>
      <c r="K14" s="76" t="n">
        <f aca="false">IF(J14="","",ROUND(J14*(1+OHP),2))</f>
        <v>30</v>
      </c>
      <c r="L14" s="76" t="n">
        <f aca="false">IF(K14="","",ROUND(K14*(1+VAT),2))</f>
        <v>31.5</v>
      </c>
      <c r="M14" s="73" t="s">
        <v>89</v>
      </c>
      <c r="N14" s="71"/>
      <c r="O14" s="73"/>
      <c r="P14" s="77"/>
      <c r="Q14" s="71"/>
      <c r="R14" s="78"/>
    </row>
    <row r="15" customFormat="false" ht="15" hidden="false" customHeight="false" outlineLevel="0" collapsed="false">
      <c r="A15" s="70" t="s">
        <v>1795</v>
      </c>
      <c r="B15" s="71" t="s">
        <v>1785</v>
      </c>
      <c r="C15" s="72" t="s">
        <v>1796</v>
      </c>
      <c r="D15" s="71" t="s">
        <v>723</v>
      </c>
      <c r="E15" s="71" t="s">
        <v>1089</v>
      </c>
      <c r="F15" s="71" t="s">
        <v>1797</v>
      </c>
      <c r="G15" s="73" t="s">
        <v>378</v>
      </c>
      <c r="H15" s="79" t="n">
        <v>45</v>
      </c>
      <c r="I15" s="75" t="n">
        <v>0</v>
      </c>
      <c r="J15" s="76" t="n">
        <f aca="false">IF(H15="","",ROUND(H15*(1+I15),2))</f>
        <v>45</v>
      </c>
      <c r="K15" s="76" t="n">
        <f aca="false">IF(J15="","",ROUND(J15*(1+OHP),2))</f>
        <v>54</v>
      </c>
      <c r="L15" s="76" t="n">
        <f aca="false">IF(K15="","",ROUND(K15*(1+VAT),2))</f>
        <v>56.7</v>
      </c>
      <c r="M15" s="73" t="s">
        <v>89</v>
      </c>
      <c r="N15" s="71"/>
      <c r="O15" s="73"/>
      <c r="P15" s="77"/>
      <c r="Q15" s="71"/>
      <c r="R15" s="78"/>
    </row>
    <row r="16" customFormat="false" ht="15" hidden="false" customHeight="false" outlineLevel="0" collapsed="false">
      <c r="A16" s="70" t="s">
        <v>1798</v>
      </c>
      <c r="B16" s="71" t="s">
        <v>1785</v>
      </c>
      <c r="C16" s="72" t="s">
        <v>1799</v>
      </c>
      <c r="D16" s="71" t="s">
        <v>1800</v>
      </c>
      <c r="E16" s="71" t="s">
        <v>457</v>
      </c>
      <c r="F16" s="71" t="s">
        <v>1801</v>
      </c>
      <c r="G16" s="73" t="s">
        <v>378</v>
      </c>
      <c r="H16" s="79" t="n">
        <v>120</v>
      </c>
      <c r="I16" s="75" t="n">
        <v>0</v>
      </c>
      <c r="J16" s="76" t="n">
        <f aca="false">IF(H16="","",ROUND(H16*(1+I16),2))</f>
        <v>120</v>
      </c>
      <c r="K16" s="76" t="n">
        <f aca="false">IF(J16="","",ROUND(J16*(1+OHP),2))</f>
        <v>144</v>
      </c>
      <c r="L16" s="76" t="n">
        <f aca="false">IF(K16="","",ROUND(K16*(1+VAT),2))</f>
        <v>151.2</v>
      </c>
      <c r="M16" s="73" t="s">
        <v>89</v>
      </c>
      <c r="N16" s="71"/>
      <c r="O16" s="73"/>
      <c r="P16" s="77"/>
      <c r="Q16" s="71"/>
      <c r="R16" s="78"/>
    </row>
    <row r="17" customFormat="false" ht="15" hidden="false" customHeight="false" outlineLevel="0" collapsed="false">
      <c r="A17" s="70" t="s">
        <v>1802</v>
      </c>
      <c r="B17" s="71" t="s">
        <v>1785</v>
      </c>
      <c r="C17" s="72" t="s">
        <v>1803</v>
      </c>
      <c r="D17" s="71" t="s">
        <v>723</v>
      </c>
      <c r="E17" s="71" t="s">
        <v>1804</v>
      </c>
      <c r="F17" s="71" t="s">
        <v>1764</v>
      </c>
      <c r="G17" s="73" t="s">
        <v>378</v>
      </c>
      <c r="H17" s="79" t="n">
        <v>35</v>
      </c>
      <c r="I17" s="75" t="n">
        <v>0</v>
      </c>
      <c r="J17" s="76" t="n">
        <f aca="false">IF(H17="","",ROUND(H17*(1+I17),2))</f>
        <v>35</v>
      </c>
      <c r="K17" s="76" t="n">
        <f aca="false">IF(J17="","",ROUND(J17*(1+OHP),2))</f>
        <v>42</v>
      </c>
      <c r="L17" s="76" t="n">
        <f aca="false">IF(K17="","",ROUND(K17*(1+VAT),2))</f>
        <v>44.1</v>
      </c>
      <c r="M17" s="73" t="s">
        <v>89</v>
      </c>
      <c r="N17" s="71"/>
      <c r="O17" s="73"/>
      <c r="P17" s="77"/>
      <c r="Q17" s="71"/>
      <c r="R17" s="78" t="s">
        <v>1805</v>
      </c>
    </row>
    <row r="18" customFormat="false" ht="15" hidden="false" customHeight="false" outlineLevel="0" collapsed="false">
      <c r="A18" s="70" t="s">
        <v>1806</v>
      </c>
      <c r="B18" s="71" t="s">
        <v>1807</v>
      </c>
      <c r="C18" s="72" t="s">
        <v>1808</v>
      </c>
      <c r="D18" s="71" t="s">
        <v>1809</v>
      </c>
      <c r="E18" s="71" t="s">
        <v>1810</v>
      </c>
      <c r="F18" s="71" t="s">
        <v>1811</v>
      </c>
      <c r="G18" s="73" t="s">
        <v>218</v>
      </c>
      <c r="H18" s="79" t="n">
        <v>15</v>
      </c>
      <c r="I18" s="75" t="n">
        <v>0</v>
      </c>
      <c r="J18" s="76" t="n">
        <f aca="false">IF(H18="","",ROUND(H18*(1+I18),2))</f>
        <v>15</v>
      </c>
      <c r="K18" s="76" t="n">
        <f aca="false">IF(J18="","",ROUND(J18*(1+OHP),2))</f>
        <v>18</v>
      </c>
      <c r="L18" s="76" t="n">
        <f aca="false">IF(K18="","",ROUND(K18*(1+VAT),2))</f>
        <v>18.9</v>
      </c>
      <c r="M18" s="73" t="s">
        <v>89</v>
      </c>
      <c r="N18" s="71"/>
      <c r="O18" s="73"/>
      <c r="P18" s="77"/>
      <c r="Q18" s="71"/>
      <c r="R18" s="78" t="s">
        <v>1812</v>
      </c>
    </row>
    <row r="19" customFormat="false" ht="15" hidden="false" customHeight="false" outlineLevel="0" collapsed="false">
      <c r="A19" s="70" t="s">
        <v>1813</v>
      </c>
      <c r="B19" s="71" t="s">
        <v>1807</v>
      </c>
      <c r="C19" s="72" t="s">
        <v>1814</v>
      </c>
      <c r="D19" s="71" t="s">
        <v>723</v>
      </c>
      <c r="E19" s="71" t="s">
        <v>1815</v>
      </c>
      <c r="F19" s="71" t="s">
        <v>217</v>
      </c>
      <c r="G19" s="73" t="s">
        <v>378</v>
      </c>
      <c r="H19" s="79" t="n">
        <v>120</v>
      </c>
      <c r="I19" s="75" t="n">
        <v>0</v>
      </c>
      <c r="J19" s="76" t="n">
        <f aca="false">IF(H19="","",ROUND(H19*(1+I19),2))</f>
        <v>120</v>
      </c>
      <c r="K19" s="76" t="n">
        <f aca="false">IF(J19="","",ROUND(J19*(1+OHP),2))</f>
        <v>144</v>
      </c>
      <c r="L19" s="76" t="n">
        <f aca="false">IF(K19="","",ROUND(K19*(1+VAT),2))</f>
        <v>151.2</v>
      </c>
      <c r="M19" s="73" t="s">
        <v>89</v>
      </c>
      <c r="N19" s="71"/>
      <c r="O19" s="73"/>
      <c r="P19" s="77"/>
      <c r="Q19" s="71"/>
      <c r="R19" s="78" t="s">
        <v>1816</v>
      </c>
    </row>
    <row r="20" customFormat="false" ht="15" hidden="false" customHeight="false" outlineLevel="0" collapsed="false">
      <c r="A20" s="70" t="s">
        <v>1817</v>
      </c>
      <c r="B20" s="71" t="s">
        <v>1807</v>
      </c>
      <c r="C20" s="72" t="s">
        <v>1818</v>
      </c>
      <c r="D20" s="71" t="s">
        <v>723</v>
      </c>
      <c r="E20" s="71" t="s">
        <v>1819</v>
      </c>
      <c r="F20" s="71" t="s">
        <v>349</v>
      </c>
      <c r="G20" s="73" t="s">
        <v>378</v>
      </c>
      <c r="H20" s="79" t="n">
        <v>260</v>
      </c>
      <c r="I20" s="75" t="n">
        <v>0</v>
      </c>
      <c r="J20" s="76" t="n">
        <f aca="false">IF(H20="","",ROUND(H20*(1+I20),2))</f>
        <v>260</v>
      </c>
      <c r="K20" s="76" t="n">
        <f aca="false">IF(J20="","",ROUND(J20*(1+OHP),2))</f>
        <v>312</v>
      </c>
      <c r="L20" s="76" t="n">
        <f aca="false">IF(K20="","",ROUND(K20*(1+VAT),2))</f>
        <v>327.6</v>
      </c>
      <c r="M20" s="73" t="s">
        <v>89</v>
      </c>
      <c r="N20" s="71"/>
      <c r="O20" s="73"/>
      <c r="P20" s="77"/>
      <c r="Q20" s="71"/>
      <c r="R20" s="78" t="s">
        <v>671</v>
      </c>
    </row>
    <row r="21" customFormat="false" ht="15" hidden="false" customHeight="false" outlineLevel="0" collapsed="false">
      <c r="A21" s="70" t="s">
        <v>1820</v>
      </c>
      <c r="B21" s="71" t="s">
        <v>1807</v>
      </c>
      <c r="C21" s="72" t="s">
        <v>1821</v>
      </c>
      <c r="D21" s="71" t="s">
        <v>723</v>
      </c>
      <c r="E21" s="71" t="s">
        <v>457</v>
      </c>
      <c r="F21" s="71" t="s">
        <v>217</v>
      </c>
      <c r="G21" s="73" t="s">
        <v>378</v>
      </c>
      <c r="H21" s="79" t="n">
        <v>25</v>
      </c>
      <c r="I21" s="75" t="n">
        <v>0</v>
      </c>
      <c r="J21" s="76" t="n">
        <f aca="false">IF(H21="","",ROUND(H21*(1+I21),2))</f>
        <v>25</v>
      </c>
      <c r="K21" s="76" t="n">
        <f aca="false">IF(J21="","",ROUND(J21*(1+OHP),2))</f>
        <v>30</v>
      </c>
      <c r="L21" s="76" t="n">
        <f aca="false">IF(K21="","",ROUND(K21*(1+VAT),2))</f>
        <v>31.5</v>
      </c>
      <c r="M21" s="73" t="s">
        <v>89</v>
      </c>
      <c r="N21" s="71"/>
      <c r="O21" s="73"/>
      <c r="P21" s="77"/>
      <c r="Q21" s="71"/>
      <c r="R21" s="78" t="s">
        <v>671</v>
      </c>
    </row>
    <row r="22" customFormat="false" ht="15" hidden="false" customHeight="false" outlineLevel="0" collapsed="false">
      <c r="A22" s="80" t="str">
        <f aca="false">IF(C22="","","CF-"&amp;TEXT(ROW()-4,"000"))</f>
        <v/>
      </c>
      <c r="B22" s="81"/>
      <c r="C22" s="81"/>
      <c r="D22" s="81"/>
      <c r="E22" s="81"/>
      <c r="F22" s="81"/>
      <c r="G22" s="82"/>
      <c r="H22" s="83"/>
      <c r="I22" s="84"/>
      <c r="J22" s="85" t="str">
        <f aca="false">IF(H22="","",ROUND(H22*(1+I22),2))</f>
        <v/>
      </c>
      <c r="K22" s="85" t="str">
        <f aca="false">IF(J22="","",ROUND(J22*(1+OHP),2))</f>
        <v/>
      </c>
      <c r="L22" s="85" t="str">
        <f aca="false">IF(K22="","",ROUND(K22*(1+VAT),2))</f>
        <v/>
      </c>
      <c r="M22" s="82"/>
      <c r="N22" s="81"/>
      <c r="O22" s="82"/>
      <c r="P22" s="86"/>
      <c r="Q22" s="81"/>
      <c r="R22" s="87"/>
    </row>
    <row r="23" customFormat="false" ht="15" hidden="false" customHeight="false" outlineLevel="0" collapsed="false">
      <c r="A23" s="80" t="str">
        <f aca="false">IF(C23="","","CF-"&amp;TEXT(ROW()-4,"000"))</f>
        <v/>
      </c>
      <c r="B23" s="81"/>
      <c r="C23" s="81"/>
      <c r="D23" s="81"/>
      <c r="E23" s="81"/>
      <c r="F23" s="81"/>
      <c r="G23" s="82"/>
      <c r="H23" s="83"/>
      <c r="I23" s="84"/>
      <c r="J23" s="85" t="str">
        <f aca="false">IF(H23="","",ROUND(H23*(1+I23),2))</f>
        <v/>
      </c>
      <c r="K23" s="85" t="str">
        <f aca="false">IF(J23="","",ROUND(J23*(1+OHP),2))</f>
        <v/>
      </c>
      <c r="L23" s="85" t="str">
        <f aca="false">IF(K23="","",ROUND(K23*(1+VAT),2))</f>
        <v/>
      </c>
      <c r="M23" s="82"/>
      <c r="N23" s="81"/>
      <c r="O23" s="82"/>
      <c r="P23" s="86"/>
      <c r="Q23" s="81"/>
      <c r="R23" s="87"/>
    </row>
    <row r="24" customFormat="false" ht="15" hidden="false" customHeight="false" outlineLevel="0" collapsed="false">
      <c r="A24" s="80" t="str">
        <f aca="false">IF(C24="","","CF-"&amp;TEXT(ROW()-4,"000"))</f>
        <v/>
      </c>
      <c r="B24" s="81"/>
      <c r="C24" s="81"/>
      <c r="D24" s="81"/>
      <c r="E24" s="81"/>
      <c r="F24" s="81"/>
      <c r="G24" s="82"/>
      <c r="H24" s="83"/>
      <c r="I24" s="84"/>
      <c r="J24" s="85" t="str">
        <f aca="false">IF(H24="","",ROUND(H24*(1+I24),2))</f>
        <v/>
      </c>
      <c r="K24" s="85" t="str">
        <f aca="false">IF(J24="","",ROUND(J24*(1+OHP),2))</f>
        <v/>
      </c>
      <c r="L24" s="85" t="str">
        <f aca="false">IF(K24="","",ROUND(K24*(1+VAT),2))</f>
        <v/>
      </c>
      <c r="M24" s="82"/>
      <c r="N24" s="81"/>
      <c r="O24" s="82"/>
      <c r="P24" s="86"/>
      <c r="Q24" s="81"/>
      <c r="R24" s="87"/>
    </row>
    <row r="25" customFormat="false" ht="15" hidden="false" customHeight="false" outlineLevel="0" collapsed="false">
      <c r="A25" s="80" t="str">
        <f aca="false">IF(C25="","","CF-"&amp;TEXT(ROW()-4,"000"))</f>
        <v/>
      </c>
      <c r="B25" s="81"/>
      <c r="C25" s="81"/>
      <c r="D25" s="81"/>
      <c r="E25" s="81"/>
      <c r="F25" s="81"/>
      <c r="G25" s="82"/>
      <c r="H25" s="83"/>
      <c r="I25" s="84"/>
      <c r="J25" s="85" t="str">
        <f aca="false">IF(H25="","",ROUND(H25*(1+I25),2))</f>
        <v/>
      </c>
      <c r="K25" s="85" t="str">
        <f aca="false">IF(J25="","",ROUND(J25*(1+OHP),2))</f>
        <v/>
      </c>
      <c r="L25" s="85" t="str">
        <f aca="false">IF(K25="","",ROUND(K25*(1+VAT),2))</f>
        <v/>
      </c>
      <c r="M25" s="82"/>
      <c r="N25" s="81"/>
      <c r="O25" s="82"/>
      <c r="P25" s="86"/>
      <c r="Q25" s="81"/>
      <c r="R25" s="87"/>
    </row>
    <row r="26" customFormat="false" ht="15" hidden="false" customHeight="false" outlineLevel="0" collapsed="false">
      <c r="A26" s="80" t="str">
        <f aca="false">IF(C26="","","CF-"&amp;TEXT(ROW()-4,"000"))</f>
        <v/>
      </c>
      <c r="B26" s="81"/>
      <c r="C26" s="81"/>
      <c r="D26" s="81"/>
      <c r="E26" s="81"/>
      <c r="F26" s="81"/>
      <c r="G26" s="82"/>
      <c r="H26" s="83"/>
      <c r="I26" s="84"/>
      <c r="J26" s="85" t="str">
        <f aca="false">IF(H26="","",ROUND(H26*(1+I26),2))</f>
        <v/>
      </c>
      <c r="K26" s="85" t="str">
        <f aca="false">IF(J26="","",ROUND(J26*(1+OHP),2))</f>
        <v/>
      </c>
      <c r="L26" s="85" t="str">
        <f aca="false">IF(K26="","",ROUND(K26*(1+VAT),2))</f>
        <v/>
      </c>
      <c r="M26" s="82"/>
      <c r="N26" s="81"/>
      <c r="O26" s="82"/>
      <c r="P26" s="86"/>
      <c r="Q26" s="81"/>
      <c r="R26" s="87"/>
    </row>
    <row r="27" customFormat="false" ht="15" hidden="false" customHeight="false" outlineLevel="0" collapsed="false">
      <c r="A27" s="80" t="str">
        <f aca="false">IF(C27="","","CF-"&amp;TEXT(ROW()-4,"000"))</f>
        <v/>
      </c>
      <c r="B27" s="81"/>
      <c r="C27" s="81"/>
      <c r="D27" s="81"/>
      <c r="E27" s="81"/>
      <c r="F27" s="81"/>
      <c r="G27" s="82"/>
      <c r="H27" s="83"/>
      <c r="I27" s="84"/>
      <c r="J27" s="85" t="str">
        <f aca="false">IF(H27="","",ROUND(H27*(1+I27),2))</f>
        <v/>
      </c>
      <c r="K27" s="85" t="str">
        <f aca="false">IF(J27="","",ROUND(J27*(1+OHP),2))</f>
        <v/>
      </c>
      <c r="L27" s="85" t="str">
        <f aca="false">IF(K27="","",ROUND(K27*(1+VAT),2))</f>
        <v/>
      </c>
      <c r="M27" s="82"/>
      <c r="N27" s="81"/>
      <c r="O27" s="82"/>
      <c r="P27" s="86"/>
      <c r="Q27" s="81"/>
      <c r="R27" s="87"/>
    </row>
    <row r="28" customFormat="false" ht="15" hidden="false" customHeight="false" outlineLevel="0" collapsed="false">
      <c r="A28" s="80" t="str">
        <f aca="false">IF(C28="","","CF-"&amp;TEXT(ROW()-4,"000"))</f>
        <v/>
      </c>
      <c r="B28" s="81"/>
      <c r="C28" s="81"/>
      <c r="D28" s="81"/>
      <c r="E28" s="81"/>
      <c r="F28" s="81"/>
      <c r="G28" s="82"/>
      <c r="H28" s="83"/>
      <c r="I28" s="84"/>
      <c r="J28" s="85" t="str">
        <f aca="false">IF(H28="","",ROUND(H28*(1+I28),2))</f>
        <v/>
      </c>
      <c r="K28" s="85" t="str">
        <f aca="false">IF(J28="","",ROUND(J28*(1+OHP),2))</f>
        <v/>
      </c>
      <c r="L28" s="85" t="str">
        <f aca="false">IF(K28="","",ROUND(K28*(1+VAT),2))</f>
        <v/>
      </c>
      <c r="M28" s="82"/>
      <c r="N28" s="81"/>
      <c r="O28" s="82"/>
      <c r="P28" s="86"/>
      <c r="Q28" s="81"/>
      <c r="R28" s="87"/>
    </row>
    <row r="29" customFormat="false" ht="15" hidden="false" customHeight="false" outlineLevel="0" collapsed="false">
      <c r="A29" s="80" t="str">
        <f aca="false">IF(C29="","","CF-"&amp;TEXT(ROW()-4,"000"))</f>
        <v/>
      </c>
      <c r="B29" s="81"/>
      <c r="C29" s="81"/>
      <c r="D29" s="81"/>
      <c r="E29" s="81"/>
      <c r="F29" s="81"/>
      <c r="G29" s="82"/>
      <c r="H29" s="83"/>
      <c r="I29" s="84"/>
      <c r="J29" s="85" t="str">
        <f aca="false">IF(H29="","",ROUND(H29*(1+I29),2))</f>
        <v/>
      </c>
      <c r="K29" s="85" t="str">
        <f aca="false">IF(J29="","",ROUND(J29*(1+OHP),2))</f>
        <v/>
      </c>
      <c r="L29" s="85" t="str">
        <f aca="false">IF(K29="","",ROUND(K29*(1+VAT),2))</f>
        <v/>
      </c>
      <c r="M29" s="82"/>
      <c r="N29" s="81"/>
      <c r="O29" s="82"/>
      <c r="P29" s="86"/>
      <c r="Q29" s="81"/>
      <c r="R29" s="87"/>
    </row>
    <row r="30" customFormat="false" ht="15" hidden="false" customHeight="false" outlineLevel="0" collapsed="false">
      <c r="A30" s="80" t="str">
        <f aca="false">IF(C30="","","CF-"&amp;TEXT(ROW()-4,"000"))</f>
        <v/>
      </c>
      <c r="B30" s="81"/>
      <c r="C30" s="81"/>
      <c r="D30" s="81"/>
      <c r="E30" s="81"/>
      <c r="F30" s="81"/>
      <c r="G30" s="82"/>
      <c r="H30" s="83"/>
      <c r="I30" s="84"/>
      <c r="J30" s="85" t="str">
        <f aca="false">IF(H30="","",ROUND(H30*(1+I30),2))</f>
        <v/>
      </c>
      <c r="K30" s="85" t="str">
        <f aca="false">IF(J30="","",ROUND(J30*(1+OHP),2))</f>
        <v/>
      </c>
      <c r="L30" s="85" t="str">
        <f aca="false">IF(K30="","",ROUND(K30*(1+VAT),2))</f>
        <v/>
      </c>
      <c r="M30" s="82"/>
      <c r="N30" s="81"/>
      <c r="O30" s="82"/>
      <c r="P30" s="86"/>
      <c r="Q30" s="81"/>
      <c r="R30" s="87"/>
    </row>
    <row r="31" customFormat="false" ht="15" hidden="false" customHeight="false" outlineLevel="0" collapsed="false">
      <c r="A31" s="80" t="str">
        <f aca="false">IF(C31="","","CF-"&amp;TEXT(ROW()-4,"000"))</f>
        <v/>
      </c>
      <c r="B31" s="81"/>
      <c r="C31" s="81"/>
      <c r="D31" s="81"/>
      <c r="E31" s="81"/>
      <c r="F31" s="81"/>
      <c r="G31" s="82"/>
      <c r="H31" s="83"/>
      <c r="I31" s="84"/>
      <c r="J31" s="85" t="str">
        <f aca="false">IF(H31="","",ROUND(H31*(1+I31),2))</f>
        <v/>
      </c>
      <c r="K31" s="85" t="str">
        <f aca="false">IF(J31="","",ROUND(J31*(1+OHP),2))</f>
        <v/>
      </c>
      <c r="L31" s="85" t="str">
        <f aca="false">IF(K31="","",ROUND(K31*(1+VAT),2))</f>
        <v/>
      </c>
      <c r="M31" s="82"/>
      <c r="N31" s="81"/>
      <c r="O31" s="82"/>
      <c r="P31" s="86"/>
      <c r="Q31" s="81"/>
      <c r="R31" s="87"/>
    </row>
    <row r="32" customFormat="false" ht="15" hidden="false" customHeight="false" outlineLevel="0" collapsed="false">
      <c r="A32" s="80" t="str">
        <f aca="false">IF(C32="","","CF-"&amp;TEXT(ROW()-4,"000"))</f>
        <v/>
      </c>
      <c r="B32" s="81"/>
      <c r="C32" s="81"/>
      <c r="D32" s="81"/>
      <c r="E32" s="81"/>
      <c r="F32" s="81"/>
      <c r="G32" s="82"/>
      <c r="H32" s="83"/>
      <c r="I32" s="84"/>
      <c r="J32" s="85" t="str">
        <f aca="false">IF(H32="","",ROUND(H32*(1+I32),2))</f>
        <v/>
      </c>
      <c r="K32" s="85" t="str">
        <f aca="false">IF(J32="","",ROUND(J32*(1+OHP),2))</f>
        <v/>
      </c>
      <c r="L32" s="85" t="str">
        <f aca="false">IF(K32="","",ROUND(K32*(1+VAT),2))</f>
        <v/>
      </c>
      <c r="M32" s="82"/>
      <c r="N32" s="81"/>
      <c r="O32" s="82"/>
      <c r="P32" s="86"/>
      <c r="Q32" s="81"/>
      <c r="R32" s="87"/>
    </row>
    <row r="33" customFormat="false" ht="15" hidden="false" customHeight="false" outlineLevel="0" collapsed="false">
      <c r="A33" s="80" t="str">
        <f aca="false">IF(C33="","","CF-"&amp;TEXT(ROW()-4,"000"))</f>
        <v/>
      </c>
      <c r="B33" s="81"/>
      <c r="C33" s="81"/>
      <c r="D33" s="81"/>
      <c r="E33" s="81"/>
      <c r="F33" s="81"/>
      <c r="G33" s="82"/>
      <c r="H33" s="83"/>
      <c r="I33" s="84"/>
      <c r="J33" s="85" t="str">
        <f aca="false">IF(H33="","",ROUND(H33*(1+I33),2))</f>
        <v/>
      </c>
      <c r="K33" s="85" t="str">
        <f aca="false">IF(J33="","",ROUND(J33*(1+OHP),2))</f>
        <v/>
      </c>
      <c r="L33" s="85" t="str">
        <f aca="false">IF(K33="","",ROUND(K33*(1+VAT),2))</f>
        <v/>
      </c>
      <c r="M33" s="82"/>
      <c r="N33" s="81"/>
      <c r="O33" s="82"/>
      <c r="P33" s="86"/>
      <c r="Q33" s="81"/>
      <c r="R33" s="87"/>
    </row>
    <row r="34" customFormat="false" ht="15" hidden="false" customHeight="false" outlineLevel="0" collapsed="false">
      <c r="A34" s="80" t="str">
        <f aca="false">IF(C34="","","CF-"&amp;TEXT(ROW()-4,"000"))</f>
        <v/>
      </c>
      <c r="B34" s="81"/>
      <c r="C34" s="81"/>
      <c r="D34" s="81"/>
      <c r="E34" s="81"/>
      <c r="F34" s="81"/>
      <c r="G34" s="82"/>
      <c r="H34" s="83"/>
      <c r="I34" s="84"/>
      <c r="J34" s="85" t="str">
        <f aca="false">IF(H34="","",ROUND(H34*(1+I34),2))</f>
        <v/>
      </c>
      <c r="K34" s="85" t="str">
        <f aca="false">IF(J34="","",ROUND(J34*(1+OHP),2))</f>
        <v/>
      </c>
      <c r="L34" s="85" t="str">
        <f aca="false">IF(K34="","",ROUND(K34*(1+VAT),2))</f>
        <v/>
      </c>
      <c r="M34" s="82"/>
      <c r="N34" s="81"/>
      <c r="O34" s="82"/>
      <c r="P34" s="86"/>
      <c r="Q34" s="81"/>
      <c r="R34" s="87"/>
    </row>
    <row r="35" customFormat="false" ht="15" hidden="false" customHeight="false" outlineLevel="0" collapsed="false">
      <c r="A35" s="80" t="str">
        <f aca="false">IF(C35="","","CF-"&amp;TEXT(ROW()-4,"000"))</f>
        <v/>
      </c>
      <c r="B35" s="81"/>
      <c r="C35" s="81"/>
      <c r="D35" s="81"/>
      <c r="E35" s="81"/>
      <c r="F35" s="81"/>
      <c r="G35" s="82"/>
      <c r="H35" s="83"/>
      <c r="I35" s="84"/>
      <c r="J35" s="85" t="str">
        <f aca="false">IF(H35="","",ROUND(H35*(1+I35),2))</f>
        <v/>
      </c>
      <c r="K35" s="85" t="str">
        <f aca="false">IF(J35="","",ROUND(J35*(1+OHP),2))</f>
        <v/>
      </c>
      <c r="L35" s="85" t="str">
        <f aca="false">IF(K35="","",ROUND(K35*(1+VAT),2))</f>
        <v/>
      </c>
      <c r="M35" s="82"/>
      <c r="N35" s="81"/>
      <c r="O35" s="82"/>
      <c r="P35" s="86"/>
      <c r="Q35" s="81"/>
      <c r="R35" s="87"/>
    </row>
    <row r="36" customFormat="false" ht="15" hidden="false" customHeight="false" outlineLevel="0" collapsed="false">
      <c r="A36" s="80" t="str">
        <f aca="false">IF(C36="","","CF-"&amp;TEXT(ROW()-4,"000"))</f>
        <v/>
      </c>
      <c r="B36" s="81"/>
      <c r="C36" s="81"/>
      <c r="D36" s="81"/>
      <c r="E36" s="81"/>
      <c r="F36" s="81"/>
      <c r="G36" s="82"/>
      <c r="H36" s="83"/>
      <c r="I36" s="84"/>
      <c r="J36" s="85" t="str">
        <f aca="false">IF(H36="","",ROUND(H36*(1+I36),2))</f>
        <v/>
      </c>
      <c r="K36" s="85" t="str">
        <f aca="false">IF(J36="","",ROUND(J36*(1+OHP),2))</f>
        <v/>
      </c>
      <c r="L36" s="85" t="str">
        <f aca="false">IF(K36="","",ROUND(K36*(1+VAT),2))</f>
        <v/>
      </c>
      <c r="M36" s="82"/>
      <c r="N36" s="81"/>
      <c r="O36" s="82"/>
      <c r="P36" s="86"/>
      <c r="Q36" s="81"/>
      <c r="R36" s="87"/>
    </row>
  </sheetData>
  <autoFilter ref="A4:R36"/>
  <mergeCells count="2">
    <mergeCell ref="A1:R1"/>
    <mergeCell ref="A2:R2"/>
  </mergeCells>
  <conditionalFormatting sqref="A5:R36">
    <cfRule type="expression" priority="2" aboveAverage="0" equalAverage="0" bottom="0" percent="0" rank="0" text="" dxfId="1">
      <formula>AND($C5&lt;&gt;"",MOD(ROW(),2)=0,$M5&lt;&gt;"Obsolete")</formula>
    </cfRule>
    <cfRule type="expression" priority="3" aboveAverage="0" equalAverage="0" bottom="0" percent="0" rank="0" text="" dxfId="12">
      <formula>$M5="Obsolete"</formula>
    </cfRule>
  </conditionalFormatting>
  <conditionalFormatting sqref="M5:M36">
    <cfRule type="expression" priority="4" aboveAverage="0" equalAverage="0" bottom="0" percent="0" rank="0" text="" dxfId="13">
      <formula>$M5="Indicative"</formula>
    </cfRule>
    <cfRule type="expression" priority="5" aboveAverage="0" equalAverage="0" bottom="0" percent="0" rank="0" text="" dxfId="14">
      <formula>$M5="Quoted"</formula>
    </cfRule>
    <cfRule type="expression" priority="6" aboveAverage="0" equalAverage="0" bottom="0" percent="0" rank="0" text="" dxfId="15">
      <formula>$M5="Verified"</formula>
    </cfRule>
    <cfRule type="expression" priority="7" aboveAverage="0" equalAverage="0" bottom="0" percent="0" rank="0" text="" dxfId="16">
      <formula>$M5="Obsolete"</formula>
    </cfRule>
  </conditionalFormatting>
  <dataValidations count="2">
    <dataValidation allowBlank="true" error="Enter wastage as a percentage, e.g. 5%" errorStyle="stop" operator="between" showDropDown="false" showErrorMessage="false" showInputMessage="false" sqref="I5:I36" type="decimal">
      <formula1>0</formula1>
      <formula2>1</formula2>
    </dataValidation>
    <dataValidation allowBlank="true" errorStyle="stop" operator="between" showDropDown="false" showErrorMessage="false" showInputMessage="false" sqref="M5:M36" type="list">
      <formula1>"Indicative,Quoted,Verified,Obsolete"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&amp;L&amp;8Coating, Finishing Treatment Services&amp;C&amp;8Page &amp;P of &amp;N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CE4D6"/>
    <pageSetUpPr fitToPage="true"/>
  </sheetPr>
  <dimension ref="A1:R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32"/>
    <col collapsed="false" customWidth="true" hidden="false" outlineLevel="0" max="5" min="5" style="0" width="20"/>
    <col collapsed="false" customWidth="true" hidden="false" outlineLevel="0" max="6" min="6" style="0" width="26"/>
    <col collapsed="false" customWidth="true" hidden="false" outlineLevel="0" max="7" min="7" style="0" width="7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1" min="10" style="0" width="13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20"/>
    <col collapsed="false" customWidth="true" hidden="false" outlineLevel="0" max="15" min="15" style="0" width="13"/>
    <col collapsed="false" customWidth="true" hidden="false" outlineLevel="0" max="16" min="16" style="0" width="12"/>
    <col collapsed="false" customWidth="true" hidden="false" outlineLevel="0" max="17" min="17" style="0" width="26"/>
    <col collapsed="false" customWidth="true" hidden="false" outlineLevel="0" max="18" min="18" style="0" width="34"/>
  </cols>
  <sheetData>
    <row r="1" customFormat="false" ht="30" hidden="false" customHeight="true" outlineLevel="0" collapsed="false">
      <c r="A1" s="65" t="s">
        <v>1822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</row>
    <row r="2" customFormat="false" ht="15" hidden="false" customHeight="false" outlineLevel="0" collapsed="false">
      <c r="A2" s="100" t="s">
        <v>1823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</row>
    <row r="3" customFormat="false" ht="15" hidden="false" customHeight="false" outlineLevel="0" collapsed="false">
      <c r="A3" s="7" t="str">
        <f aca="false">HYPERLINK("#Index!A1","&lt;&lt; Back to Index")</f>
        <v>&lt;&lt; Back to Index</v>
      </c>
      <c r="D3" s="67" t="s">
        <v>180</v>
      </c>
      <c r="E3" s="68" t="n">
        <f aca="false">COUNTA(C5:C59)</f>
        <v>40</v>
      </c>
      <c r="H3" s="69" t="s">
        <v>181</v>
      </c>
    </row>
    <row r="4" customFormat="false" ht="31.5" hidden="false" customHeight="true" outlineLevel="0" collapsed="false">
      <c r="A4" s="8" t="s">
        <v>110</v>
      </c>
      <c r="B4" s="8" t="s">
        <v>121</v>
      </c>
      <c r="C4" s="8" t="s">
        <v>111</v>
      </c>
      <c r="D4" s="8" t="s">
        <v>112</v>
      </c>
      <c r="E4" s="8" t="s">
        <v>113</v>
      </c>
      <c r="F4" s="8" t="s">
        <v>114</v>
      </c>
      <c r="G4" s="8" t="s">
        <v>115</v>
      </c>
      <c r="H4" s="8" t="s">
        <v>182</v>
      </c>
      <c r="I4" s="8" t="s">
        <v>183</v>
      </c>
      <c r="J4" s="8" t="s">
        <v>184</v>
      </c>
      <c r="K4" s="8" t="s">
        <v>185</v>
      </c>
      <c r="L4" s="8" t="s">
        <v>186</v>
      </c>
      <c r="M4" s="8" t="s">
        <v>119</v>
      </c>
      <c r="N4" s="8" t="s">
        <v>187</v>
      </c>
      <c r="O4" s="8" t="s">
        <v>188</v>
      </c>
      <c r="P4" s="8" t="s">
        <v>189</v>
      </c>
      <c r="Q4" s="8" t="s">
        <v>190</v>
      </c>
      <c r="R4" s="8" t="s">
        <v>191</v>
      </c>
    </row>
    <row r="5" customFormat="false" ht="15" hidden="false" customHeight="false" outlineLevel="0" collapsed="false">
      <c r="A5" s="70" t="s">
        <v>1824</v>
      </c>
      <c r="B5" s="71" t="s">
        <v>1825</v>
      </c>
      <c r="C5" s="72" t="s">
        <v>1826</v>
      </c>
      <c r="D5" s="71" t="s">
        <v>1827</v>
      </c>
      <c r="E5" s="71" t="s">
        <v>457</v>
      </c>
      <c r="F5" s="71" t="s">
        <v>1828</v>
      </c>
      <c r="G5" s="73" t="s">
        <v>1829</v>
      </c>
      <c r="H5" s="79" t="n">
        <v>650</v>
      </c>
      <c r="I5" s="75" t="n">
        <v>0</v>
      </c>
      <c r="J5" s="76" t="n">
        <f aca="false">IF(H5="","",ROUND(H5*(1+I5),2))</f>
        <v>650</v>
      </c>
      <c r="K5" s="76" t="n">
        <f aca="false">IF(J5="","",ROUND(J5*(1+OHP),2))</f>
        <v>780</v>
      </c>
      <c r="L5" s="76" t="n">
        <f aca="false">IF(K5="","",ROUND(K5*(1+VAT),2))</f>
        <v>819</v>
      </c>
      <c r="M5" s="73" t="s">
        <v>89</v>
      </c>
      <c r="N5" s="71"/>
      <c r="O5" s="73"/>
      <c r="P5" s="77"/>
      <c r="Q5" s="71"/>
      <c r="R5" s="78"/>
    </row>
    <row r="6" customFormat="false" ht="15" hidden="false" customHeight="false" outlineLevel="0" collapsed="false">
      <c r="A6" s="70" t="s">
        <v>1830</v>
      </c>
      <c r="B6" s="71" t="s">
        <v>1825</v>
      </c>
      <c r="C6" s="72" t="s">
        <v>1831</v>
      </c>
      <c r="D6" s="71" t="s">
        <v>1827</v>
      </c>
      <c r="E6" s="71" t="s">
        <v>457</v>
      </c>
      <c r="F6" s="71" t="s">
        <v>1828</v>
      </c>
      <c r="G6" s="73" t="s">
        <v>1829</v>
      </c>
      <c r="H6" s="79" t="n">
        <v>450</v>
      </c>
      <c r="I6" s="75" t="n">
        <v>0</v>
      </c>
      <c r="J6" s="76" t="n">
        <f aca="false">IF(H6="","",ROUND(H6*(1+I6),2))</f>
        <v>450</v>
      </c>
      <c r="K6" s="76" t="n">
        <f aca="false">IF(J6="","",ROUND(J6*(1+OHP),2))</f>
        <v>540</v>
      </c>
      <c r="L6" s="76" t="n">
        <f aca="false">IF(K6="","",ROUND(K6*(1+VAT),2))</f>
        <v>567</v>
      </c>
      <c r="M6" s="73" t="s">
        <v>89</v>
      </c>
      <c r="N6" s="71"/>
      <c r="O6" s="73"/>
      <c r="P6" s="77"/>
      <c r="Q6" s="71"/>
      <c r="R6" s="78"/>
    </row>
    <row r="7" customFormat="false" ht="15" hidden="false" customHeight="false" outlineLevel="0" collapsed="false">
      <c r="A7" s="70" t="s">
        <v>1832</v>
      </c>
      <c r="B7" s="71" t="s">
        <v>1825</v>
      </c>
      <c r="C7" s="72" t="s">
        <v>1833</v>
      </c>
      <c r="D7" s="71" t="s">
        <v>1827</v>
      </c>
      <c r="E7" s="71" t="s">
        <v>457</v>
      </c>
      <c r="F7" s="71" t="s">
        <v>1828</v>
      </c>
      <c r="G7" s="73" t="s">
        <v>1829</v>
      </c>
      <c r="H7" s="79" t="n">
        <v>300</v>
      </c>
      <c r="I7" s="75" t="n">
        <v>0</v>
      </c>
      <c r="J7" s="76" t="n">
        <f aca="false">IF(H7="","",ROUND(H7*(1+I7),2))</f>
        <v>300</v>
      </c>
      <c r="K7" s="76" t="n">
        <f aca="false">IF(J7="","",ROUND(J7*(1+OHP),2))</f>
        <v>360</v>
      </c>
      <c r="L7" s="76" t="n">
        <f aca="false">IF(K7="","",ROUND(K7*(1+VAT),2))</f>
        <v>378</v>
      </c>
      <c r="M7" s="73" t="s">
        <v>89</v>
      </c>
      <c r="N7" s="71"/>
      <c r="O7" s="73"/>
      <c r="P7" s="77"/>
      <c r="Q7" s="71"/>
      <c r="R7" s="78"/>
    </row>
    <row r="8" customFormat="false" ht="15" hidden="false" customHeight="false" outlineLevel="0" collapsed="false">
      <c r="A8" s="70" t="s">
        <v>1834</v>
      </c>
      <c r="B8" s="71" t="s">
        <v>1825</v>
      </c>
      <c r="C8" s="72" t="s">
        <v>1835</v>
      </c>
      <c r="D8" s="71" t="s">
        <v>1836</v>
      </c>
      <c r="E8" s="71" t="s">
        <v>457</v>
      </c>
      <c r="F8" s="71" t="s">
        <v>1828</v>
      </c>
      <c r="G8" s="73" t="s">
        <v>1829</v>
      </c>
      <c r="H8" s="79" t="n">
        <v>220</v>
      </c>
      <c r="I8" s="75" t="n">
        <v>0</v>
      </c>
      <c r="J8" s="76" t="n">
        <f aca="false">IF(H8="","",ROUND(H8*(1+I8),2))</f>
        <v>220</v>
      </c>
      <c r="K8" s="76" t="n">
        <f aca="false">IF(J8="","",ROUND(J8*(1+OHP),2))</f>
        <v>264</v>
      </c>
      <c r="L8" s="76" t="n">
        <f aca="false">IF(K8="","",ROUND(K8*(1+VAT),2))</f>
        <v>277.2</v>
      </c>
      <c r="M8" s="73" t="s">
        <v>89</v>
      </c>
      <c r="N8" s="71"/>
      <c r="O8" s="73"/>
      <c r="P8" s="77"/>
      <c r="Q8" s="71"/>
      <c r="R8" s="78" t="s">
        <v>199</v>
      </c>
    </row>
    <row r="9" customFormat="false" ht="15" hidden="false" customHeight="false" outlineLevel="0" collapsed="false">
      <c r="A9" s="70" t="s">
        <v>1837</v>
      </c>
      <c r="B9" s="71" t="s">
        <v>1825</v>
      </c>
      <c r="C9" s="72" t="s">
        <v>1838</v>
      </c>
      <c r="D9" s="71" t="s">
        <v>1836</v>
      </c>
      <c r="E9" s="71" t="s">
        <v>457</v>
      </c>
      <c r="F9" s="71" t="s">
        <v>1828</v>
      </c>
      <c r="G9" s="73" t="s">
        <v>1829</v>
      </c>
      <c r="H9" s="79" t="n">
        <v>220</v>
      </c>
      <c r="I9" s="75" t="n">
        <v>0</v>
      </c>
      <c r="J9" s="76" t="n">
        <f aca="false">IF(H9="","",ROUND(H9*(1+I9),2))</f>
        <v>220</v>
      </c>
      <c r="K9" s="76" t="n">
        <f aca="false">IF(J9="","",ROUND(J9*(1+OHP),2))</f>
        <v>264</v>
      </c>
      <c r="L9" s="76" t="n">
        <f aca="false">IF(K9="","",ROUND(K9*(1+VAT),2))</f>
        <v>277.2</v>
      </c>
      <c r="M9" s="73" t="s">
        <v>89</v>
      </c>
      <c r="N9" s="71"/>
      <c r="O9" s="73"/>
      <c r="P9" s="77"/>
      <c r="Q9" s="71"/>
      <c r="R9" s="78" t="s">
        <v>199</v>
      </c>
    </row>
    <row r="10" customFormat="false" ht="15" hidden="false" customHeight="false" outlineLevel="0" collapsed="false">
      <c r="A10" s="70" t="s">
        <v>1839</v>
      </c>
      <c r="B10" s="71" t="s">
        <v>1825</v>
      </c>
      <c r="C10" s="72" t="s">
        <v>1840</v>
      </c>
      <c r="D10" s="71" t="s">
        <v>1836</v>
      </c>
      <c r="E10" s="71" t="s">
        <v>457</v>
      </c>
      <c r="F10" s="71" t="s">
        <v>1828</v>
      </c>
      <c r="G10" s="73" t="s">
        <v>1829</v>
      </c>
      <c r="H10" s="79" t="n">
        <v>230</v>
      </c>
      <c r="I10" s="75" t="n">
        <v>0</v>
      </c>
      <c r="J10" s="76" t="n">
        <f aca="false">IF(H10="","",ROUND(H10*(1+I10),2))</f>
        <v>230</v>
      </c>
      <c r="K10" s="76" t="n">
        <f aca="false">IF(J10="","",ROUND(J10*(1+OHP),2))</f>
        <v>276</v>
      </c>
      <c r="L10" s="76" t="n">
        <f aca="false">IF(K10="","",ROUND(K10*(1+VAT),2))</f>
        <v>289.8</v>
      </c>
      <c r="M10" s="73" t="s">
        <v>89</v>
      </c>
      <c r="N10" s="71"/>
      <c r="O10" s="73"/>
      <c r="P10" s="77"/>
      <c r="Q10" s="71"/>
      <c r="R10" s="78" t="s">
        <v>671</v>
      </c>
    </row>
    <row r="11" customFormat="false" ht="15" hidden="false" customHeight="false" outlineLevel="0" collapsed="false">
      <c r="A11" s="70" t="s">
        <v>1841</v>
      </c>
      <c r="B11" s="71" t="s">
        <v>1825</v>
      </c>
      <c r="C11" s="72" t="s">
        <v>1842</v>
      </c>
      <c r="D11" s="71" t="s">
        <v>1836</v>
      </c>
      <c r="E11" s="71" t="s">
        <v>457</v>
      </c>
      <c r="F11" s="71" t="s">
        <v>1828</v>
      </c>
      <c r="G11" s="73" t="s">
        <v>1829</v>
      </c>
      <c r="H11" s="79" t="n">
        <v>250</v>
      </c>
      <c r="I11" s="75" t="n">
        <v>0</v>
      </c>
      <c r="J11" s="76" t="n">
        <f aca="false">IF(H11="","",ROUND(H11*(1+I11),2))</f>
        <v>250</v>
      </c>
      <c r="K11" s="76" t="n">
        <f aca="false">IF(J11="","",ROUND(J11*(1+OHP),2))</f>
        <v>300</v>
      </c>
      <c r="L11" s="76" t="n">
        <f aca="false">IF(K11="","",ROUND(K11*(1+VAT),2))</f>
        <v>315</v>
      </c>
      <c r="M11" s="73" t="s">
        <v>89</v>
      </c>
      <c r="N11" s="71"/>
      <c r="O11" s="73"/>
      <c r="P11" s="77"/>
      <c r="Q11" s="71"/>
      <c r="R11" s="78"/>
    </row>
    <row r="12" customFormat="false" ht="15" hidden="false" customHeight="false" outlineLevel="0" collapsed="false">
      <c r="A12" s="70" t="s">
        <v>1843</v>
      </c>
      <c r="B12" s="71" t="s">
        <v>1825</v>
      </c>
      <c r="C12" s="72" t="s">
        <v>1844</v>
      </c>
      <c r="D12" s="71" t="s">
        <v>1836</v>
      </c>
      <c r="E12" s="71" t="s">
        <v>457</v>
      </c>
      <c r="F12" s="71" t="s">
        <v>1828</v>
      </c>
      <c r="G12" s="73" t="s">
        <v>1829</v>
      </c>
      <c r="H12" s="79" t="n">
        <v>280</v>
      </c>
      <c r="I12" s="75" t="n">
        <v>0</v>
      </c>
      <c r="J12" s="76" t="n">
        <f aca="false">IF(H12="","",ROUND(H12*(1+I12),2))</f>
        <v>280</v>
      </c>
      <c r="K12" s="76" t="n">
        <f aca="false">IF(J12="","",ROUND(J12*(1+OHP),2))</f>
        <v>336</v>
      </c>
      <c r="L12" s="76" t="n">
        <f aca="false">IF(K12="","",ROUND(K12*(1+VAT),2))</f>
        <v>352.8</v>
      </c>
      <c r="M12" s="73" t="s">
        <v>89</v>
      </c>
      <c r="N12" s="71"/>
      <c r="O12" s="73"/>
      <c r="P12" s="77"/>
      <c r="Q12" s="71"/>
      <c r="R12" s="78" t="s">
        <v>671</v>
      </c>
    </row>
    <row r="13" customFormat="false" ht="15" hidden="false" customHeight="false" outlineLevel="0" collapsed="false">
      <c r="A13" s="70" t="s">
        <v>1845</v>
      </c>
      <c r="B13" s="71" t="s">
        <v>1825</v>
      </c>
      <c r="C13" s="72" t="s">
        <v>1846</v>
      </c>
      <c r="D13" s="71" t="s">
        <v>1836</v>
      </c>
      <c r="E13" s="71" t="s">
        <v>457</v>
      </c>
      <c r="F13" s="71" t="s">
        <v>1828</v>
      </c>
      <c r="G13" s="73" t="s">
        <v>1829</v>
      </c>
      <c r="H13" s="79" t="n">
        <v>180</v>
      </c>
      <c r="I13" s="75" t="n">
        <v>0</v>
      </c>
      <c r="J13" s="76" t="n">
        <f aca="false">IF(H13="","",ROUND(H13*(1+I13),2))</f>
        <v>180</v>
      </c>
      <c r="K13" s="76" t="n">
        <f aca="false">IF(J13="","",ROUND(J13*(1+OHP),2))</f>
        <v>216</v>
      </c>
      <c r="L13" s="76" t="n">
        <f aca="false">IF(K13="","",ROUND(K13*(1+VAT),2))</f>
        <v>226.8</v>
      </c>
      <c r="M13" s="73" t="s">
        <v>89</v>
      </c>
      <c r="N13" s="71"/>
      <c r="O13" s="73"/>
      <c r="P13" s="77"/>
      <c r="Q13" s="71"/>
      <c r="R13" s="78"/>
    </row>
    <row r="14" customFormat="false" ht="15" hidden="false" customHeight="false" outlineLevel="0" collapsed="false">
      <c r="A14" s="70" t="s">
        <v>1847</v>
      </c>
      <c r="B14" s="71" t="s">
        <v>1825</v>
      </c>
      <c r="C14" s="72" t="s">
        <v>1848</v>
      </c>
      <c r="D14" s="71" t="s">
        <v>1836</v>
      </c>
      <c r="E14" s="71" t="s">
        <v>457</v>
      </c>
      <c r="F14" s="71" t="s">
        <v>1828</v>
      </c>
      <c r="G14" s="73" t="s">
        <v>1829</v>
      </c>
      <c r="H14" s="79" t="n">
        <v>140</v>
      </c>
      <c r="I14" s="75" t="n">
        <v>0</v>
      </c>
      <c r="J14" s="76" t="n">
        <f aca="false">IF(H14="","",ROUND(H14*(1+I14),2))</f>
        <v>140</v>
      </c>
      <c r="K14" s="76" t="n">
        <f aca="false">IF(J14="","",ROUND(J14*(1+OHP),2))</f>
        <v>168</v>
      </c>
      <c r="L14" s="76" t="n">
        <f aca="false">IF(K14="","",ROUND(K14*(1+VAT),2))</f>
        <v>176.4</v>
      </c>
      <c r="M14" s="73" t="s">
        <v>89</v>
      </c>
      <c r="N14" s="71"/>
      <c r="O14" s="73"/>
      <c r="P14" s="77"/>
      <c r="Q14" s="71"/>
      <c r="R14" s="78"/>
    </row>
    <row r="15" customFormat="false" ht="15" hidden="false" customHeight="false" outlineLevel="0" collapsed="false">
      <c r="A15" s="70" t="s">
        <v>1849</v>
      </c>
      <c r="B15" s="71" t="s">
        <v>1825</v>
      </c>
      <c r="C15" s="72" t="s">
        <v>1850</v>
      </c>
      <c r="D15" s="71" t="s">
        <v>1836</v>
      </c>
      <c r="E15" s="71" t="s">
        <v>457</v>
      </c>
      <c r="F15" s="71" t="s">
        <v>1828</v>
      </c>
      <c r="G15" s="73" t="s">
        <v>1829</v>
      </c>
      <c r="H15" s="79" t="n">
        <v>180</v>
      </c>
      <c r="I15" s="75" t="n">
        <v>0</v>
      </c>
      <c r="J15" s="76" t="n">
        <f aca="false">IF(H15="","",ROUND(H15*(1+I15),2))</f>
        <v>180</v>
      </c>
      <c r="K15" s="76" t="n">
        <f aca="false">IF(J15="","",ROUND(J15*(1+OHP),2))</f>
        <v>216</v>
      </c>
      <c r="L15" s="76" t="n">
        <f aca="false">IF(K15="","",ROUND(K15*(1+VAT),2))</f>
        <v>226.8</v>
      </c>
      <c r="M15" s="73" t="s">
        <v>89</v>
      </c>
      <c r="N15" s="71"/>
      <c r="O15" s="73"/>
      <c r="P15" s="77"/>
      <c r="Q15" s="71"/>
      <c r="R15" s="78"/>
    </row>
    <row r="16" customFormat="false" ht="15" hidden="false" customHeight="false" outlineLevel="0" collapsed="false">
      <c r="A16" s="70" t="s">
        <v>1851</v>
      </c>
      <c r="B16" s="71" t="s">
        <v>1825</v>
      </c>
      <c r="C16" s="72" t="s">
        <v>1852</v>
      </c>
      <c r="D16" s="71" t="s">
        <v>1853</v>
      </c>
      <c r="E16" s="71" t="s">
        <v>457</v>
      </c>
      <c r="F16" s="71" t="s">
        <v>1828</v>
      </c>
      <c r="G16" s="73" t="s">
        <v>1854</v>
      </c>
      <c r="H16" s="79" t="n">
        <v>25</v>
      </c>
      <c r="I16" s="75" t="n">
        <v>0</v>
      </c>
      <c r="J16" s="76" t="n">
        <f aca="false">IF(H16="","",ROUND(H16*(1+I16),2))</f>
        <v>25</v>
      </c>
      <c r="K16" s="76" t="n">
        <f aca="false">IF(J16="","",ROUND(J16*(1+OHP),2))</f>
        <v>30</v>
      </c>
      <c r="L16" s="76" t="n">
        <f aca="false">IF(K16="","",ROUND(K16*(1+VAT),2))</f>
        <v>31.5</v>
      </c>
      <c r="M16" s="73" t="s">
        <v>89</v>
      </c>
      <c r="N16" s="71"/>
      <c r="O16" s="73"/>
      <c r="P16" s="77"/>
      <c r="Q16" s="71"/>
      <c r="R16" s="78"/>
    </row>
    <row r="17" customFormat="false" ht="15" hidden="false" customHeight="false" outlineLevel="0" collapsed="false">
      <c r="A17" s="70" t="s">
        <v>1855</v>
      </c>
      <c r="B17" s="71" t="s">
        <v>1825</v>
      </c>
      <c r="C17" s="72" t="s">
        <v>1856</v>
      </c>
      <c r="D17" s="71" t="s">
        <v>1836</v>
      </c>
      <c r="E17" s="71" t="s">
        <v>457</v>
      </c>
      <c r="F17" s="71" t="s">
        <v>1857</v>
      </c>
      <c r="G17" s="73" t="s">
        <v>1829</v>
      </c>
      <c r="H17" s="79" t="n">
        <v>160</v>
      </c>
      <c r="I17" s="75" t="n">
        <v>0</v>
      </c>
      <c r="J17" s="76" t="n">
        <f aca="false">IF(H17="","",ROUND(H17*(1+I17),2))</f>
        <v>160</v>
      </c>
      <c r="K17" s="76" t="n">
        <f aca="false">IF(J17="","",ROUND(J17*(1+OHP),2))</f>
        <v>192</v>
      </c>
      <c r="L17" s="76" t="n">
        <f aca="false">IF(K17="","",ROUND(K17*(1+VAT),2))</f>
        <v>201.6</v>
      </c>
      <c r="M17" s="73" t="s">
        <v>89</v>
      </c>
      <c r="N17" s="71"/>
      <c r="O17" s="73"/>
      <c r="P17" s="77"/>
      <c r="Q17" s="71"/>
      <c r="R17" s="78"/>
    </row>
    <row r="18" customFormat="false" ht="15" hidden="false" customHeight="false" outlineLevel="0" collapsed="false">
      <c r="A18" s="70" t="s">
        <v>1858</v>
      </c>
      <c r="B18" s="71" t="s">
        <v>1859</v>
      </c>
      <c r="C18" s="72" t="s">
        <v>1860</v>
      </c>
      <c r="D18" s="71" t="s">
        <v>1861</v>
      </c>
      <c r="E18" s="71" t="s">
        <v>457</v>
      </c>
      <c r="F18" s="71" t="s">
        <v>1862</v>
      </c>
      <c r="G18" s="73" t="s">
        <v>1829</v>
      </c>
      <c r="H18" s="79" t="n">
        <v>650</v>
      </c>
      <c r="I18" s="75" t="n">
        <v>0</v>
      </c>
      <c r="J18" s="76" t="n">
        <f aca="false">IF(H18="","",ROUND(H18*(1+I18),2))</f>
        <v>650</v>
      </c>
      <c r="K18" s="76" t="n">
        <f aca="false">IF(J18="","",ROUND(J18*(1+OHP),2))</f>
        <v>780</v>
      </c>
      <c r="L18" s="76" t="n">
        <f aca="false">IF(K18="","",ROUND(K18*(1+VAT),2))</f>
        <v>819</v>
      </c>
      <c r="M18" s="73" t="s">
        <v>89</v>
      </c>
      <c r="N18" s="71"/>
      <c r="O18" s="73"/>
      <c r="P18" s="77"/>
      <c r="Q18" s="71"/>
      <c r="R18" s="78" t="s">
        <v>671</v>
      </c>
    </row>
    <row r="19" customFormat="false" ht="15" hidden="false" customHeight="false" outlineLevel="0" collapsed="false">
      <c r="A19" s="70" t="s">
        <v>1863</v>
      </c>
      <c r="B19" s="71" t="s">
        <v>1859</v>
      </c>
      <c r="C19" s="72" t="s">
        <v>1864</v>
      </c>
      <c r="D19" s="71" t="s">
        <v>1861</v>
      </c>
      <c r="E19" s="71" t="s">
        <v>457</v>
      </c>
      <c r="F19" s="71" t="s">
        <v>1862</v>
      </c>
      <c r="G19" s="73" t="s">
        <v>1829</v>
      </c>
      <c r="H19" s="79" t="n">
        <v>1100</v>
      </c>
      <c r="I19" s="75" t="n">
        <v>0</v>
      </c>
      <c r="J19" s="76" t="n">
        <f aca="false">IF(H19="","",ROUND(H19*(1+I19),2))</f>
        <v>1100</v>
      </c>
      <c r="K19" s="76" t="n">
        <f aca="false">IF(J19="","",ROUND(J19*(1+OHP),2))</f>
        <v>1320</v>
      </c>
      <c r="L19" s="76" t="n">
        <f aca="false">IF(K19="","",ROUND(K19*(1+VAT),2))</f>
        <v>1386</v>
      </c>
      <c r="M19" s="73" t="s">
        <v>89</v>
      </c>
      <c r="N19" s="71"/>
      <c r="O19" s="73"/>
      <c r="P19" s="77"/>
      <c r="Q19" s="71"/>
      <c r="R19" s="78" t="s">
        <v>671</v>
      </c>
    </row>
    <row r="20" customFormat="false" ht="15" hidden="false" customHeight="false" outlineLevel="0" collapsed="false">
      <c r="A20" s="70" t="s">
        <v>1865</v>
      </c>
      <c r="B20" s="71" t="s">
        <v>1859</v>
      </c>
      <c r="C20" s="72" t="s">
        <v>1866</v>
      </c>
      <c r="D20" s="71" t="s">
        <v>1867</v>
      </c>
      <c r="E20" s="71" t="s">
        <v>457</v>
      </c>
      <c r="F20" s="71" t="s">
        <v>1862</v>
      </c>
      <c r="G20" s="73" t="s">
        <v>1829</v>
      </c>
      <c r="H20" s="79" t="n">
        <v>350</v>
      </c>
      <c r="I20" s="75" t="n">
        <v>0</v>
      </c>
      <c r="J20" s="76" t="n">
        <f aca="false">IF(H20="","",ROUND(H20*(1+I20),2))</f>
        <v>350</v>
      </c>
      <c r="K20" s="76" t="n">
        <f aca="false">IF(J20="","",ROUND(J20*(1+OHP),2))</f>
        <v>420</v>
      </c>
      <c r="L20" s="76" t="n">
        <f aca="false">IF(K20="","",ROUND(K20*(1+VAT),2))</f>
        <v>441</v>
      </c>
      <c r="M20" s="73" t="s">
        <v>89</v>
      </c>
      <c r="N20" s="71"/>
      <c r="O20" s="73"/>
      <c r="P20" s="77"/>
      <c r="Q20" s="71"/>
      <c r="R20" s="78" t="s">
        <v>671</v>
      </c>
    </row>
    <row r="21" customFormat="false" ht="15" hidden="false" customHeight="false" outlineLevel="0" collapsed="false">
      <c r="A21" s="70" t="s">
        <v>1868</v>
      </c>
      <c r="B21" s="71" t="s">
        <v>1859</v>
      </c>
      <c r="C21" s="72" t="s">
        <v>1869</v>
      </c>
      <c r="D21" s="71" t="s">
        <v>1870</v>
      </c>
      <c r="E21" s="71" t="s">
        <v>457</v>
      </c>
      <c r="F21" s="71" t="s">
        <v>1862</v>
      </c>
      <c r="G21" s="73" t="s">
        <v>1871</v>
      </c>
      <c r="H21" s="79" t="n">
        <v>900</v>
      </c>
      <c r="I21" s="75" t="n">
        <v>0</v>
      </c>
      <c r="J21" s="76" t="n">
        <f aca="false">IF(H21="","",ROUND(H21*(1+I21),2))</f>
        <v>900</v>
      </c>
      <c r="K21" s="76" t="n">
        <f aca="false">IF(J21="","",ROUND(J21*(1+OHP),2))</f>
        <v>1080</v>
      </c>
      <c r="L21" s="76" t="n">
        <f aca="false">IF(K21="","",ROUND(K21*(1+VAT),2))</f>
        <v>1134</v>
      </c>
      <c r="M21" s="73" t="s">
        <v>89</v>
      </c>
      <c r="N21" s="71"/>
      <c r="O21" s="73"/>
      <c r="P21" s="77"/>
      <c r="Q21" s="71"/>
      <c r="R21" s="78" t="s">
        <v>671</v>
      </c>
    </row>
    <row r="22" customFormat="false" ht="15" hidden="false" customHeight="false" outlineLevel="0" collapsed="false">
      <c r="A22" s="70" t="s">
        <v>1872</v>
      </c>
      <c r="B22" s="71" t="s">
        <v>1859</v>
      </c>
      <c r="C22" s="72" t="s">
        <v>1873</v>
      </c>
      <c r="D22" s="71" t="s">
        <v>1874</v>
      </c>
      <c r="E22" s="71" t="s">
        <v>457</v>
      </c>
      <c r="F22" s="71" t="s">
        <v>1875</v>
      </c>
      <c r="G22" s="73" t="s">
        <v>378</v>
      </c>
      <c r="H22" s="79" t="n">
        <v>12</v>
      </c>
      <c r="I22" s="75" t="n">
        <v>0</v>
      </c>
      <c r="J22" s="76" t="n">
        <f aca="false">IF(H22="","",ROUND(H22*(1+I22),2))</f>
        <v>12</v>
      </c>
      <c r="K22" s="76" t="n">
        <f aca="false">IF(J22="","",ROUND(J22*(1+OHP),2))</f>
        <v>14.4</v>
      </c>
      <c r="L22" s="76" t="n">
        <f aca="false">IF(K22="","",ROUND(K22*(1+VAT),2))</f>
        <v>15.12</v>
      </c>
      <c r="M22" s="73" t="s">
        <v>89</v>
      </c>
      <c r="N22" s="71"/>
      <c r="O22" s="73"/>
      <c r="P22" s="77"/>
      <c r="Q22" s="71"/>
      <c r="R22" s="78" t="s">
        <v>671</v>
      </c>
    </row>
    <row r="23" customFormat="false" ht="15" hidden="false" customHeight="false" outlineLevel="0" collapsed="false">
      <c r="A23" s="70" t="s">
        <v>1876</v>
      </c>
      <c r="B23" s="71" t="s">
        <v>1859</v>
      </c>
      <c r="C23" s="72" t="s">
        <v>1877</v>
      </c>
      <c r="D23" s="71" t="s">
        <v>1878</v>
      </c>
      <c r="E23" s="71" t="s">
        <v>457</v>
      </c>
      <c r="F23" s="71" t="s">
        <v>1862</v>
      </c>
      <c r="G23" s="73" t="s">
        <v>1871</v>
      </c>
      <c r="H23" s="79" t="n">
        <v>6500</v>
      </c>
      <c r="I23" s="75" t="n">
        <v>0</v>
      </c>
      <c r="J23" s="76" t="n">
        <f aca="false">IF(H23="","",ROUND(H23*(1+I23),2))</f>
        <v>6500</v>
      </c>
      <c r="K23" s="76" t="n">
        <f aca="false">IF(J23="","",ROUND(J23*(1+OHP),2))</f>
        <v>7800</v>
      </c>
      <c r="L23" s="76" t="n">
        <f aca="false">IF(K23="","",ROUND(K23*(1+VAT),2))</f>
        <v>8190</v>
      </c>
      <c r="M23" s="73" t="s">
        <v>89</v>
      </c>
      <c r="N23" s="71"/>
      <c r="O23" s="73"/>
      <c r="P23" s="77"/>
      <c r="Q23" s="71"/>
      <c r="R23" s="78" t="s">
        <v>671</v>
      </c>
    </row>
    <row r="24" customFormat="false" ht="15" hidden="false" customHeight="false" outlineLevel="0" collapsed="false">
      <c r="A24" s="70" t="s">
        <v>1879</v>
      </c>
      <c r="B24" s="71" t="s">
        <v>1859</v>
      </c>
      <c r="C24" s="72" t="s">
        <v>1880</v>
      </c>
      <c r="D24" s="71" t="s">
        <v>1881</v>
      </c>
      <c r="E24" s="71" t="s">
        <v>457</v>
      </c>
      <c r="F24" s="71" t="s">
        <v>1882</v>
      </c>
      <c r="G24" s="73" t="s">
        <v>1829</v>
      </c>
      <c r="H24" s="79" t="n">
        <v>1500</v>
      </c>
      <c r="I24" s="75" t="n">
        <v>0</v>
      </c>
      <c r="J24" s="76" t="n">
        <f aca="false">IF(H24="","",ROUND(H24*(1+I24),2))</f>
        <v>1500</v>
      </c>
      <c r="K24" s="76" t="n">
        <f aca="false">IF(J24="","",ROUND(J24*(1+OHP),2))</f>
        <v>1800</v>
      </c>
      <c r="L24" s="76" t="n">
        <f aca="false">IF(K24="","",ROUND(K24*(1+VAT),2))</f>
        <v>1890</v>
      </c>
      <c r="M24" s="73" t="s">
        <v>89</v>
      </c>
      <c r="N24" s="71"/>
      <c r="O24" s="73"/>
      <c r="P24" s="77"/>
      <c r="Q24" s="71"/>
      <c r="R24" s="78" t="s">
        <v>671</v>
      </c>
    </row>
    <row r="25" customFormat="false" ht="15" hidden="false" customHeight="false" outlineLevel="0" collapsed="false">
      <c r="A25" s="70" t="s">
        <v>1883</v>
      </c>
      <c r="B25" s="71" t="s">
        <v>1884</v>
      </c>
      <c r="C25" s="72" t="s">
        <v>1885</v>
      </c>
      <c r="D25" s="71" t="s">
        <v>1886</v>
      </c>
      <c r="E25" s="71" t="s">
        <v>457</v>
      </c>
      <c r="F25" s="71" t="s">
        <v>1862</v>
      </c>
      <c r="G25" s="73" t="s">
        <v>1829</v>
      </c>
      <c r="H25" s="79" t="n">
        <v>1800</v>
      </c>
      <c r="I25" s="75" t="n">
        <v>0</v>
      </c>
      <c r="J25" s="76" t="n">
        <f aca="false">IF(H25="","",ROUND(H25*(1+I25),2))</f>
        <v>1800</v>
      </c>
      <c r="K25" s="76" t="n">
        <f aca="false">IF(J25="","",ROUND(J25*(1+OHP),2))</f>
        <v>2160</v>
      </c>
      <c r="L25" s="76" t="n">
        <f aca="false">IF(K25="","",ROUND(K25*(1+VAT),2))</f>
        <v>2268</v>
      </c>
      <c r="M25" s="73" t="s">
        <v>89</v>
      </c>
      <c r="N25" s="71"/>
      <c r="O25" s="73"/>
      <c r="P25" s="77"/>
      <c r="Q25" s="71"/>
      <c r="R25" s="78"/>
    </row>
    <row r="26" customFormat="false" ht="15" hidden="false" customHeight="false" outlineLevel="0" collapsed="false">
      <c r="A26" s="70" t="s">
        <v>1887</v>
      </c>
      <c r="B26" s="71" t="s">
        <v>1884</v>
      </c>
      <c r="C26" s="72" t="s">
        <v>1888</v>
      </c>
      <c r="D26" s="71" t="s">
        <v>1886</v>
      </c>
      <c r="E26" s="71" t="s">
        <v>457</v>
      </c>
      <c r="F26" s="71" t="s">
        <v>1862</v>
      </c>
      <c r="G26" s="73" t="s">
        <v>1829</v>
      </c>
      <c r="H26" s="79" t="n">
        <v>3200</v>
      </c>
      <c r="I26" s="75" t="n">
        <v>0</v>
      </c>
      <c r="J26" s="76" t="n">
        <f aca="false">IF(H26="","",ROUND(H26*(1+I26),2))</f>
        <v>3200</v>
      </c>
      <c r="K26" s="76" t="n">
        <f aca="false">IF(J26="","",ROUND(J26*(1+OHP),2))</f>
        <v>3840</v>
      </c>
      <c r="L26" s="76" t="n">
        <f aca="false">IF(K26="","",ROUND(K26*(1+VAT),2))</f>
        <v>4032</v>
      </c>
      <c r="M26" s="73" t="s">
        <v>89</v>
      </c>
      <c r="N26" s="71"/>
      <c r="O26" s="73"/>
      <c r="P26" s="77"/>
      <c r="Q26" s="71"/>
      <c r="R26" s="78"/>
    </row>
    <row r="27" customFormat="false" ht="15" hidden="false" customHeight="false" outlineLevel="0" collapsed="false">
      <c r="A27" s="70" t="s">
        <v>1889</v>
      </c>
      <c r="B27" s="71" t="s">
        <v>1884</v>
      </c>
      <c r="C27" s="72" t="s">
        <v>1890</v>
      </c>
      <c r="D27" s="71" t="s">
        <v>1867</v>
      </c>
      <c r="E27" s="71" t="s">
        <v>457</v>
      </c>
      <c r="F27" s="71" t="s">
        <v>1862</v>
      </c>
      <c r="G27" s="73" t="s">
        <v>1829</v>
      </c>
      <c r="H27" s="79" t="n">
        <v>150</v>
      </c>
      <c r="I27" s="75" t="n">
        <v>0</v>
      </c>
      <c r="J27" s="76" t="n">
        <f aca="false">IF(H27="","",ROUND(H27*(1+I27),2))</f>
        <v>150</v>
      </c>
      <c r="K27" s="76" t="n">
        <f aca="false">IF(J27="","",ROUND(J27*(1+OHP),2))</f>
        <v>180</v>
      </c>
      <c r="L27" s="76" t="n">
        <f aca="false">IF(K27="","",ROUND(K27*(1+VAT),2))</f>
        <v>189</v>
      </c>
      <c r="M27" s="73" t="s">
        <v>89</v>
      </c>
      <c r="N27" s="71"/>
      <c r="O27" s="73"/>
      <c r="P27" s="77"/>
      <c r="Q27" s="71"/>
      <c r="R27" s="78" t="s">
        <v>671</v>
      </c>
    </row>
    <row r="28" customFormat="false" ht="15" hidden="false" customHeight="false" outlineLevel="0" collapsed="false">
      <c r="A28" s="70" t="s">
        <v>1891</v>
      </c>
      <c r="B28" s="71" t="s">
        <v>1884</v>
      </c>
      <c r="C28" s="72" t="s">
        <v>1892</v>
      </c>
      <c r="D28" s="71" t="s">
        <v>1861</v>
      </c>
      <c r="E28" s="71" t="s">
        <v>457</v>
      </c>
      <c r="F28" s="71" t="s">
        <v>1862</v>
      </c>
      <c r="G28" s="73" t="s">
        <v>1829</v>
      </c>
      <c r="H28" s="79" t="n">
        <v>1600</v>
      </c>
      <c r="I28" s="75" t="n">
        <v>0</v>
      </c>
      <c r="J28" s="76" t="n">
        <f aca="false">IF(H28="","",ROUND(H28*(1+I28),2))</f>
        <v>1600</v>
      </c>
      <c r="K28" s="76" t="n">
        <f aca="false">IF(J28="","",ROUND(J28*(1+OHP),2))</f>
        <v>1920</v>
      </c>
      <c r="L28" s="76" t="n">
        <f aca="false">IF(K28="","",ROUND(K28*(1+VAT),2))</f>
        <v>2016</v>
      </c>
      <c r="M28" s="73" t="s">
        <v>89</v>
      </c>
      <c r="N28" s="71"/>
      <c r="O28" s="73"/>
      <c r="P28" s="77"/>
      <c r="Q28" s="71"/>
      <c r="R28" s="78" t="s">
        <v>671</v>
      </c>
    </row>
    <row r="29" customFormat="false" ht="15" hidden="false" customHeight="false" outlineLevel="0" collapsed="false">
      <c r="A29" s="70" t="s">
        <v>1893</v>
      </c>
      <c r="B29" s="71" t="s">
        <v>1884</v>
      </c>
      <c r="C29" s="72" t="s">
        <v>1894</v>
      </c>
      <c r="D29" s="71" t="s">
        <v>1867</v>
      </c>
      <c r="E29" s="71" t="s">
        <v>457</v>
      </c>
      <c r="F29" s="71" t="s">
        <v>1862</v>
      </c>
      <c r="G29" s="73" t="s">
        <v>1829</v>
      </c>
      <c r="H29" s="79" t="n">
        <v>60</v>
      </c>
      <c r="I29" s="75" t="n">
        <v>0</v>
      </c>
      <c r="J29" s="76" t="n">
        <f aca="false">IF(H29="","",ROUND(H29*(1+I29),2))</f>
        <v>60</v>
      </c>
      <c r="K29" s="76" t="n">
        <f aca="false">IF(J29="","",ROUND(J29*(1+OHP),2))</f>
        <v>72</v>
      </c>
      <c r="L29" s="76" t="n">
        <f aca="false">IF(K29="","",ROUND(K29*(1+VAT),2))</f>
        <v>75.6</v>
      </c>
      <c r="M29" s="73" t="s">
        <v>89</v>
      </c>
      <c r="N29" s="71"/>
      <c r="O29" s="73"/>
      <c r="P29" s="77"/>
      <c r="Q29" s="71"/>
      <c r="R29" s="78"/>
    </row>
    <row r="30" customFormat="false" ht="15" hidden="false" customHeight="false" outlineLevel="0" collapsed="false">
      <c r="A30" s="70" t="s">
        <v>1895</v>
      </c>
      <c r="B30" s="71" t="s">
        <v>1896</v>
      </c>
      <c r="C30" s="72" t="s">
        <v>1897</v>
      </c>
      <c r="D30" s="71" t="s">
        <v>1898</v>
      </c>
      <c r="E30" s="71" t="s">
        <v>457</v>
      </c>
      <c r="F30" s="71" t="s">
        <v>1828</v>
      </c>
      <c r="G30" s="73" t="s">
        <v>1899</v>
      </c>
      <c r="H30" s="79" t="n">
        <v>200</v>
      </c>
      <c r="I30" s="75" t="n">
        <v>0</v>
      </c>
      <c r="J30" s="76" t="n">
        <f aca="false">IF(H30="","",ROUND(H30*(1+I30),2))</f>
        <v>200</v>
      </c>
      <c r="K30" s="76" t="n">
        <f aca="false">IF(J30="","",ROUND(J30*(1+OHP),2))</f>
        <v>240</v>
      </c>
      <c r="L30" s="76" t="n">
        <f aca="false">IF(K30="","",ROUND(K30*(1+VAT),2))</f>
        <v>252</v>
      </c>
      <c r="M30" s="73" t="s">
        <v>89</v>
      </c>
      <c r="N30" s="71"/>
      <c r="O30" s="73"/>
      <c r="P30" s="77"/>
      <c r="Q30" s="71"/>
      <c r="R30" s="78"/>
    </row>
    <row r="31" customFormat="false" ht="15" hidden="false" customHeight="false" outlineLevel="0" collapsed="false">
      <c r="A31" s="70" t="s">
        <v>1900</v>
      </c>
      <c r="B31" s="71" t="s">
        <v>1896</v>
      </c>
      <c r="C31" s="72" t="s">
        <v>1901</v>
      </c>
      <c r="D31" s="71" t="s">
        <v>1898</v>
      </c>
      <c r="E31" s="71" t="s">
        <v>457</v>
      </c>
      <c r="F31" s="71" t="s">
        <v>1902</v>
      </c>
      <c r="G31" s="73" t="s">
        <v>1899</v>
      </c>
      <c r="H31" s="79" t="n">
        <v>400</v>
      </c>
      <c r="I31" s="75" t="n">
        <v>0</v>
      </c>
      <c r="J31" s="76" t="n">
        <f aca="false">IF(H31="","",ROUND(H31*(1+I31),2))</f>
        <v>400</v>
      </c>
      <c r="K31" s="76" t="n">
        <f aca="false">IF(J31="","",ROUND(J31*(1+OHP),2))</f>
        <v>480</v>
      </c>
      <c r="L31" s="76" t="n">
        <f aca="false">IF(K31="","",ROUND(K31*(1+VAT),2))</f>
        <v>504</v>
      </c>
      <c r="M31" s="73" t="s">
        <v>89</v>
      </c>
      <c r="N31" s="71"/>
      <c r="O31" s="73"/>
      <c r="P31" s="77"/>
      <c r="Q31" s="71"/>
      <c r="R31" s="78"/>
    </row>
    <row r="32" customFormat="false" ht="15" hidden="false" customHeight="false" outlineLevel="0" collapsed="false">
      <c r="A32" s="70" t="s">
        <v>1903</v>
      </c>
      <c r="B32" s="71" t="s">
        <v>1896</v>
      </c>
      <c r="C32" s="72" t="s">
        <v>1904</v>
      </c>
      <c r="D32" s="71" t="s">
        <v>1898</v>
      </c>
      <c r="E32" s="71" t="s">
        <v>457</v>
      </c>
      <c r="F32" s="71" t="s">
        <v>1905</v>
      </c>
      <c r="G32" s="73" t="s">
        <v>1899</v>
      </c>
      <c r="H32" s="79" t="n">
        <v>1500</v>
      </c>
      <c r="I32" s="75" t="n">
        <v>0</v>
      </c>
      <c r="J32" s="76" t="n">
        <f aca="false">IF(H32="","",ROUND(H32*(1+I32),2))</f>
        <v>1500</v>
      </c>
      <c r="K32" s="76" t="n">
        <f aca="false">IF(J32="","",ROUND(J32*(1+OHP),2))</f>
        <v>1800</v>
      </c>
      <c r="L32" s="76" t="n">
        <f aca="false">IF(K32="","",ROUND(K32*(1+VAT),2))</f>
        <v>1890</v>
      </c>
      <c r="M32" s="73" t="s">
        <v>89</v>
      </c>
      <c r="N32" s="71"/>
      <c r="O32" s="73"/>
      <c r="P32" s="77"/>
      <c r="Q32" s="71"/>
      <c r="R32" s="78"/>
    </row>
    <row r="33" customFormat="false" ht="15" hidden="false" customHeight="false" outlineLevel="0" collapsed="false">
      <c r="A33" s="70" t="s">
        <v>1906</v>
      </c>
      <c r="B33" s="71" t="s">
        <v>1896</v>
      </c>
      <c r="C33" s="72" t="s">
        <v>1907</v>
      </c>
      <c r="D33" s="71" t="s">
        <v>1898</v>
      </c>
      <c r="E33" s="71" t="s">
        <v>457</v>
      </c>
      <c r="F33" s="71" t="s">
        <v>1905</v>
      </c>
      <c r="G33" s="73" t="s">
        <v>1899</v>
      </c>
      <c r="H33" s="79" t="n">
        <v>800</v>
      </c>
      <c r="I33" s="75" t="n">
        <v>0</v>
      </c>
      <c r="J33" s="76" t="n">
        <f aca="false">IF(H33="","",ROUND(H33*(1+I33),2))</f>
        <v>800</v>
      </c>
      <c r="K33" s="76" t="n">
        <f aca="false">IF(J33="","",ROUND(J33*(1+OHP),2))</f>
        <v>960</v>
      </c>
      <c r="L33" s="76" t="n">
        <f aca="false">IF(K33="","",ROUND(K33*(1+VAT),2))</f>
        <v>1008</v>
      </c>
      <c r="M33" s="73" t="s">
        <v>89</v>
      </c>
      <c r="N33" s="71"/>
      <c r="O33" s="73"/>
      <c r="P33" s="77"/>
      <c r="Q33" s="71"/>
      <c r="R33" s="78" t="s">
        <v>671</v>
      </c>
    </row>
    <row r="34" customFormat="false" ht="15" hidden="false" customHeight="false" outlineLevel="0" collapsed="false">
      <c r="A34" s="70" t="s">
        <v>1908</v>
      </c>
      <c r="B34" s="71" t="s">
        <v>1909</v>
      </c>
      <c r="C34" s="72" t="s">
        <v>1910</v>
      </c>
      <c r="D34" s="71" t="s">
        <v>1911</v>
      </c>
      <c r="E34" s="71" t="s">
        <v>457</v>
      </c>
      <c r="F34" s="71" t="s">
        <v>1912</v>
      </c>
      <c r="G34" s="73" t="s">
        <v>622</v>
      </c>
      <c r="H34" s="79" t="n">
        <v>1500</v>
      </c>
      <c r="I34" s="75" t="n">
        <v>0</v>
      </c>
      <c r="J34" s="76" t="n">
        <f aca="false">IF(H34="","",ROUND(H34*(1+I34),2))</f>
        <v>1500</v>
      </c>
      <c r="K34" s="76" t="n">
        <f aca="false">IF(J34="","",ROUND(J34*(1+OHP),2))</f>
        <v>1800</v>
      </c>
      <c r="L34" s="76" t="n">
        <f aca="false">IF(K34="","",ROUND(K34*(1+VAT),2))</f>
        <v>1890</v>
      </c>
      <c r="M34" s="73" t="s">
        <v>89</v>
      </c>
      <c r="N34" s="71"/>
      <c r="O34" s="73"/>
      <c r="P34" s="77"/>
      <c r="Q34" s="71"/>
      <c r="R34" s="78"/>
    </row>
    <row r="35" customFormat="false" ht="15" hidden="false" customHeight="false" outlineLevel="0" collapsed="false">
      <c r="A35" s="70" t="s">
        <v>1913</v>
      </c>
      <c r="B35" s="71" t="s">
        <v>1909</v>
      </c>
      <c r="C35" s="72" t="s">
        <v>1914</v>
      </c>
      <c r="D35" s="71" t="s">
        <v>1915</v>
      </c>
      <c r="E35" s="71" t="s">
        <v>457</v>
      </c>
      <c r="F35" s="71" t="s">
        <v>1912</v>
      </c>
      <c r="G35" s="73" t="s">
        <v>622</v>
      </c>
      <c r="H35" s="79" t="n">
        <v>250</v>
      </c>
      <c r="I35" s="75" t="n">
        <v>0</v>
      </c>
      <c r="J35" s="76" t="n">
        <f aca="false">IF(H35="","",ROUND(H35*(1+I35),2))</f>
        <v>250</v>
      </c>
      <c r="K35" s="76" t="n">
        <f aca="false">IF(J35="","",ROUND(J35*(1+OHP),2))</f>
        <v>300</v>
      </c>
      <c r="L35" s="76" t="n">
        <f aca="false">IF(K35="","",ROUND(K35*(1+VAT),2))</f>
        <v>315</v>
      </c>
      <c r="M35" s="73" t="s">
        <v>89</v>
      </c>
      <c r="N35" s="71"/>
      <c r="O35" s="73"/>
      <c r="P35" s="77"/>
      <c r="Q35" s="71"/>
      <c r="R35" s="78" t="s">
        <v>1916</v>
      </c>
    </row>
    <row r="36" customFormat="false" ht="15" hidden="false" customHeight="false" outlineLevel="0" collapsed="false">
      <c r="A36" s="70" t="s">
        <v>1917</v>
      </c>
      <c r="B36" s="71" t="s">
        <v>1909</v>
      </c>
      <c r="C36" s="72" t="s">
        <v>1918</v>
      </c>
      <c r="D36" s="71" t="s">
        <v>1919</v>
      </c>
      <c r="E36" s="71" t="s">
        <v>457</v>
      </c>
      <c r="F36" s="71" t="s">
        <v>1920</v>
      </c>
      <c r="G36" s="73" t="s">
        <v>1260</v>
      </c>
      <c r="H36" s="79" t="n">
        <v>6000</v>
      </c>
      <c r="I36" s="75" t="n">
        <v>0</v>
      </c>
      <c r="J36" s="76" t="n">
        <f aca="false">IF(H36="","",ROUND(H36*(1+I36),2))</f>
        <v>6000</v>
      </c>
      <c r="K36" s="76" t="n">
        <f aca="false">IF(J36="","",ROUND(J36*(1+OHP),2))</f>
        <v>7200</v>
      </c>
      <c r="L36" s="76" t="n">
        <f aca="false">IF(K36="","",ROUND(K36*(1+VAT),2))</f>
        <v>7560</v>
      </c>
      <c r="M36" s="73" t="s">
        <v>89</v>
      </c>
      <c r="N36" s="71"/>
      <c r="O36" s="73"/>
      <c r="P36" s="77"/>
      <c r="Q36" s="71"/>
      <c r="R36" s="78"/>
    </row>
    <row r="37" customFormat="false" ht="15" hidden="false" customHeight="false" outlineLevel="0" collapsed="false">
      <c r="A37" s="70" t="s">
        <v>1921</v>
      </c>
      <c r="B37" s="71" t="s">
        <v>1909</v>
      </c>
      <c r="C37" s="72" t="s">
        <v>1922</v>
      </c>
      <c r="D37" s="71" t="s">
        <v>1919</v>
      </c>
      <c r="E37" s="71" t="s">
        <v>457</v>
      </c>
      <c r="F37" s="71" t="s">
        <v>1923</v>
      </c>
      <c r="G37" s="73" t="s">
        <v>1260</v>
      </c>
      <c r="H37" s="79" t="n">
        <v>3500</v>
      </c>
      <c r="I37" s="75" t="n">
        <v>0</v>
      </c>
      <c r="J37" s="76" t="n">
        <f aca="false">IF(H37="","",ROUND(H37*(1+I37),2))</f>
        <v>3500</v>
      </c>
      <c r="K37" s="76" t="n">
        <f aca="false">IF(J37="","",ROUND(J37*(1+OHP),2))</f>
        <v>4200</v>
      </c>
      <c r="L37" s="76" t="n">
        <f aca="false">IF(K37="","",ROUND(K37*(1+VAT),2))</f>
        <v>4410</v>
      </c>
      <c r="M37" s="73" t="s">
        <v>89</v>
      </c>
      <c r="N37" s="71"/>
      <c r="O37" s="73"/>
      <c r="P37" s="77"/>
      <c r="Q37" s="71"/>
      <c r="R37" s="78"/>
    </row>
    <row r="38" customFormat="false" ht="15" hidden="false" customHeight="false" outlineLevel="0" collapsed="false">
      <c r="A38" s="70" t="s">
        <v>1924</v>
      </c>
      <c r="B38" s="71" t="s">
        <v>1909</v>
      </c>
      <c r="C38" s="72" t="s">
        <v>1925</v>
      </c>
      <c r="D38" s="71" t="s">
        <v>1926</v>
      </c>
      <c r="E38" s="71" t="s">
        <v>457</v>
      </c>
      <c r="F38" s="71" t="s">
        <v>1927</v>
      </c>
      <c r="G38" s="73" t="s">
        <v>1928</v>
      </c>
      <c r="H38" s="79" t="n">
        <v>150</v>
      </c>
      <c r="I38" s="75" t="n">
        <v>0</v>
      </c>
      <c r="J38" s="76" t="n">
        <f aca="false">IF(H38="","",ROUND(H38*(1+I38),2))</f>
        <v>150</v>
      </c>
      <c r="K38" s="76" t="n">
        <f aca="false">IF(J38="","",ROUND(J38*(1+OHP),2))</f>
        <v>180</v>
      </c>
      <c r="L38" s="76" t="n">
        <f aca="false">IF(K38="","",ROUND(K38*(1+VAT),2))</f>
        <v>189</v>
      </c>
      <c r="M38" s="73" t="s">
        <v>89</v>
      </c>
      <c r="N38" s="71"/>
      <c r="O38" s="73"/>
      <c r="P38" s="77"/>
      <c r="Q38" s="71"/>
      <c r="R38" s="78"/>
    </row>
    <row r="39" customFormat="false" ht="15" hidden="false" customHeight="false" outlineLevel="0" collapsed="false">
      <c r="A39" s="70" t="s">
        <v>1929</v>
      </c>
      <c r="B39" s="71" t="s">
        <v>1909</v>
      </c>
      <c r="C39" s="72" t="s">
        <v>1930</v>
      </c>
      <c r="D39" s="71" t="s">
        <v>1919</v>
      </c>
      <c r="E39" s="71" t="s">
        <v>457</v>
      </c>
      <c r="F39" s="71" t="s">
        <v>1828</v>
      </c>
      <c r="G39" s="73" t="s">
        <v>1260</v>
      </c>
      <c r="H39" s="79" t="n">
        <v>2500</v>
      </c>
      <c r="I39" s="75" t="n">
        <v>0</v>
      </c>
      <c r="J39" s="76" t="n">
        <f aca="false">IF(H39="","",ROUND(H39*(1+I39),2))</f>
        <v>2500</v>
      </c>
      <c r="K39" s="76" t="n">
        <f aca="false">IF(J39="","",ROUND(J39*(1+OHP),2))</f>
        <v>3000</v>
      </c>
      <c r="L39" s="76" t="n">
        <f aca="false">IF(K39="","",ROUND(K39*(1+VAT),2))</f>
        <v>3150</v>
      </c>
      <c r="M39" s="73" t="s">
        <v>89</v>
      </c>
      <c r="N39" s="71"/>
      <c r="O39" s="73"/>
      <c r="P39" s="77"/>
      <c r="Q39" s="71"/>
      <c r="R39" s="78"/>
    </row>
    <row r="40" customFormat="false" ht="15" hidden="false" customHeight="false" outlineLevel="0" collapsed="false">
      <c r="A40" s="70" t="s">
        <v>1931</v>
      </c>
      <c r="B40" s="71" t="s">
        <v>1932</v>
      </c>
      <c r="C40" s="72" t="s">
        <v>1933</v>
      </c>
      <c r="D40" s="71" t="s">
        <v>1878</v>
      </c>
      <c r="E40" s="71" t="s">
        <v>457</v>
      </c>
      <c r="F40" s="71" t="s">
        <v>1862</v>
      </c>
      <c r="G40" s="73" t="s">
        <v>1871</v>
      </c>
      <c r="H40" s="79" t="n">
        <v>800</v>
      </c>
      <c r="I40" s="75" t="n">
        <v>0</v>
      </c>
      <c r="J40" s="76" t="n">
        <f aca="false">IF(H40="","",ROUND(H40*(1+I40),2))</f>
        <v>800</v>
      </c>
      <c r="K40" s="76" t="n">
        <f aca="false">IF(J40="","",ROUND(J40*(1+OHP),2))</f>
        <v>960</v>
      </c>
      <c r="L40" s="76" t="n">
        <f aca="false">IF(K40="","",ROUND(K40*(1+VAT),2))</f>
        <v>1008</v>
      </c>
      <c r="M40" s="73" t="s">
        <v>89</v>
      </c>
      <c r="N40" s="71"/>
      <c r="O40" s="73"/>
      <c r="P40" s="77"/>
      <c r="Q40" s="71"/>
      <c r="R40" s="78"/>
    </row>
    <row r="41" customFormat="false" ht="15" hidden="false" customHeight="false" outlineLevel="0" collapsed="false">
      <c r="A41" s="70" t="s">
        <v>1934</v>
      </c>
      <c r="B41" s="71" t="s">
        <v>1932</v>
      </c>
      <c r="C41" s="72" t="s">
        <v>1935</v>
      </c>
      <c r="D41" s="71" t="s">
        <v>723</v>
      </c>
      <c r="E41" s="71" t="s">
        <v>457</v>
      </c>
      <c r="F41" s="71" t="s">
        <v>1828</v>
      </c>
      <c r="G41" s="73" t="s">
        <v>378</v>
      </c>
      <c r="H41" s="79" t="n">
        <v>5</v>
      </c>
      <c r="I41" s="75" t="n">
        <v>0</v>
      </c>
      <c r="J41" s="76" t="n">
        <f aca="false">IF(H41="","",ROUND(H41*(1+I41),2))</f>
        <v>5</v>
      </c>
      <c r="K41" s="76" t="n">
        <f aca="false">IF(J41="","",ROUND(J41*(1+OHP),2))</f>
        <v>6</v>
      </c>
      <c r="L41" s="76" t="n">
        <f aca="false">IF(K41="","",ROUND(K41*(1+VAT),2))</f>
        <v>6.3</v>
      </c>
      <c r="M41" s="73" t="s">
        <v>89</v>
      </c>
      <c r="N41" s="71"/>
      <c r="O41" s="73"/>
      <c r="P41" s="77"/>
      <c r="Q41" s="71"/>
      <c r="R41" s="78"/>
    </row>
    <row r="42" customFormat="false" ht="15" hidden="false" customHeight="false" outlineLevel="0" collapsed="false">
      <c r="A42" s="70" t="s">
        <v>1936</v>
      </c>
      <c r="B42" s="71" t="s">
        <v>1932</v>
      </c>
      <c r="C42" s="72" t="s">
        <v>1937</v>
      </c>
      <c r="D42" s="71" t="s">
        <v>1919</v>
      </c>
      <c r="E42" s="71" t="s">
        <v>457</v>
      </c>
      <c r="F42" s="71" t="s">
        <v>1828</v>
      </c>
      <c r="G42" s="73" t="s">
        <v>1260</v>
      </c>
      <c r="H42" s="79" t="n">
        <v>1500</v>
      </c>
      <c r="I42" s="75" t="n">
        <v>0</v>
      </c>
      <c r="J42" s="76" t="n">
        <f aca="false">IF(H42="","",ROUND(H42*(1+I42),2))</f>
        <v>1500</v>
      </c>
      <c r="K42" s="76" t="n">
        <f aca="false">IF(J42="","",ROUND(J42*(1+OHP),2))</f>
        <v>1800</v>
      </c>
      <c r="L42" s="76" t="n">
        <f aca="false">IF(K42="","",ROUND(K42*(1+VAT),2))</f>
        <v>1890</v>
      </c>
      <c r="M42" s="73" t="s">
        <v>89</v>
      </c>
      <c r="N42" s="71"/>
      <c r="O42" s="73"/>
      <c r="P42" s="77"/>
      <c r="Q42" s="71"/>
      <c r="R42" s="78"/>
    </row>
    <row r="43" customFormat="false" ht="15" hidden="false" customHeight="false" outlineLevel="0" collapsed="false">
      <c r="A43" s="70" t="s">
        <v>1938</v>
      </c>
      <c r="B43" s="71" t="s">
        <v>1932</v>
      </c>
      <c r="C43" s="72" t="s">
        <v>1939</v>
      </c>
      <c r="D43" s="71" t="s">
        <v>1940</v>
      </c>
      <c r="E43" s="71" t="s">
        <v>457</v>
      </c>
      <c r="F43" s="71" t="s">
        <v>1941</v>
      </c>
      <c r="G43" s="73" t="s">
        <v>130</v>
      </c>
      <c r="H43" s="79" t="n">
        <v>0.5</v>
      </c>
      <c r="I43" s="75" t="n">
        <v>0</v>
      </c>
      <c r="J43" s="76" t="n">
        <f aca="false">IF(H43="","",ROUND(H43*(1+I43),2))</f>
        <v>0.5</v>
      </c>
      <c r="K43" s="76" t="n">
        <f aca="false">IF(J43="","",ROUND(J43*(1+OHP),2))</f>
        <v>0.6</v>
      </c>
      <c r="L43" s="76" t="n">
        <f aca="false">IF(K43="","",ROUND(K43*(1+VAT),2))</f>
        <v>0.63</v>
      </c>
      <c r="M43" s="73" t="s">
        <v>89</v>
      </c>
      <c r="N43" s="71"/>
      <c r="O43" s="73"/>
      <c r="P43" s="77"/>
      <c r="Q43" s="71"/>
      <c r="R43" s="78"/>
    </row>
    <row r="44" customFormat="false" ht="23.85" hidden="false" customHeight="false" outlineLevel="0" collapsed="false">
      <c r="A44" s="70" t="s">
        <v>1942</v>
      </c>
      <c r="B44" s="71" t="s">
        <v>1932</v>
      </c>
      <c r="C44" s="72" t="s">
        <v>1943</v>
      </c>
      <c r="D44" s="71" t="s">
        <v>1944</v>
      </c>
      <c r="E44" s="71" t="s">
        <v>457</v>
      </c>
      <c r="F44" s="71" t="s">
        <v>1945</v>
      </c>
      <c r="G44" s="73" t="s">
        <v>130</v>
      </c>
      <c r="H44" s="79" t="n">
        <v>1.5</v>
      </c>
      <c r="I44" s="75" t="n">
        <v>0</v>
      </c>
      <c r="J44" s="76" t="n">
        <f aca="false">IF(H44="","",ROUND(H44*(1+I44),2))</f>
        <v>1.5</v>
      </c>
      <c r="K44" s="76" t="n">
        <f aca="false">IF(J44="","",ROUND(J44*(1+OHP),2))</f>
        <v>1.8</v>
      </c>
      <c r="L44" s="76" t="n">
        <f aca="false">IF(K44="","",ROUND(K44*(1+VAT),2))</f>
        <v>1.89</v>
      </c>
      <c r="M44" s="73" t="s">
        <v>89</v>
      </c>
      <c r="N44" s="71"/>
      <c r="O44" s="73"/>
      <c r="P44" s="77"/>
      <c r="Q44" s="71"/>
      <c r="R44" s="78"/>
    </row>
    <row r="45" customFormat="false" ht="15" hidden="false" customHeight="false" outlineLevel="0" collapsed="false">
      <c r="A45" s="80" t="str">
        <f aca="false">IF(C45="","","LB-"&amp;TEXT(ROW()-4,"000"))</f>
        <v/>
      </c>
      <c r="B45" s="81"/>
      <c r="C45" s="81"/>
      <c r="D45" s="81"/>
      <c r="E45" s="81"/>
      <c r="F45" s="81"/>
      <c r="G45" s="82"/>
      <c r="H45" s="83"/>
      <c r="I45" s="84"/>
      <c r="J45" s="85" t="str">
        <f aca="false">IF(H45="","",ROUND(H45*(1+I45),2))</f>
        <v/>
      </c>
      <c r="K45" s="85" t="str">
        <f aca="false">IF(J45="","",ROUND(J45*(1+OHP),2))</f>
        <v/>
      </c>
      <c r="L45" s="85" t="str">
        <f aca="false">IF(K45="","",ROUND(K45*(1+VAT),2))</f>
        <v/>
      </c>
      <c r="M45" s="82"/>
      <c r="N45" s="81"/>
      <c r="O45" s="82"/>
      <c r="P45" s="86"/>
      <c r="Q45" s="81"/>
      <c r="R45" s="87"/>
    </row>
    <row r="46" customFormat="false" ht="15" hidden="false" customHeight="false" outlineLevel="0" collapsed="false">
      <c r="A46" s="80" t="str">
        <f aca="false">IF(C46="","","LB-"&amp;TEXT(ROW()-4,"000"))</f>
        <v/>
      </c>
      <c r="B46" s="81"/>
      <c r="C46" s="81"/>
      <c r="D46" s="81"/>
      <c r="E46" s="81"/>
      <c r="F46" s="81"/>
      <c r="G46" s="82"/>
      <c r="H46" s="83"/>
      <c r="I46" s="84"/>
      <c r="J46" s="85" t="str">
        <f aca="false">IF(H46="","",ROUND(H46*(1+I46),2))</f>
        <v/>
      </c>
      <c r="K46" s="85" t="str">
        <f aca="false">IF(J46="","",ROUND(J46*(1+OHP),2))</f>
        <v/>
      </c>
      <c r="L46" s="85" t="str">
        <f aca="false">IF(K46="","",ROUND(K46*(1+VAT),2))</f>
        <v/>
      </c>
      <c r="M46" s="82"/>
      <c r="N46" s="81"/>
      <c r="O46" s="82"/>
      <c r="P46" s="86"/>
      <c r="Q46" s="81"/>
      <c r="R46" s="87"/>
    </row>
    <row r="47" customFormat="false" ht="15" hidden="false" customHeight="false" outlineLevel="0" collapsed="false">
      <c r="A47" s="80" t="str">
        <f aca="false">IF(C47="","","LB-"&amp;TEXT(ROW()-4,"000"))</f>
        <v/>
      </c>
      <c r="B47" s="81"/>
      <c r="C47" s="81"/>
      <c r="D47" s="81"/>
      <c r="E47" s="81"/>
      <c r="F47" s="81"/>
      <c r="G47" s="82"/>
      <c r="H47" s="83"/>
      <c r="I47" s="84"/>
      <c r="J47" s="85" t="str">
        <f aca="false">IF(H47="","",ROUND(H47*(1+I47),2))</f>
        <v/>
      </c>
      <c r="K47" s="85" t="str">
        <f aca="false">IF(J47="","",ROUND(J47*(1+OHP),2))</f>
        <v/>
      </c>
      <c r="L47" s="85" t="str">
        <f aca="false">IF(K47="","",ROUND(K47*(1+VAT),2))</f>
        <v/>
      </c>
      <c r="M47" s="82"/>
      <c r="N47" s="81"/>
      <c r="O47" s="82"/>
      <c r="P47" s="86"/>
      <c r="Q47" s="81"/>
      <c r="R47" s="87"/>
    </row>
    <row r="48" customFormat="false" ht="15" hidden="false" customHeight="false" outlineLevel="0" collapsed="false">
      <c r="A48" s="80" t="str">
        <f aca="false">IF(C48="","","LB-"&amp;TEXT(ROW()-4,"000"))</f>
        <v/>
      </c>
      <c r="B48" s="81"/>
      <c r="C48" s="81"/>
      <c r="D48" s="81"/>
      <c r="E48" s="81"/>
      <c r="F48" s="81"/>
      <c r="G48" s="82"/>
      <c r="H48" s="83"/>
      <c r="I48" s="84"/>
      <c r="J48" s="85" t="str">
        <f aca="false">IF(H48="","",ROUND(H48*(1+I48),2))</f>
        <v/>
      </c>
      <c r="K48" s="85" t="str">
        <f aca="false">IF(J48="","",ROUND(J48*(1+OHP),2))</f>
        <v/>
      </c>
      <c r="L48" s="85" t="str">
        <f aca="false">IF(K48="","",ROUND(K48*(1+VAT),2))</f>
        <v/>
      </c>
      <c r="M48" s="82"/>
      <c r="N48" s="81"/>
      <c r="O48" s="82"/>
      <c r="P48" s="86"/>
      <c r="Q48" s="81"/>
      <c r="R48" s="87"/>
    </row>
    <row r="49" customFormat="false" ht="15" hidden="false" customHeight="false" outlineLevel="0" collapsed="false">
      <c r="A49" s="80" t="str">
        <f aca="false">IF(C49="","","LB-"&amp;TEXT(ROW()-4,"000"))</f>
        <v/>
      </c>
      <c r="B49" s="81"/>
      <c r="C49" s="81"/>
      <c r="D49" s="81"/>
      <c r="E49" s="81"/>
      <c r="F49" s="81"/>
      <c r="G49" s="82"/>
      <c r="H49" s="83"/>
      <c r="I49" s="84"/>
      <c r="J49" s="85" t="str">
        <f aca="false">IF(H49="","",ROUND(H49*(1+I49),2))</f>
        <v/>
      </c>
      <c r="K49" s="85" t="str">
        <f aca="false">IF(J49="","",ROUND(J49*(1+OHP),2))</f>
        <v/>
      </c>
      <c r="L49" s="85" t="str">
        <f aca="false">IF(K49="","",ROUND(K49*(1+VAT),2))</f>
        <v/>
      </c>
      <c r="M49" s="82"/>
      <c r="N49" s="81"/>
      <c r="O49" s="82"/>
      <c r="P49" s="86"/>
      <c r="Q49" s="81"/>
      <c r="R49" s="87"/>
    </row>
    <row r="50" customFormat="false" ht="15" hidden="false" customHeight="false" outlineLevel="0" collapsed="false">
      <c r="A50" s="80" t="str">
        <f aca="false">IF(C50="","","LB-"&amp;TEXT(ROW()-4,"000"))</f>
        <v/>
      </c>
      <c r="B50" s="81"/>
      <c r="C50" s="81"/>
      <c r="D50" s="81"/>
      <c r="E50" s="81"/>
      <c r="F50" s="81"/>
      <c r="G50" s="82"/>
      <c r="H50" s="83"/>
      <c r="I50" s="84"/>
      <c r="J50" s="85" t="str">
        <f aca="false">IF(H50="","",ROUND(H50*(1+I50),2))</f>
        <v/>
      </c>
      <c r="K50" s="85" t="str">
        <f aca="false">IF(J50="","",ROUND(J50*(1+OHP),2))</f>
        <v/>
      </c>
      <c r="L50" s="85" t="str">
        <f aca="false">IF(K50="","",ROUND(K50*(1+VAT),2))</f>
        <v/>
      </c>
      <c r="M50" s="82"/>
      <c r="N50" s="81"/>
      <c r="O50" s="82"/>
      <c r="P50" s="86"/>
      <c r="Q50" s="81"/>
      <c r="R50" s="87"/>
    </row>
    <row r="51" customFormat="false" ht="15" hidden="false" customHeight="false" outlineLevel="0" collapsed="false">
      <c r="A51" s="80" t="str">
        <f aca="false">IF(C51="","","LB-"&amp;TEXT(ROW()-4,"000"))</f>
        <v/>
      </c>
      <c r="B51" s="81"/>
      <c r="C51" s="81"/>
      <c r="D51" s="81"/>
      <c r="E51" s="81"/>
      <c r="F51" s="81"/>
      <c r="G51" s="82"/>
      <c r="H51" s="83"/>
      <c r="I51" s="84"/>
      <c r="J51" s="85" t="str">
        <f aca="false">IF(H51="","",ROUND(H51*(1+I51),2))</f>
        <v/>
      </c>
      <c r="K51" s="85" t="str">
        <f aca="false">IF(J51="","",ROUND(J51*(1+OHP),2))</f>
        <v/>
      </c>
      <c r="L51" s="85" t="str">
        <f aca="false">IF(K51="","",ROUND(K51*(1+VAT),2))</f>
        <v/>
      </c>
      <c r="M51" s="82"/>
      <c r="N51" s="81"/>
      <c r="O51" s="82"/>
      <c r="P51" s="86"/>
      <c r="Q51" s="81"/>
      <c r="R51" s="87"/>
    </row>
    <row r="52" customFormat="false" ht="15" hidden="false" customHeight="false" outlineLevel="0" collapsed="false">
      <c r="A52" s="80" t="str">
        <f aca="false">IF(C52="","","LB-"&amp;TEXT(ROW()-4,"000"))</f>
        <v/>
      </c>
      <c r="B52" s="81"/>
      <c r="C52" s="81"/>
      <c r="D52" s="81"/>
      <c r="E52" s="81"/>
      <c r="F52" s="81"/>
      <c r="G52" s="82"/>
      <c r="H52" s="83"/>
      <c r="I52" s="84"/>
      <c r="J52" s="85" t="str">
        <f aca="false">IF(H52="","",ROUND(H52*(1+I52),2))</f>
        <v/>
      </c>
      <c r="K52" s="85" t="str">
        <f aca="false">IF(J52="","",ROUND(J52*(1+OHP),2))</f>
        <v/>
      </c>
      <c r="L52" s="85" t="str">
        <f aca="false">IF(K52="","",ROUND(K52*(1+VAT),2))</f>
        <v/>
      </c>
      <c r="M52" s="82"/>
      <c r="N52" s="81"/>
      <c r="O52" s="82"/>
      <c r="P52" s="86"/>
      <c r="Q52" s="81"/>
      <c r="R52" s="87"/>
    </row>
    <row r="53" customFormat="false" ht="15" hidden="false" customHeight="false" outlineLevel="0" collapsed="false">
      <c r="A53" s="80" t="str">
        <f aca="false">IF(C53="","","LB-"&amp;TEXT(ROW()-4,"000"))</f>
        <v/>
      </c>
      <c r="B53" s="81"/>
      <c r="C53" s="81"/>
      <c r="D53" s="81"/>
      <c r="E53" s="81"/>
      <c r="F53" s="81"/>
      <c r="G53" s="82"/>
      <c r="H53" s="83"/>
      <c r="I53" s="84"/>
      <c r="J53" s="85" t="str">
        <f aca="false">IF(H53="","",ROUND(H53*(1+I53),2))</f>
        <v/>
      </c>
      <c r="K53" s="85" t="str">
        <f aca="false">IF(J53="","",ROUND(J53*(1+OHP),2))</f>
        <v/>
      </c>
      <c r="L53" s="85" t="str">
        <f aca="false">IF(K53="","",ROUND(K53*(1+VAT),2))</f>
        <v/>
      </c>
      <c r="M53" s="82"/>
      <c r="N53" s="81"/>
      <c r="O53" s="82"/>
      <c r="P53" s="86"/>
      <c r="Q53" s="81"/>
      <c r="R53" s="87"/>
    </row>
    <row r="54" customFormat="false" ht="15" hidden="false" customHeight="false" outlineLevel="0" collapsed="false">
      <c r="A54" s="80" t="str">
        <f aca="false">IF(C54="","","LB-"&amp;TEXT(ROW()-4,"000"))</f>
        <v/>
      </c>
      <c r="B54" s="81"/>
      <c r="C54" s="81"/>
      <c r="D54" s="81"/>
      <c r="E54" s="81"/>
      <c r="F54" s="81"/>
      <c r="G54" s="82"/>
      <c r="H54" s="83"/>
      <c r="I54" s="84"/>
      <c r="J54" s="85" t="str">
        <f aca="false">IF(H54="","",ROUND(H54*(1+I54),2))</f>
        <v/>
      </c>
      <c r="K54" s="85" t="str">
        <f aca="false">IF(J54="","",ROUND(J54*(1+OHP),2))</f>
        <v/>
      </c>
      <c r="L54" s="85" t="str">
        <f aca="false">IF(K54="","",ROUND(K54*(1+VAT),2))</f>
        <v/>
      </c>
      <c r="M54" s="82"/>
      <c r="N54" s="81"/>
      <c r="O54" s="82"/>
      <c r="P54" s="86"/>
      <c r="Q54" s="81"/>
      <c r="R54" s="87"/>
    </row>
    <row r="55" customFormat="false" ht="15" hidden="false" customHeight="false" outlineLevel="0" collapsed="false">
      <c r="A55" s="80" t="str">
        <f aca="false">IF(C55="","","LB-"&amp;TEXT(ROW()-4,"000"))</f>
        <v/>
      </c>
      <c r="B55" s="81"/>
      <c r="C55" s="81"/>
      <c r="D55" s="81"/>
      <c r="E55" s="81"/>
      <c r="F55" s="81"/>
      <c r="G55" s="82"/>
      <c r="H55" s="83"/>
      <c r="I55" s="84"/>
      <c r="J55" s="85" t="str">
        <f aca="false">IF(H55="","",ROUND(H55*(1+I55),2))</f>
        <v/>
      </c>
      <c r="K55" s="85" t="str">
        <f aca="false">IF(J55="","",ROUND(J55*(1+OHP),2))</f>
        <v/>
      </c>
      <c r="L55" s="85" t="str">
        <f aca="false">IF(K55="","",ROUND(K55*(1+VAT),2))</f>
        <v/>
      </c>
      <c r="M55" s="82"/>
      <c r="N55" s="81"/>
      <c r="O55" s="82"/>
      <c r="P55" s="86"/>
      <c r="Q55" s="81"/>
      <c r="R55" s="87"/>
    </row>
    <row r="56" customFormat="false" ht="15" hidden="false" customHeight="false" outlineLevel="0" collapsed="false">
      <c r="A56" s="80" t="str">
        <f aca="false">IF(C56="","","LB-"&amp;TEXT(ROW()-4,"000"))</f>
        <v/>
      </c>
      <c r="B56" s="81"/>
      <c r="C56" s="81"/>
      <c r="D56" s="81"/>
      <c r="E56" s="81"/>
      <c r="F56" s="81"/>
      <c r="G56" s="82"/>
      <c r="H56" s="83"/>
      <c r="I56" s="84"/>
      <c r="J56" s="85" t="str">
        <f aca="false">IF(H56="","",ROUND(H56*(1+I56),2))</f>
        <v/>
      </c>
      <c r="K56" s="85" t="str">
        <f aca="false">IF(J56="","",ROUND(J56*(1+OHP),2))</f>
        <v/>
      </c>
      <c r="L56" s="85" t="str">
        <f aca="false">IF(K56="","",ROUND(K56*(1+VAT),2))</f>
        <v/>
      </c>
      <c r="M56" s="82"/>
      <c r="N56" s="81"/>
      <c r="O56" s="82"/>
      <c r="P56" s="86"/>
      <c r="Q56" s="81"/>
      <c r="R56" s="87"/>
    </row>
    <row r="57" customFormat="false" ht="15" hidden="false" customHeight="false" outlineLevel="0" collapsed="false">
      <c r="A57" s="80" t="str">
        <f aca="false">IF(C57="","","LB-"&amp;TEXT(ROW()-4,"000"))</f>
        <v/>
      </c>
      <c r="B57" s="81"/>
      <c r="C57" s="81"/>
      <c r="D57" s="81"/>
      <c r="E57" s="81"/>
      <c r="F57" s="81"/>
      <c r="G57" s="82"/>
      <c r="H57" s="83"/>
      <c r="I57" s="84"/>
      <c r="J57" s="85" t="str">
        <f aca="false">IF(H57="","",ROUND(H57*(1+I57),2))</f>
        <v/>
      </c>
      <c r="K57" s="85" t="str">
        <f aca="false">IF(J57="","",ROUND(J57*(1+OHP),2))</f>
        <v/>
      </c>
      <c r="L57" s="85" t="str">
        <f aca="false">IF(K57="","",ROUND(K57*(1+VAT),2))</f>
        <v/>
      </c>
      <c r="M57" s="82"/>
      <c r="N57" s="81"/>
      <c r="O57" s="82"/>
      <c r="P57" s="86"/>
      <c r="Q57" s="81"/>
      <c r="R57" s="87"/>
    </row>
    <row r="58" customFormat="false" ht="15" hidden="false" customHeight="false" outlineLevel="0" collapsed="false">
      <c r="A58" s="80" t="str">
        <f aca="false">IF(C58="","","LB-"&amp;TEXT(ROW()-4,"000"))</f>
        <v/>
      </c>
      <c r="B58" s="81"/>
      <c r="C58" s="81"/>
      <c r="D58" s="81"/>
      <c r="E58" s="81"/>
      <c r="F58" s="81"/>
      <c r="G58" s="82"/>
      <c r="H58" s="83"/>
      <c r="I58" s="84"/>
      <c r="J58" s="85" t="str">
        <f aca="false">IF(H58="","",ROUND(H58*(1+I58),2))</f>
        <v/>
      </c>
      <c r="K58" s="85" t="str">
        <f aca="false">IF(J58="","",ROUND(J58*(1+OHP),2))</f>
        <v/>
      </c>
      <c r="L58" s="85" t="str">
        <f aca="false">IF(K58="","",ROUND(K58*(1+VAT),2))</f>
        <v/>
      </c>
      <c r="M58" s="82"/>
      <c r="N58" s="81"/>
      <c r="O58" s="82"/>
      <c r="P58" s="86"/>
      <c r="Q58" s="81"/>
      <c r="R58" s="87"/>
    </row>
    <row r="59" customFormat="false" ht="15" hidden="false" customHeight="false" outlineLevel="0" collapsed="false">
      <c r="A59" s="80" t="str">
        <f aca="false">IF(C59="","","LB-"&amp;TEXT(ROW()-4,"000"))</f>
        <v/>
      </c>
      <c r="B59" s="81"/>
      <c r="C59" s="81"/>
      <c r="D59" s="81"/>
      <c r="E59" s="81"/>
      <c r="F59" s="81"/>
      <c r="G59" s="82"/>
      <c r="H59" s="83"/>
      <c r="I59" s="84"/>
      <c r="J59" s="85" t="str">
        <f aca="false">IF(H59="","",ROUND(H59*(1+I59),2))</f>
        <v/>
      </c>
      <c r="K59" s="85" t="str">
        <f aca="false">IF(J59="","",ROUND(J59*(1+OHP),2))</f>
        <v/>
      </c>
      <c r="L59" s="85" t="str">
        <f aca="false">IF(K59="","",ROUND(K59*(1+VAT),2))</f>
        <v/>
      </c>
      <c r="M59" s="82"/>
      <c r="N59" s="81"/>
      <c r="O59" s="82"/>
      <c r="P59" s="86"/>
      <c r="Q59" s="81"/>
      <c r="R59" s="87"/>
    </row>
  </sheetData>
  <autoFilter ref="A4:R59"/>
  <mergeCells count="2">
    <mergeCell ref="A1:R1"/>
    <mergeCell ref="A2:R2"/>
  </mergeCells>
  <conditionalFormatting sqref="A5:R59">
    <cfRule type="expression" priority="2" aboveAverage="0" equalAverage="0" bottom="0" percent="0" rank="0" text="" dxfId="1">
      <formula>AND($C5&lt;&gt;"",MOD(ROW(),2)=0,$M5&lt;&gt;"Obsolete")</formula>
    </cfRule>
    <cfRule type="expression" priority="3" aboveAverage="0" equalAverage="0" bottom="0" percent="0" rank="0" text="" dxfId="12">
      <formula>$M5="Obsolete"</formula>
    </cfRule>
  </conditionalFormatting>
  <conditionalFormatting sqref="M5:M59">
    <cfRule type="expression" priority="4" aboveAverage="0" equalAverage="0" bottom="0" percent="0" rank="0" text="" dxfId="13">
      <formula>$M5="Indicative"</formula>
    </cfRule>
    <cfRule type="expression" priority="5" aboveAverage="0" equalAverage="0" bottom="0" percent="0" rank="0" text="" dxfId="14">
      <formula>$M5="Quoted"</formula>
    </cfRule>
    <cfRule type="expression" priority="6" aboveAverage="0" equalAverage="0" bottom="0" percent="0" rank="0" text="" dxfId="15">
      <formula>$M5="Verified"</formula>
    </cfRule>
    <cfRule type="expression" priority="7" aboveAverage="0" equalAverage="0" bottom="0" percent="0" rank="0" text="" dxfId="16">
      <formula>$M5="Obsolete"</formula>
    </cfRule>
  </conditionalFormatting>
  <dataValidations count="2">
    <dataValidation allowBlank="true" error="Enter wastage as a percentage, e.g. 5%" errorStyle="stop" operator="between" showDropDown="false" showErrorMessage="false" showInputMessage="false" sqref="I5:I59" type="decimal">
      <formula1>0</formula1>
      <formula2>1</formula2>
    </dataValidation>
    <dataValidation allowBlank="true" errorStyle="stop" operator="between" showDropDown="false" showErrorMessage="false" showInputMessage="false" sqref="M5:M59" type="list">
      <formula1>"Indicative,Quoted,Verified,Obsolete"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&amp;L&amp;8Labour, Equipment, Transport Misc. Costs&amp;C&amp;8Page &amp;P of &amp;N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0CECE"/>
    <pageSetUpPr fitToPage="true"/>
  </sheetPr>
  <dimension ref="A1:R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32"/>
    <col collapsed="false" customWidth="true" hidden="false" outlineLevel="0" max="5" min="5" style="0" width="20"/>
    <col collapsed="false" customWidth="true" hidden="false" outlineLevel="0" max="6" min="6" style="0" width="26"/>
    <col collapsed="false" customWidth="true" hidden="false" outlineLevel="0" max="7" min="7" style="0" width="7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1" min="10" style="0" width="13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20"/>
    <col collapsed="false" customWidth="true" hidden="false" outlineLevel="0" max="15" min="15" style="0" width="13"/>
    <col collapsed="false" customWidth="true" hidden="false" outlineLevel="0" max="16" min="16" style="0" width="12"/>
    <col collapsed="false" customWidth="true" hidden="false" outlineLevel="0" max="17" min="17" style="0" width="26"/>
    <col collapsed="false" customWidth="true" hidden="false" outlineLevel="0" max="18" min="18" style="0" width="34"/>
  </cols>
  <sheetData>
    <row r="1" customFormat="false" ht="30" hidden="false" customHeight="true" outlineLevel="0" collapsed="false">
      <c r="A1" s="65" t="s">
        <v>1946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</row>
    <row r="2" customFormat="false" ht="15" hidden="false" customHeight="false" outlineLevel="0" collapsed="false">
      <c r="A2" s="101" t="s">
        <v>1947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</row>
    <row r="3" customFormat="false" ht="15" hidden="false" customHeight="false" outlineLevel="0" collapsed="false">
      <c r="A3" s="7" t="str">
        <f aca="false">HYPERLINK("#Index!A1","&lt;&lt; Back to Index")</f>
        <v>&lt;&lt; Back to Index</v>
      </c>
      <c r="D3" s="67" t="s">
        <v>180</v>
      </c>
      <c r="E3" s="68" t="n">
        <f aca="false">COUNTA(C5:C75)</f>
        <v>56</v>
      </c>
      <c r="H3" s="69" t="s">
        <v>181</v>
      </c>
    </row>
    <row r="4" customFormat="false" ht="31.5" hidden="false" customHeight="true" outlineLevel="0" collapsed="false">
      <c r="A4" s="8" t="s">
        <v>110</v>
      </c>
      <c r="B4" s="8" t="s">
        <v>121</v>
      </c>
      <c r="C4" s="8" t="s">
        <v>111</v>
      </c>
      <c r="D4" s="8" t="s">
        <v>112</v>
      </c>
      <c r="E4" s="8" t="s">
        <v>113</v>
      </c>
      <c r="F4" s="8" t="s">
        <v>114</v>
      </c>
      <c r="G4" s="8" t="s">
        <v>115</v>
      </c>
      <c r="H4" s="8" t="s">
        <v>182</v>
      </c>
      <c r="I4" s="8" t="s">
        <v>183</v>
      </c>
      <c r="J4" s="8" t="s">
        <v>184</v>
      </c>
      <c r="K4" s="8" t="s">
        <v>185</v>
      </c>
      <c r="L4" s="8" t="s">
        <v>186</v>
      </c>
      <c r="M4" s="8" t="s">
        <v>119</v>
      </c>
      <c r="N4" s="8" t="s">
        <v>187</v>
      </c>
      <c r="O4" s="8" t="s">
        <v>188</v>
      </c>
      <c r="P4" s="8" t="s">
        <v>189</v>
      </c>
      <c r="Q4" s="8" t="s">
        <v>190</v>
      </c>
      <c r="R4" s="8" t="s">
        <v>191</v>
      </c>
    </row>
    <row r="5" customFormat="false" ht="15" hidden="false" customHeight="false" outlineLevel="0" collapsed="false">
      <c r="A5" s="70" t="s">
        <v>1948</v>
      </c>
      <c r="B5" s="71" t="s">
        <v>1949</v>
      </c>
      <c r="C5" s="72" t="s">
        <v>1950</v>
      </c>
      <c r="D5" s="71" t="s">
        <v>1951</v>
      </c>
      <c r="E5" s="71" t="s">
        <v>1302</v>
      </c>
      <c r="F5" s="71" t="s">
        <v>1952</v>
      </c>
      <c r="G5" s="73" t="s">
        <v>378</v>
      </c>
      <c r="H5" s="79" t="n">
        <v>1050</v>
      </c>
      <c r="I5" s="75" t="n">
        <v>0</v>
      </c>
      <c r="J5" s="76" t="n">
        <f aca="false">IF(H5="","",ROUND(H5*(1+I5),2))</f>
        <v>1050</v>
      </c>
      <c r="K5" s="76" t="n">
        <f aca="false">IF(J5="","",ROUND(J5*(1+OHP),2))</f>
        <v>1260</v>
      </c>
      <c r="L5" s="76" t="n">
        <f aca="false">IF(K5="","",ROUND(K5*(1+VAT),2))</f>
        <v>1323</v>
      </c>
      <c r="M5" s="73" t="s">
        <v>89</v>
      </c>
      <c r="N5" s="71"/>
      <c r="O5" s="73"/>
      <c r="P5" s="77"/>
      <c r="Q5" s="71"/>
      <c r="R5" s="78" t="s">
        <v>1953</v>
      </c>
    </row>
    <row r="6" customFormat="false" ht="15" hidden="false" customHeight="false" outlineLevel="0" collapsed="false">
      <c r="A6" s="70" t="s">
        <v>1954</v>
      </c>
      <c r="B6" s="71" t="s">
        <v>1949</v>
      </c>
      <c r="C6" s="72" t="s">
        <v>1955</v>
      </c>
      <c r="D6" s="71" t="s">
        <v>1956</v>
      </c>
      <c r="E6" s="71" t="s">
        <v>333</v>
      </c>
      <c r="F6" s="71" t="s">
        <v>1952</v>
      </c>
      <c r="G6" s="73" t="s">
        <v>378</v>
      </c>
      <c r="H6" s="79" t="n">
        <v>1250</v>
      </c>
      <c r="I6" s="75" t="n">
        <v>0</v>
      </c>
      <c r="J6" s="76" t="n">
        <f aca="false">IF(H6="","",ROUND(H6*(1+I6),2))</f>
        <v>1250</v>
      </c>
      <c r="K6" s="76" t="n">
        <f aca="false">IF(J6="","",ROUND(J6*(1+OHP),2))</f>
        <v>1500</v>
      </c>
      <c r="L6" s="76" t="n">
        <f aca="false">IF(K6="","",ROUND(K6*(1+VAT),2))</f>
        <v>1575</v>
      </c>
      <c r="M6" s="73" t="s">
        <v>89</v>
      </c>
      <c r="N6" s="71"/>
      <c r="O6" s="73"/>
      <c r="P6" s="77"/>
      <c r="Q6" s="71"/>
      <c r="R6" s="78" t="s">
        <v>1957</v>
      </c>
    </row>
    <row r="7" customFormat="false" ht="15" hidden="false" customHeight="false" outlineLevel="0" collapsed="false">
      <c r="A7" s="70" t="s">
        <v>1958</v>
      </c>
      <c r="B7" s="71" t="s">
        <v>1949</v>
      </c>
      <c r="C7" s="72" t="s">
        <v>1959</v>
      </c>
      <c r="D7" s="71" t="s">
        <v>1960</v>
      </c>
      <c r="E7" s="71" t="s">
        <v>333</v>
      </c>
      <c r="F7" s="71" t="s">
        <v>1952</v>
      </c>
      <c r="G7" s="73" t="s">
        <v>378</v>
      </c>
      <c r="H7" s="79" t="n">
        <v>1650</v>
      </c>
      <c r="I7" s="75" t="n">
        <v>0</v>
      </c>
      <c r="J7" s="76" t="n">
        <f aca="false">IF(H7="","",ROUND(H7*(1+I7),2))</f>
        <v>1650</v>
      </c>
      <c r="K7" s="76" t="n">
        <f aca="false">IF(J7="","",ROUND(J7*(1+OHP),2))</f>
        <v>1980</v>
      </c>
      <c r="L7" s="76" t="n">
        <f aca="false">IF(K7="","",ROUND(K7*(1+VAT),2))</f>
        <v>2079</v>
      </c>
      <c r="M7" s="73" t="s">
        <v>89</v>
      </c>
      <c r="N7" s="71"/>
      <c r="O7" s="73"/>
      <c r="P7" s="77"/>
      <c r="Q7" s="71"/>
      <c r="R7" s="78" t="s">
        <v>1961</v>
      </c>
    </row>
    <row r="8" customFormat="false" ht="15" hidden="false" customHeight="false" outlineLevel="0" collapsed="false">
      <c r="A8" s="70" t="s">
        <v>1962</v>
      </c>
      <c r="B8" s="71" t="s">
        <v>1949</v>
      </c>
      <c r="C8" s="72" t="s">
        <v>1963</v>
      </c>
      <c r="D8" s="71" t="s">
        <v>1964</v>
      </c>
      <c r="E8" s="71" t="s">
        <v>333</v>
      </c>
      <c r="F8" s="71" t="s">
        <v>1952</v>
      </c>
      <c r="G8" s="73" t="s">
        <v>378</v>
      </c>
      <c r="H8" s="79" t="n">
        <v>1400</v>
      </c>
      <c r="I8" s="75" t="n">
        <v>0</v>
      </c>
      <c r="J8" s="76" t="n">
        <f aca="false">IF(H8="","",ROUND(H8*(1+I8),2))</f>
        <v>1400</v>
      </c>
      <c r="K8" s="76" t="n">
        <f aca="false">IF(J8="","",ROUND(J8*(1+OHP),2))</f>
        <v>1680</v>
      </c>
      <c r="L8" s="76" t="n">
        <f aca="false">IF(K8="","",ROUND(K8*(1+VAT),2))</f>
        <v>1764</v>
      </c>
      <c r="M8" s="73" t="s">
        <v>89</v>
      </c>
      <c r="N8" s="71"/>
      <c r="O8" s="73"/>
      <c r="P8" s="77"/>
      <c r="Q8" s="71"/>
      <c r="R8" s="78" t="s">
        <v>1961</v>
      </c>
    </row>
    <row r="9" customFormat="false" ht="15" hidden="false" customHeight="false" outlineLevel="0" collapsed="false">
      <c r="A9" s="70" t="s">
        <v>1965</v>
      </c>
      <c r="B9" s="71" t="s">
        <v>1949</v>
      </c>
      <c r="C9" s="72" t="s">
        <v>1966</v>
      </c>
      <c r="D9" s="71" t="s">
        <v>1967</v>
      </c>
      <c r="E9" s="71" t="s">
        <v>457</v>
      </c>
      <c r="F9" s="71" t="s">
        <v>1968</v>
      </c>
      <c r="G9" s="73" t="s">
        <v>378</v>
      </c>
      <c r="H9" s="79" t="n">
        <v>2200</v>
      </c>
      <c r="I9" s="75" t="n">
        <v>0</v>
      </c>
      <c r="J9" s="76" t="n">
        <f aca="false">IF(H9="","",ROUND(H9*(1+I9),2))</f>
        <v>2200</v>
      </c>
      <c r="K9" s="76" t="n">
        <f aca="false">IF(J9="","",ROUND(J9*(1+OHP),2))</f>
        <v>2640</v>
      </c>
      <c r="L9" s="76" t="n">
        <f aca="false">IF(K9="","",ROUND(K9*(1+VAT),2))</f>
        <v>2772</v>
      </c>
      <c r="M9" s="73" t="s">
        <v>89</v>
      </c>
      <c r="N9" s="71"/>
      <c r="O9" s="73"/>
      <c r="P9" s="77"/>
      <c r="Q9" s="71"/>
      <c r="R9" s="78" t="s">
        <v>975</v>
      </c>
    </row>
    <row r="10" customFormat="false" ht="15" hidden="false" customHeight="false" outlineLevel="0" collapsed="false">
      <c r="A10" s="70" t="s">
        <v>1969</v>
      </c>
      <c r="B10" s="71" t="s">
        <v>1949</v>
      </c>
      <c r="C10" s="72" t="s">
        <v>1970</v>
      </c>
      <c r="D10" s="71" t="s">
        <v>1971</v>
      </c>
      <c r="E10" s="71" t="s">
        <v>457</v>
      </c>
      <c r="F10" s="71" t="s">
        <v>217</v>
      </c>
      <c r="G10" s="73" t="s">
        <v>378</v>
      </c>
      <c r="H10" s="79" t="n">
        <v>2600</v>
      </c>
      <c r="I10" s="75" t="n">
        <v>0</v>
      </c>
      <c r="J10" s="76" t="n">
        <f aca="false">IF(H10="","",ROUND(H10*(1+I10),2))</f>
        <v>2600</v>
      </c>
      <c r="K10" s="76" t="n">
        <f aca="false">IF(J10="","",ROUND(J10*(1+OHP),2))</f>
        <v>3120</v>
      </c>
      <c r="L10" s="76" t="n">
        <f aca="false">IF(K10="","",ROUND(K10*(1+VAT),2))</f>
        <v>3276</v>
      </c>
      <c r="M10" s="73" t="s">
        <v>89</v>
      </c>
      <c r="N10" s="71"/>
      <c r="O10" s="73"/>
      <c r="P10" s="77"/>
      <c r="Q10" s="71"/>
      <c r="R10" s="78" t="s">
        <v>1972</v>
      </c>
    </row>
    <row r="11" customFormat="false" ht="15" hidden="false" customHeight="false" outlineLevel="0" collapsed="false">
      <c r="A11" s="70" t="s">
        <v>1973</v>
      </c>
      <c r="B11" s="71" t="s">
        <v>1949</v>
      </c>
      <c r="C11" s="72" t="s">
        <v>1974</v>
      </c>
      <c r="D11" s="71" t="s">
        <v>1975</v>
      </c>
      <c r="E11" s="71" t="s">
        <v>333</v>
      </c>
      <c r="F11" s="71" t="s">
        <v>1280</v>
      </c>
      <c r="G11" s="73" t="s">
        <v>378</v>
      </c>
      <c r="H11" s="79" t="n">
        <v>220</v>
      </c>
      <c r="I11" s="75" t="n">
        <v>0</v>
      </c>
      <c r="J11" s="76" t="n">
        <f aca="false">IF(H11="","",ROUND(H11*(1+I11),2))</f>
        <v>220</v>
      </c>
      <c r="K11" s="76" t="n">
        <f aca="false">IF(J11="","",ROUND(J11*(1+OHP),2))</f>
        <v>264</v>
      </c>
      <c r="L11" s="76" t="n">
        <f aca="false">IF(K11="","",ROUND(K11*(1+VAT),2))</f>
        <v>277.2</v>
      </c>
      <c r="M11" s="73" t="s">
        <v>89</v>
      </c>
      <c r="N11" s="71"/>
      <c r="O11" s="73"/>
      <c r="P11" s="77"/>
      <c r="Q11" s="71"/>
      <c r="R11" s="78" t="s">
        <v>1976</v>
      </c>
    </row>
    <row r="12" customFormat="false" ht="15" hidden="false" customHeight="false" outlineLevel="0" collapsed="false">
      <c r="A12" s="70" t="s">
        <v>1977</v>
      </c>
      <c r="B12" s="71" t="s">
        <v>1949</v>
      </c>
      <c r="C12" s="72" t="s">
        <v>1978</v>
      </c>
      <c r="D12" s="71" t="s">
        <v>1979</v>
      </c>
      <c r="E12" s="71" t="s">
        <v>333</v>
      </c>
      <c r="F12" s="71" t="s">
        <v>217</v>
      </c>
      <c r="G12" s="73" t="s">
        <v>378</v>
      </c>
      <c r="H12" s="79" t="n">
        <v>380</v>
      </c>
      <c r="I12" s="75" t="n">
        <v>0</v>
      </c>
      <c r="J12" s="76" t="n">
        <f aca="false">IF(H12="","",ROUND(H12*(1+I12),2))</f>
        <v>380</v>
      </c>
      <c r="K12" s="76" t="n">
        <f aca="false">IF(J12="","",ROUND(J12*(1+OHP),2))</f>
        <v>456</v>
      </c>
      <c r="L12" s="76" t="n">
        <f aca="false">IF(K12="","",ROUND(K12*(1+VAT),2))</f>
        <v>478.8</v>
      </c>
      <c r="M12" s="73" t="s">
        <v>89</v>
      </c>
      <c r="N12" s="71"/>
      <c r="O12" s="73"/>
      <c r="P12" s="77"/>
      <c r="Q12" s="71"/>
      <c r="R12" s="78" t="s">
        <v>1980</v>
      </c>
    </row>
    <row r="13" customFormat="false" ht="15" hidden="false" customHeight="false" outlineLevel="0" collapsed="false">
      <c r="A13" s="70" t="s">
        <v>1981</v>
      </c>
      <c r="B13" s="71" t="s">
        <v>1982</v>
      </c>
      <c r="C13" s="72" t="s">
        <v>1983</v>
      </c>
      <c r="D13" s="71" t="s">
        <v>1984</v>
      </c>
      <c r="E13" s="71" t="s">
        <v>877</v>
      </c>
      <c r="F13" s="71" t="s">
        <v>197</v>
      </c>
      <c r="G13" s="73" t="s">
        <v>378</v>
      </c>
      <c r="H13" s="79" t="n">
        <v>480</v>
      </c>
      <c r="I13" s="75" t="n">
        <v>0</v>
      </c>
      <c r="J13" s="76" t="n">
        <f aca="false">IF(H13="","",ROUND(H13*(1+I13),2))</f>
        <v>480</v>
      </c>
      <c r="K13" s="76" t="n">
        <f aca="false">IF(J13="","",ROUND(J13*(1+OHP),2))</f>
        <v>576</v>
      </c>
      <c r="L13" s="76" t="n">
        <f aca="false">IF(K13="","",ROUND(K13*(1+VAT),2))</f>
        <v>604.8</v>
      </c>
      <c r="M13" s="73" t="s">
        <v>89</v>
      </c>
      <c r="N13" s="71"/>
      <c r="O13" s="73"/>
      <c r="P13" s="77"/>
      <c r="Q13" s="71"/>
      <c r="R13" s="78" t="s">
        <v>1985</v>
      </c>
    </row>
    <row r="14" customFormat="false" ht="15" hidden="false" customHeight="false" outlineLevel="0" collapsed="false">
      <c r="A14" s="70" t="s">
        <v>1986</v>
      </c>
      <c r="B14" s="71" t="s">
        <v>1982</v>
      </c>
      <c r="C14" s="72" t="s">
        <v>1987</v>
      </c>
      <c r="D14" s="71" t="s">
        <v>1988</v>
      </c>
      <c r="E14" s="71" t="s">
        <v>877</v>
      </c>
      <c r="F14" s="71" t="s">
        <v>197</v>
      </c>
      <c r="G14" s="73" t="s">
        <v>378</v>
      </c>
      <c r="H14" s="79" t="n">
        <v>750</v>
      </c>
      <c r="I14" s="75" t="n">
        <v>0</v>
      </c>
      <c r="J14" s="76" t="n">
        <f aca="false">IF(H14="","",ROUND(H14*(1+I14),2))</f>
        <v>750</v>
      </c>
      <c r="K14" s="76" t="n">
        <f aca="false">IF(J14="","",ROUND(J14*(1+OHP),2))</f>
        <v>900</v>
      </c>
      <c r="L14" s="76" t="n">
        <f aca="false">IF(K14="","",ROUND(K14*(1+VAT),2))</f>
        <v>945</v>
      </c>
      <c r="M14" s="73" t="s">
        <v>89</v>
      </c>
      <c r="N14" s="71"/>
      <c r="O14" s="73"/>
      <c r="P14" s="77"/>
      <c r="Q14" s="71"/>
      <c r="R14" s="78" t="s">
        <v>1953</v>
      </c>
    </row>
    <row r="15" customFormat="false" ht="15" hidden="false" customHeight="false" outlineLevel="0" collapsed="false">
      <c r="A15" s="70" t="s">
        <v>1989</v>
      </c>
      <c r="B15" s="71" t="s">
        <v>1982</v>
      </c>
      <c r="C15" s="72" t="s">
        <v>1990</v>
      </c>
      <c r="D15" s="71" t="s">
        <v>1991</v>
      </c>
      <c r="E15" s="71" t="s">
        <v>877</v>
      </c>
      <c r="F15" s="71" t="s">
        <v>197</v>
      </c>
      <c r="G15" s="73" t="s">
        <v>378</v>
      </c>
      <c r="H15" s="79" t="n">
        <v>550</v>
      </c>
      <c r="I15" s="75" t="n">
        <v>0</v>
      </c>
      <c r="J15" s="76" t="n">
        <f aca="false">IF(H15="","",ROUND(H15*(1+I15),2))</f>
        <v>550</v>
      </c>
      <c r="K15" s="76" t="n">
        <f aca="false">IF(J15="","",ROUND(J15*(1+OHP),2))</f>
        <v>660</v>
      </c>
      <c r="L15" s="76" t="n">
        <f aca="false">IF(K15="","",ROUND(K15*(1+VAT),2))</f>
        <v>693</v>
      </c>
      <c r="M15" s="73" t="s">
        <v>89</v>
      </c>
      <c r="N15" s="71"/>
      <c r="O15" s="73"/>
      <c r="P15" s="77"/>
      <c r="Q15" s="71"/>
      <c r="R15" s="78" t="s">
        <v>1985</v>
      </c>
    </row>
    <row r="16" customFormat="false" ht="15" hidden="false" customHeight="false" outlineLevel="0" collapsed="false">
      <c r="A16" s="70" t="s">
        <v>1992</v>
      </c>
      <c r="B16" s="71" t="s">
        <v>1982</v>
      </c>
      <c r="C16" s="72" t="s">
        <v>1993</v>
      </c>
      <c r="D16" s="71" t="s">
        <v>1988</v>
      </c>
      <c r="E16" s="71" t="s">
        <v>877</v>
      </c>
      <c r="F16" s="71" t="s">
        <v>197</v>
      </c>
      <c r="G16" s="73" t="s">
        <v>378</v>
      </c>
      <c r="H16" s="79" t="n">
        <v>820</v>
      </c>
      <c r="I16" s="75" t="n">
        <v>0</v>
      </c>
      <c r="J16" s="76" t="n">
        <f aca="false">IF(H16="","",ROUND(H16*(1+I16),2))</f>
        <v>820</v>
      </c>
      <c r="K16" s="76" t="n">
        <f aca="false">IF(J16="","",ROUND(J16*(1+OHP),2))</f>
        <v>984</v>
      </c>
      <c r="L16" s="76" t="n">
        <f aca="false">IF(K16="","",ROUND(K16*(1+VAT),2))</f>
        <v>1033.2</v>
      </c>
      <c r="M16" s="73" t="s">
        <v>89</v>
      </c>
      <c r="N16" s="71"/>
      <c r="O16" s="73"/>
      <c r="P16" s="77"/>
      <c r="Q16" s="71"/>
      <c r="R16" s="78" t="s">
        <v>1953</v>
      </c>
    </row>
    <row r="17" customFormat="false" ht="15" hidden="false" customHeight="false" outlineLevel="0" collapsed="false">
      <c r="A17" s="70" t="s">
        <v>1994</v>
      </c>
      <c r="B17" s="71" t="s">
        <v>1982</v>
      </c>
      <c r="C17" s="72" t="s">
        <v>1995</v>
      </c>
      <c r="D17" s="71" t="s">
        <v>1988</v>
      </c>
      <c r="E17" s="71" t="s">
        <v>877</v>
      </c>
      <c r="F17" s="71" t="s">
        <v>197</v>
      </c>
      <c r="G17" s="73" t="s">
        <v>378</v>
      </c>
      <c r="H17" s="79" t="n">
        <v>620</v>
      </c>
      <c r="I17" s="75" t="n">
        <v>0</v>
      </c>
      <c r="J17" s="76" t="n">
        <f aca="false">IF(H17="","",ROUND(H17*(1+I17),2))</f>
        <v>620</v>
      </c>
      <c r="K17" s="76" t="n">
        <f aca="false">IF(J17="","",ROUND(J17*(1+OHP),2))</f>
        <v>744</v>
      </c>
      <c r="L17" s="76" t="n">
        <f aca="false">IF(K17="","",ROUND(K17*(1+VAT),2))</f>
        <v>781.2</v>
      </c>
      <c r="M17" s="73" t="s">
        <v>89</v>
      </c>
      <c r="N17" s="71"/>
      <c r="O17" s="73"/>
      <c r="P17" s="77"/>
      <c r="Q17" s="71"/>
      <c r="R17" s="78" t="s">
        <v>1953</v>
      </c>
    </row>
    <row r="18" customFormat="false" ht="15" hidden="false" customHeight="false" outlineLevel="0" collapsed="false">
      <c r="A18" s="70" t="s">
        <v>1996</v>
      </c>
      <c r="B18" s="71" t="s">
        <v>1982</v>
      </c>
      <c r="C18" s="72" t="s">
        <v>1997</v>
      </c>
      <c r="D18" s="71" t="s">
        <v>1998</v>
      </c>
      <c r="E18" s="71" t="s">
        <v>877</v>
      </c>
      <c r="F18" s="71" t="s">
        <v>1999</v>
      </c>
      <c r="G18" s="73" t="s">
        <v>378</v>
      </c>
      <c r="H18" s="79" t="n">
        <v>1650</v>
      </c>
      <c r="I18" s="75" t="n">
        <v>0</v>
      </c>
      <c r="J18" s="76" t="n">
        <f aca="false">IF(H18="","",ROUND(H18*(1+I18),2))</f>
        <v>1650</v>
      </c>
      <c r="K18" s="76" t="n">
        <f aca="false">IF(J18="","",ROUND(J18*(1+OHP),2))</f>
        <v>1980</v>
      </c>
      <c r="L18" s="76" t="n">
        <f aca="false">IF(K18="","",ROUND(K18*(1+VAT),2))</f>
        <v>2079</v>
      </c>
      <c r="M18" s="73" t="s">
        <v>89</v>
      </c>
      <c r="N18" s="71"/>
      <c r="O18" s="73"/>
      <c r="P18" s="77"/>
      <c r="Q18" s="71"/>
      <c r="R18" s="78"/>
    </row>
    <row r="19" customFormat="false" ht="15" hidden="false" customHeight="false" outlineLevel="0" collapsed="false">
      <c r="A19" s="70" t="s">
        <v>2000</v>
      </c>
      <c r="B19" s="71" t="s">
        <v>1982</v>
      </c>
      <c r="C19" s="72" t="s">
        <v>2001</v>
      </c>
      <c r="D19" s="71" t="s">
        <v>1998</v>
      </c>
      <c r="E19" s="71" t="s">
        <v>877</v>
      </c>
      <c r="F19" s="71" t="s">
        <v>453</v>
      </c>
      <c r="G19" s="73" t="s">
        <v>378</v>
      </c>
      <c r="H19" s="79" t="n">
        <v>2800</v>
      </c>
      <c r="I19" s="75" t="n">
        <v>0</v>
      </c>
      <c r="J19" s="76" t="n">
        <f aca="false">IF(H19="","",ROUND(H19*(1+I19),2))</f>
        <v>2800</v>
      </c>
      <c r="K19" s="76" t="n">
        <f aca="false">IF(J19="","",ROUND(J19*(1+OHP),2))</f>
        <v>3360</v>
      </c>
      <c r="L19" s="76" t="n">
        <f aca="false">IF(K19="","",ROUND(K19*(1+VAT),2))</f>
        <v>3528</v>
      </c>
      <c r="M19" s="73" t="s">
        <v>89</v>
      </c>
      <c r="N19" s="71"/>
      <c r="O19" s="73"/>
      <c r="P19" s="77"/>
      <c r="Q19" s="71"/>
      <c r="R19" s="78"/>
    </row>
    <row r="20" customFormat="false" ht="15" hidden="false" customHeight="false" outlineLevel="0" collapsed="false">
      <c r="A20" s="70" t="s">
        <v>2002</v>
      </c>
      <c r="B20" s="71" t="s">
        <v>2003</v>
      </c>
      <c r="C20" s="72" t="s">
        <v>2004</v>
      </c>
      <c r="D20" s="71" t="s">
        <v>2005</v>
      </c>
      <c r="E20" s="71" t="s">
        <v>877</v>
      </c>
      <c r="F20" s="71" t="s">
        <v>197</v>
      </c>
      <c r="G20" s="73" t="s">
        <v>378</v>
      </c>
      <c r="H20" s="79" t="n">
        <v>950</v>
      </c>
      <c r="I20" s="75" t="n">
        <v>0</v>
      </c>
      <c r="J20" s="76" t="n">
        <f aca="false">IF(H20="","",ROUND(H20*(1+I20),2))</f>
        <v>950</v>
      </c>
      <c r="K20" s="76" t="n">
        <f aca="false">IF(J20="","",ROUND(J20*(1+OHP),2))</f>
        <v>1140</v>
      </c>
      <c r="L20" s="76" t="n">
        <f aca="false">IF(K20="","",ROUND(K20*(1+VAT),2))</f>
        <v>1197</v>
      </c>
      <c r="M20" s="73" t="s">
        <v>89</v>
      </c>
      <c r="N20" s="71"/>
      <c r="O20" s="73"/>
      <c r="P20" s="77"/>
      <c r="Q20" s="71"/>
      <c r="R20" s="78" t="s">
        <v>2006</v>
      </c>
    </row>
    <row r="21" customFormat="false" ht="15" hidden="false" customHeight="false" outlineLevel="0" collapsed="false">
      <c r="A21" s="70" t="s">
        <v>2007</v>
      </c>
      <c r="B21" s="71" t="s">
        <v>2003</v>
      </c>
      <c r="C21" s="72" t="s">
        <v>2008</v>
      </c>
      <c r="D21" s="71" t="s">
        <v>2009</v>
      </c>
      <c r="E21" s="71" t="s">
        <v>877</v>
      </c>
      <c r="F21" s="71" t="s">
        <v>197</v>
      </c>
      <c r="G21" s="73" t="s">
        <v>378</v>
      </c>
      <c r="H21" s="79" t="n">
        <v>1250</v>
      </c>
      <c r="I21" s="75" t="n">
        <v>0</v>
      </c>
      <c r="J21" s="76" t="n">
        <f aca="false">IF(H21="","",ROUND(H21*(1+I21),2))</f>
        <v>1250</v>
      </c>
      <c r="K21" s="76" t="n">
        <f aca="false">IF(J21="","",ROUND(J21*(1+OHP),2))</f>
        <v>1500</v>
      </c>
      <c r="L21" s="76" t="n">
        <f aca="false">IF(K21="","",ROUND(K21*(1+VAT),2))</f>
        <v>1575</v>
      </c>
      <c r="M21" s="73" t="s">
        <v>89</v>
      </c>
      <c r="N21" s="71"/>
      <c r="O21" s="73"/>
      <c r="P21" s="77"/>
      <c r="Q21" s="71"/>
      <c r="R21" s="78" t="s">
        <v>199</v>
      </c>
    </row>
    <row r="22" customFormat="false" ht="15" hidden="false" customHeight="false" outlineLevel="0" collapsed="false">
      <c r="A22" s="70" t="s">
        <v>2010</v>
      </c>
      <c r="B22" s="71" t="s">
        <v>2003</v>
      </c>
      <c r="C22" s="72" t="s">
        <v>2011</v>
      </c>
      <c r="D22" s="71" t="s">
        <v>1988</v>
      </c>
      <c r="E22" s="71" t="s">
        <v>877</v>
      </c>
      <c r="F22" s="71" t="s">
        <v>197</v>
      </c>
      <c r="G22" s="73" t="s">
        <v>378</v>
      </c>
      <c r="H22" s="79" t="n">
        <v>820</v>
      </c>
      <c r="I22" s="75" t="n">
        <v>0</v>
      </c>
      <c r="J22" s="76" t="n">
        <f aca="false">IF(H22="","",ROUND(H22*(1+I22),2))</f>
        <v>820</v>
      </c>
      <c r="K22" s="76" t="n">
        <f aca="false">IF(J22="","",ROUND(J22*(1+OHP),2))</f>
        <v>984</v>
      </c>
      <c r="L22" s="76" t="n">
        <f aca="false">IF(K22="","",ROUND(K22*(1+VAT),2))</f>
        <v>1033.2</v>
      </c>
      <c r="M22" s="73" t="s">
        <v>89</v>
      </c>
      <c r="N22" s="71"/>
      <c r="O22" s="73"/>
      <c r="P22" s="77"/>
      <c r="Q22" s="71"/>
      <c r="R22" s="78" t="s">
        <v>2012</v>
      </c>
    </row>
    <row r="23" customFormat="false" ht="15" hidden="false" customHeight="false" outlineLevel="0" collapsed="false">
      <c r="A23" s="70" t="s">
        <v>2013</v>
      </c>
      <c r="B23" s="71" t="s">
        <v>2003</v>
      </c>
      <c r="C23" s="72" t="s">
        <v>2014</v>
      </c>
      <c r="D23" s="71" t="s">
        <v>1998</v>
      </c>
      <c r="E23" s="71" t="s">
        <v>877</v>
      </c>
      <c r="F23" s="71" t="s">
        <v>2015</v>
      </c>
      <c r="G23" s="73" t="s">
        <v>378</v>
      </c>
      <c r="H23" s="79" t="n">
        <v>1900</v>
      </c>
      <c r="I23" s="75" t="n">
        <v>0</v>
      </c>
      <c r="J23" s="76" t="n">
        <f aca="false">IF(H23="","",ROUND(H23*(1+I23),2))</f>
        <v>1900</v>
      </c>
      <c r="K23" s="76" t="n">
        <f aca="false">IF(J23="","",ROUND(J23*(1+OHP),2))</f>
        <v>2280</v>
      </c>
      <c r="L23" s="76" t="n">
        <f aca="false">IF(K23="","",ROUND(K23*(1+VAT),2))</f>
        <v>2394</v>
      </c>
      <c r="M23" s="73" t="s">
        <v>89</v>
      </c>
      <c r="N23" s="71"/>
      <c r="O23" s="73"/>
      <c r="P23" s="77"/>
      <c r="Q23" s="71"/>
      <c r="R23" s="78"/>
    </row>
    <row r="24" customFormat="false" ht="15" hidden="false" customHeight="false" outlineLevel="0" collapsed="false">
      <c r="A24" s="70" t="s">
        <v>2016</v>
      </c>
      <c r="B24" s="71" t="s">
        <v>2003</v>
      </c>
      <c r="C24" s="72" t="s">
        <v>2017</v>
      </c>
      <c r="D24" s="71" t="s">
        <v>2018</v>
      </c>
      <c r="E24" s="71" t="s">
        <v>877</v>
      </c>
      <c r="F24" s="71" t="s">
        <v>2019</v>
      </c>
      <c r="G24" s="73" t="s">
        <v>378</v>
      </c>
      <c r="H24" s="79" t="n">
        <v>1500</v>
      </c>
      <c r="I24" s="75" t="n">
        <v>0</v>
      </c>
      <c r="J24" s="76" t="n">
        <f aca="false">IF(H24="","",ROUND(H24*(1+I24),2))</f>
        <v>1500</v>
      </c>
      <c r="K24" s="76" t="n">
        <f aca="false">IF(J24="","",ROUND(J24*(1+OHP),2))</f>
        <v>1800</v>
      </c>
      <c r="L24" s="76" t="n">
        <f aca="false">IF(K24="","",ROUND(K24*(1+VAT),2))</f>
        <v>1890</v>
      </c>
      <c r="M24" s="73" t="s">
        <v>89</v>
      </c>
      <c r="N24" s="71"/>
      <c r="O24" s="73"/>
      <c r="P24" s="77"/>
      <c r="Q24" s="71"/>
      <c r="R24" s="78"/>
    </row>
    <row r="25" customFormat="false" ht="23.85" hidden="false" customHeight="false" outlineLevel="0" collapsed="false">
      <c r="A25" s="70" t="s">
        <v>2020</v>
      </c>
      <c r="B25" s="71" t="s">
        <v>2003</v>
      </c>
      <c r="C25" s="72" t="s">
        <v>2021</v>
      </c>
      <c r="D25" s="71" t="s">
        <v>2022</v>
      </c>
      <c r="E25" s="71" t="s">
        <v>55</v>
      </c>
      <c r="F25" s="71" t="s">
        <v>2023</v>
      </c>
      <c r="G25" s="73" t="s">
        <v>622</v>
      </c>
      <c r="H25" s="79" t="n">
        <v>3200</v>
      </c>
      <c r="I25" s="75" t="n">
        <v>0</v>
      </c>
      <c r="J25" s="76" t="n">
        <f aca="false">IF(H25="","",ROUND(H25*(1+I25),2))</f>
        <v>3200</v>
      </c>
      <c r="K25" s="76" t="n">
        <f aca="false">IF(J25="","",ROUND(J25*(1+OHP),2))</f>
        <v>3840</v>
      </c>
      <c r="L25" s="76" t="n">
        <f aca="false">IF(K25="","",ROUND(K25*(1+VAT),2))</f>
        <v>4032</v>
      </c>
      <c r="M25" s="73" t="s">
        <v>89</v>
      </c>
      <c r="N25" s="71"/>
      <c r="O25" s="73"/>
      <c r="P25" s="77"/>
      <c r="Q25" s="71"/>
      <c r="R25" s="78" t="s">
        <v>635</v>
      </c>
    </row>
    <row r="26" customFormat="false" ht="15" hidden="false" customHeight="false" outlineLevel="0" collapsed="false">
      <c r="A26" s="70" t="s">
        <v>2024</v>
      </c>
      <c r="B26" s="71" t="s">
        <v>2003</v>
      </c>
      <c r="C26" s="72" t="s">
        <v>2025</v>
      </c>
      <c r="D26" s="71" t="s">
        <v>2026</v>
      </c>
      <c r="E26" s="71" t="s">
        <v>877</v>
      </c>
      <c r="F26" s="71" t="s">
        <v>2027</v>
      </c>
      <c r="G26" s="73" t="s">
        <v>622</v>
      </c>
      <c r="H26" s="79" t="n">
        <v>16500</v>
      </c>
      <c r="I26" s="75" t="n">
        <v>0</v>
      </c>
      <c r="J26" s="76" t="n">
        <f aca="false">IF(H26="","",ROUND(H26*(1+I26),2))</f>
        <v>16500</v>
      </c>
      <c r="K26" s="76" t="n">
        <f aca="false">IF(J26="","",ROUND(J26*(1+OHP),2))</f>
        <v>19800</v>
      </c>
      <c r="L26" s="76" t="n">
        <f aca="false">IF(K26="","",ROUND(K26*(1+VAT),2))</f>
        <v>20790</v>
      </c>
      <c r="M26" s="73" t="s">
        <v>89</v>
      </c>
      <c r="N26" s="71"/>
      <c r="O26" s="73"/>
      <c r="P26" s="77"/>
      <c r="Q26" s="71"/>
      <c r="R26" s="78" t="s">
        <v>2028</v>
      </c>
    </row>
    <row r="27" customFormat="false" ht="15" hidden="false" customHeight="false" outlineLevel="0" collapsed="false">
      <c r="A27" s="70" t="s">
        <v>2029</v>
      </c>
      <c r="B27" s="71" t="s">
        <v>2003</v>
      </c>
      <c r="C27" s="72" t="s">
        <v>2030</v>
      </c>
      <c r="D27" s="71" t="s">
        <v>2031</v>
      </c>
      <c r="E27" s="71" t="s">
        <v>877</v>
      </c>
      <c r="F27" s="71" t="s">
        <v>2032</v>
      </c>
      <c r="G27" s="73" t="s">
        <v>378</v>
      </c>
      <c r="H27" s="79" t="n">
        <v>3800</v>
      </c>
      <c r="I27" s="75" t="n">
        <v>0</v>
      </c>
      <c r="J27" s="76" t="n">
        <f aca="false">IF(H27="","",ROUND(H27*(1+I27),2))</f>
        <v>3800</v>
      </c>
      <c r="K27" s="76" t="n">
        <f aca="false">IF(J27="","",ROUND(J27*(1+OHP),2))</f>
        <v>4560</v>
      </c>
      <c r="L27" s="76" t="n">
        <f aca="false">IF(K27="","",ROUND(K27*(1+VAT),2))</f>
        <v>4788</v>
      </c>
      <c r="M27" s="73" t="s">
        <v>89</v>
      </c>
      <c r="N27" s="71"/>
      <c r="O27" s="73"/>
      <c r="P27" s="77"/>
      <c r="Q27" s="71"/>
      <c r="R27" s="78" t="s">
        <v>2033</v>
      </c>
    </row>
    <row r="28" customFormat="false" ht="15" hidden="false" customHeight="false" outlineLevel="0" collapsed="false">
      <c r="A28" s="70" t="s">
        <v>2034</v>
      </c>
      <c r="B28" s="71" t="s">
        <v>2035</v>
      </c>
      <c r="C28" s="72" t="s">
        <v>2036</v>
      </c>
      <c r="D28" s="71" t="s">
        <v>2037</v>
      </c>
      <c r="E28" s="71" t="s">
        <v>743</v>
      </c>
      <c r="F28" s="71" t="s">
        <v>217</v>
      </c>
      <c r="G28" s="73" t="s">
        <v>378</v>
      </c>
      <c r="H28" s="79" t="n">
        <v>420</v>
      </c>
      <c r="I28" s="75" t="n">
        <v>0</v>
      </c>
      <c r="J28" s="76" t="n">
        <f aca="false">IF(H28="","",ROUND(H28*(1+I28),2))</f>
        <v>420</v>
      </c>
      <c r="K28" s="76" t="n">
        <f aca="false">IF(J28="","",ROUND(J28*(1+OHP),2))</f>
        <v>504</v>
      </c>
      <c r="L28" s="76" t="n">
        <f aca="false">IF(K28="","",ROUND(K28*(1+VAT),2))</f>
        <v>529.2</v>
      </c>
      <c r="M28" s="73" t="s">
        <v>89</v>
      </c>
      <c r="N28" s="71"/>
      <c r="O28" s="73"/>
      <c r="P28" s="77"/>
      <c r="Q28" s="71"/>
      <c r="R28" s="78" t="s">
        <v>428</v>
      </c>
    </row>
    <row r="29" customFormat="false" ht="15" hidden="false" customHeight="false" outlineLevel="0" collapsed="false">
      <c r="A29" s="70" t="s">
        <v>2038</v>
      </c>
      <c r="B29" s="71" t="s">
        <v>2035</v>
      </c>
      <c r="C29" s="72" t="s">
        <v>2039</v>
      </c>
      <c r="D29" s="71" t="s">
        <v>2040</v>
      </c>
      <c r="E29" s="71" t="s">
        <v>261</v>
      </c>
      <c r="F29" s="71" t="s">
        <v>217</v>
      </c>
      <c r="G29" s="73" t="s">
        <v>378</v>
      </c>
      <c r="H29" s="79" t="n">
        <v>550</v>
      </c>
      <c r="I29" s="75" t="n">
        <v>0</v>
      </c>
      <c r="J29" s="76" t="n">
        <f aca="false">IF(H29="","",ROUND(H29*(1+I29),2))</f>
        <v>550</v>
      </c>
      <c r="K29" s="76" t="n">
        <f aca="false">IF(J29="","",ROUND(J29*(1+OHP),2))</f>
        <v>660</v>
      </c>
      <c r="L29" s="76" t="n">
        <f aca="false">IF(K29="","",ROUND(K29*(1+VAT),2))</f>
        <v>693</v>
      </c>
      <c r="M29" s="73" t="s">
        <v>89</v>
      </c>
      <c r="N29" s="71"/>
      <c r="O29" s="73"/>
      <c r="P29" s="77"/>
      <c r="Q29" s="71"/>
      <c r="R29" s="78" t="s">
        <v>2041</v>
      </c>
    </row>
    <row r="30" customFormat="false" ht="15" hidden="false" customHeight="false" outlineLevel="0" collapsed="false">
      <c r="A30" s="70" t="s">
        <v>2042</v>
      </c>
      <c r="B30" s="71" t="s">
        <v>2035</v>
      </c>
      <c r="C30" s="72" t="s">
        <v>2043</v>
      </c>
      <c r="D30" s="71" t="s">
        <v>2044</v>
      </c>
      <c r="E30" s="71" t="s">
        <v>743</v>
      </c>
      <c r="F30" s="71" t="s">
        <v>349</v>
      </c>
      <c r="G30" s="73" t="s">
        <v>378</v>
      </c>
      <c r="H30" s="79" t="n">
        <v>1100</v>
      </c>
      <c r="I30" s="75" t="n">
        <v>0</v>
      </c>
      <c r="J30" s="76" t="n">
        <f aca="false">IF(H30="","",ROUND(H30*(1+I30),2))</f>
        <v>1100</v>
      </c>
      <c r="K30" s="76" t="n">
        <f aca="false">IF(J30="","",ROUND(J30*(1+OHP),2))</f>
        <v>1320</v>
      </c>
      <c r="L30" s="76" t="n">
        <f aca="false">IF(K30="","",ROUND(K30*(1+VAT),2))</f>
        <v>1386</v>
      </c>
      <c r="M30" s="73" t="s">
        <v>89</v>
      </c>
      <c r="N30" s="71"/>
      <c r="O30" s="73"/>
      <c r="P30" s="77"/>
      <c r="Q30" s="71"/>
      <c r="R30" s="78" t="s">
        <v>2045</v>
      </c>
    </row>
    <row r="31" customFormat="false" ht="19.4" hidden="false" customHeight="false" outlineLevel="0" collapsed="false">
      <c r="A31" s="70" t="s">
        <v>2046</v>
      </c>
      <c r="B31" s="71" t="s">
        <v>2035</v>
      </c>
      <c r="C31" s="72" t="s">
        <v>2047</v>
      </c>
      <c r="D31" s="71" t="s">
        <v>1991</v>
      </c>
      <c r="E31" s="71" t="s">
        <v>1804</v>
      </c>
      <c r="F31" s="71" t="s">
        <v>217</v>
      </c>
      <c r="G31" s="73" t="s">
        <v>378</v>
      </c>
      <c r="H31" s="79" t="n">
        <v>280</v>
      </c>
      <c r="I31" s="75" t="n">
        <v>0</v>
      </c>
      <c r="J31" s="76" t="n">
        <f aca="false">IF(H31="","",ROUND(H31*(1+I31),2))</f>
        <v>280</v>
      </c>
      <c r="K31" s="76" t="n">
        <f aca="false">IF(J31="","",ROUND(J31*(1+OHP),2))</f>
        <v>336</v>
      </c>
      <c r="L31" s="76" t="n">
        <f aca="false">IF(K31="","",ROUND(K31*(1+VAT),2))</f>
        <v>352.8</v>
      </c>
      <c r="M31" s="73" t="s">
        <v>89</v>
      </c>
      <c r="N31" s="71"/>
      <c r="O31" s="73"/>
      <c r="P31" s="77"/>
      <c r="Q31" s="71"/>
      <c r="R31" s="78" t="s">
        <v>534</v>
      </c>
    </row>
    <row r="32" customFormat="false" ht="19.4" hidden="false" customHeight="false" outlineLevel="0" collapsed="false">
      <c r="A32" s="70" t="s">
        <v>2048</v>
      </c>
      <c r="B32" s="71" t="s">
        <v>2049</v>
      </c>
      <c r="C32" s="72" t="s">
        <v>2050</v>
      </c>
      <c r="D32" s="71" t="s">
        <v>2051</v>
      </c>
      <c r="E32" s="71" t="s">
        <v>775</v>
      </c>
      <c r="F32" s="71" t="s">
        <v>217</v>
      </c>
      <c r="G32" s="73" t="s">
        <v>218</v>
      </c>
      <c r="H32" s="79" t="n">
        <v>950</v>
      </c>
      <c r="I32" s="75" t="n">
        <v>0</v>
      </c>
      <c r="J32" s="76" t="n">
        <f aca="false">IF(H32="","",ROUND(H32*(1+I32),2))</f>
        <v>950</v>
      </c>
      <c r="K32" s="76" t="n">
        <f aca="false">IF(J32="","",ROUND(J32*(1+OHP),2))</f>
        <v>1140</v>
      </c>
      <c r="L32" s="76" t="n">
        <f aca="false">IF(K32="","",ROUND(K32*(1+VAT),2))</f>
        <v>1197</v>
      </c>
      <c r="M32" s="73" t="s">
        <v>89</v>
      </c>
      <c r="N32" s="71"/>
      <c r="O32" s="73"/>
      <c r="P32" s="77"/>
      <c r="Q32" s="71"/>
      <c r="R32" s="78" t="s">
        <v>2052</v>
      </c>
    </row>
    <row r="33" customFormat="false" ht="19.4" hidden="false" customHeight="false" outlineLevel="0" collapsed="false">
      <c r="A33" s="70" t="s">
        <v>2053</v>
      </c>
      <c r="B33" s="71" t="s">
        <v>2049</v>
      </c>
      <c r="C33" s="72" t="s">
        <v>2054</v>
      </c>
      <c r="D33" s="71" t="s">
        <v>2055</v>
      </c>
      <c r="E33" s="71" t="s">
        <v>2056</v>
      </c>
      <c r="F33" s="71" t="s">
        <v>217</v>
      </c>
      <c r="G33" s="73" t="s">
        <v>218</v>
      </c>
      <c r="H33" s="79" t="n">
        <v>1450</v>
      </c>
      <c r="I33" s="75" t="n">
        <v>0</v>
      </c>
      <c r="J33" s="76" t="n">
        <f aca="false">IF(H33="","",ROUND(H33*(1+I33),2))</f>
        <v>1450</v>
      </c>
      <c r="K33" s="76" t="n">
        <f aca="false">IF(J33="","",ROUND(J33*(1+OHP),2))</f>
        <v>1740</v>
      </c>
      <c r="L33" s="76" t="n">
        <f aca="false">IF(K33="","",ROUND(K33*(1+VAT),2))</f>
        <v>1827</v>
      </c>
      <c r="M33" s="73" t="s">
        <v>89</v>
      </c>
      <c r="N33" s="71"/>
      <c r="O33" s="73"/>
      <c r="P33" s="77"/>
      <c r="Q33" s="71"/>
      <c r="R33" s="78" t="s">
        <v>2057</v>
      </c>
    </row>
    <row r="34" customFormat="false" ht="19.4" hidden="false" customHeight="false" outlineLevel="0" collapsed="false">
      <c r="A34" s="70" t="s">
        <v>2058</v>
      </c>
      <c r="B34" s="71" t="s">
        <v>2049</v>
      </c>
      <c r="C34" s="72" t="s">
        <v>2059</v>
      </c>
      <c r="D34" s="71" t="s">
        <v>2060</v>
      </c>
      <c r="E34" s="71" t="s">
        <v>853</v>
      </c>
      <c r="F34" s="71" t="s">
        <v>349</v>
      </c>
      <c r="G34" s="73" t="s">
        <v>218</v>
      </c>
      <c r="H34" s="79" t="n">
        <v>1250</v>
      </c>
      <c r="I34" s="75" t="n">
        <v>0</v>
      </c>
      <c r="J34" s="76" t="n">
        <f aca="false">IF(H34="","",ROUND(H34*(1+I34),2))</f>
        <v>1250</v>
      </c>
      <c r="K34" s="76" t="n">
        <f aca="false">IF(J34="","",ROUND(J34*(1+OHP),2))</f>
        <v>1500</v>
      </c>
      <c r="L34" s="76" t="n">
        <f aca="false">IF(K34="","",ROUND(K34*(1+VAT),2))</f>
        <v>1575</v>
      </c>
      <c r="M34" s="73" t="s">
        <v>89</v>
      </c>
      <c r="N34" s="71"/>
      <c r="O34" s="73"/>
      <c r="P34" s="77"/>
      <c r="Q34" s="71"/>
      <c r="R34" s="78" t="s">
        <v>2061</v>
      </c>
    </row>
    <row r="35" customFormat="false" ht="19.4" hidden="false" customHeight="false" outlineLevel="0" collapsed="false">
      <c r="A35" s="70" t="s">
        <v>2062</v>
      </c>
      <c r="B35" s="71" t="s">
        <v>2049</v>
      </c>
      <c r="C35" s="72" t="s">
        <v>2063</v>
      </c>
      <c r="D35" s="71" t="s">
        <v>2064</v>
      </c>
      <c r="E35" s="71" t="s">
        <v>2065</v>
      </c>
      <c r="F35" s="71" t="s">
        <v>217</v>
      </c>
      <c r="G35" s="73" t="s">
        <v>218</v>
      </c>
      <c r="H35" s="79" t="n">
        <v>280</v>
      </c>
      <c r="I35" s="75" t="n">
        <v>0</v>
      </c>
      <c r="J35" s="76" t="n">
        <f aca="false">IF(H35="","",ROUND(H35*(1+I35),2))</f>
        <v>280</v>
      </c>
      <c r="K35" s="76" t="n">
        <f aca="false">IF(J35="","",ROUND(J35*(1+OHP),2))</f>
        <v>336</v>
      </c>
      <c r="L35" s="76" t="n">
        <f aca="false">IF(K35="","",ROUND(K35*(1+VAT),2))</f>
        <v>352.8</v>
      </c>
      <c r="M35" s="73" t="s">
        <v>89</v>
      </c>
      <c r="N35" s="71"/>
      <c r="O35" s="73"/>
      <c r="P35" s="77"/>
      <c r="Q35" s="71"/>
      <c r="R35" s="78" t="s">
        <v>2066</v>
      </c>
    </row>
    <row r="36" customFormat="false" ht="19.4" hidden="false" customHeight="false" outlineLevel="0" collapsed="false">
      <c r="A36" s="70" t="s">
        <v>2067</v>
      </c>
      <c r="B36" s="71" t="s">
        <v>2049</v>
      </c>
      <c r="C36" s="72" t="s">
        <v>2068</v>
      </c>
      <c r="D36" s="71" t="s">
        <v>2069</v>
      </c>
      <c r="E36" s="71" t="s">
        <v>2065</v>
      </c>
      <c r="F36" s="71" t="s">
        <v>217</v>
      </c>
      <c r="G36" s="73" t="s">
        <v>218</v>
      </c>
      <c r="H36" s="79" t="n">
        <v>850</v>
      </c>
      <c r="I36" s="75" t="n">
        <v>0</v>
      </c>
      <c r="J36" s="76" t="n">
        <f aca="false">IF(H36="","",ROUND(H36*(1+I36),2))</f>
        <v>850</v>
      </c>
      <c r="K36" s="76" t="n">
        <f aca="false">IF(J36="","",ROUND(J36*(1+OHP),2))</f>
        <v>1020</v>
      </c>
      <c r="L36" s="76" t="n">
        <f aca="false">IF(K36="","",ROUND(K36*(1+VAT),2))</f>
        <v>1071</v>
      </c>
      <c r="M36" s="73" t="s">
        <v>89</v>
      </c>
      <c r="N36" s="71"/>
      <c r="O36" s="73"/>
      <c r="P36" s="77"/>
      <c r="Q36" s="71"/>
      <c r="R36" s="78" t="s">
        <v>2070</v>
      </c>
    </row>
    <row r="37" customFormat="false" ht="15" hidden="false" customHeight="false" outlineLevel="0" collapsed="false">
      <c r="A37" s="70" t="s">
        <v>2071</v>
      </c>
      <c r="B37" s="71" t="s">
        <v>2049</v>
      </c>
      <c r="C37" s="72" t="s">
        <v>2072</v>
      </c>
      <c r="D37" s="71" t="s">
        <v>2073</v>
      </c>
      <c r="E37" s="71" t="s">
        <v>2074</v>
      </c>
      <c r="F37" s="71" t="s">
        <v>217</v>
      </c>
      <c r="G37" s="73" t="s">
        <v>218</v>
      </c>
      <c r="H37" s="79" t="n">
        <v>450</v>
      </c>
      <c r="I37" s="75" t="n">
        <v>0</v>
      </c>
      <c r="J37" s="76" t="n">
        <f aca="false">IF(H37="","",ROUND(H37*(1+I37),2))</f>
        <v>450</v>
      </c>
      <c r="K37" s="76" t="n">
        <f aca="false">IF(J37="","",ROUND(J37*(1+OHP),2))</f>
        <v>540</v>
      </c>
      <c r="L37" s="76" t="n">
        <f aca="false">IF(K37="","",ROUND(K37*(1+VAT),2))</f>
        <v>567</v>
      </c>
      <c r="M37" s="73" t="s">
        <v>89</v>
      </c>
      <c r="N37" s="71"/>
      <c r="O37" s="73"/>
      <c r="P37" s="77"/>
      <c r="Q37" s="71"/>
      <c r="R37" s="78" t="s">
        <v>2075</v>
      </c>
    </row>
    <row r="38" customFormat="false" ht="15" hidden="false" customHeight="false" outlineLevel="0" collapsed="false">
      <c r="A38" s="70" t="s">
        <v>2076</v>
      </c>
      <c r="B38" s="71" t="s">
        <v>2049</v>
      </c>
      <c r="C38" s="72" t="s">
        <v>2077</v>
      </c>
      <c r="D38" s="71" t="s">
        <v>2078</v>
      </c>
      <c r="E38" s="71" t="s">
        <v>877</v>
      </c>
      <c r="F38" s="71" t="s">
        <v>217</v>
      </c>
      <c r="G38" s="73" t="s">
        <v>218</v>
      </c>
      <c r="H38" s="79" t="n">
        <v>550</v>
      </c>
      <c r="I38" s="75" t="n">
        <v>0</v>
      </c>
      <c r="J38" s="76" t="n">
        <f aca="false">IF(H38="","",ROUND(H38*(1+I38),2))</f>
        <v>550</v>
      </c>
      <c r="K38" s="76" t="n">
        <f aca="false">IF(J38="","",ROUND(J38*(1+OHP),2))</f>
        <v>660</v>
      </c>
      <c r="L38" s="76" t="n">
        <f aca="false">IF(K38="","",ROUND(K38*(1+VAT),2))</f>
        <v>693</v>
      </c>
      <c r="M38" s="73" t="s">
        <v>89</v>
      </c>
      <c r="N38" s="71"/>
      <c r="O38" s="73"/>
      <c r="P38" s="77"/>
      <c r="Q38" s="71"/>
      <c r="R38" s="78" t="s">
        <v>2079</v>
      </c>
    </row>
    <row r="39" customFormat="false" ht="15" hidden="false" customHeight="false" outlineLevel="0" collapsed="false">
      <c r="A39" s="70" t="s">
        <v>2080</v>
      </c>
      <c r="B39" s="71" t="s">
        <v>2081</v>
      </c>
      <c r="C39" s="72" t="s">
        <v>2082</v>
      </c>
      <c r="D39" s="71" t="s">
        <v>542</v>
      </c>
      <c r="E39" s="71" t="s">
        <v>2083</v>
      </c>
      <c r="F39" s="71" t="s">
        <v>217</v>
      </c>
      <c r="G39" s="73" t="s">
        <v>378</v>
      </c>
      <c r="H39" s="79" t="n">
        <v>550</v>
      </c>
      <c r="I39" s="75" t="n">
        <v>0</v>
      </c>
      <c r="J39" s="76" t="n">
        <f aca="false">IF(H39="","",ROUND(H39*(1+I39),2))</f>
        <v>550</v>
      </c>
      <c r="K39" s="76" t="n">
        <f aca="false">IF(J39="","",ROUND(J39*(1+OHP),2))</f>
        <v>660</v>
      </c>
      <c r="L39" s="76" t="n">
        <f aca="false">IF(K39="","",ROUND(K39*(1+VAT),2))</f>
        <v>693</v>
      </c>
      <c r="M39" s="73" t="s">
        <v>89</v>
      </c>
      <c r="N39" s="71"/>
      <c r="O39" s="73"/>
      <c r="P39" s="77"/>
      <c r="Q39" s="71"/>
      <c r="R39" s="78" t="s">
        <v>2084</v>
      </c>
    </row>
    <row r="40" customFormat="false" ht="23.85" hidden="false" customHeight="false" outlineLevel="0" collapsed="false">
      <c r="A40" s="70" t="s">
        <v>2085</v>
      </c>
      <c r="B40" s="71" t="s">
        <v>2081</v>
      </c>
      <c r="C40" s="72" t="s">
        <v>2086</v>
      </c>
      <c r="D40" s="71" t="s">
        <v>2087</v>
      </c>
      <c r="E40" s="71" t="s">
        <v>2083</v>
      </c>
      <c r="F40" s="71" t="s">
        <v>217</v>
      </c>
      <c r="G40" s="73" t="s">
        <v>738</v>
      </c>
      <c r="H40" s="79" t="n">
        <v>2200</v>
      </c>
      <c r="I40" s="75" t="n">
        <v>0</v>
      </c>
      <c r="J40" s="76" t="n">
        <f aca="false">IF(H40="","",ROUND(H40*(1+I40),2))</f>
        <v>2200</v>
      </c>
      <c r="K40" s="76" t="n">
        <f aca="false">IF(J40="","",ROUND(J40*(1+OHP),2))</f>
        <v>2640</v>
      </c>
      <c r="L40" s="76" t="n">
        <f aca="false">IF(K40="","",ROUND(K40*(1+VAT),2))</f>
        <v>2772</v>
      </c>
      <c r="M40" s="73" t="s">
        <v>89</v>
      </c>
      <c r="N40" s="71"/>
      <c r="O40" s="73"/>
      <c r="P40" s="77"/>
      <c r="Q40" s="71"/>
      <c r="R40" s="78" t="s">
        <v>2088</v>
      </c>
    </row>
    <row r="41" customFormat="false" ht="15" hidden="false" customHeight="false" outlineLevel="0" collapsed="false">
      <c r="A41" s="70" t="s">
        <v>2089</v>
      </c>
      <c r="B41" s="71" t="s">
        <v>2081</v>
      </c>
      <c r="C41" s="72" t="s">
        <v>2090</v>
      </c>
      <c r="D41" s="71" t="s">
        <v>2091</v>
      </c>
      <c r="E41" s="71" t="s">
        <v>2092</v>
      </c>
      <c r="F41" s="71" t="s">
        <v>217</v>
      </c>
      <c r="G41" s="73" t="s">
        <v>738</v>
      </c>
      <c r="H41" s="79" t="n">
        <v>2600</v>
      </c>
      <c r="I41" s="75" t="n">
        <v>0</v>
      </c>
      <c r="J41" s="76" t="n">
        <f aca="false">IF(H41="","",ROUND(H41*(1+I41),2))</f>
        <v>2600</v>
      </c>
      <c r="K41" s="76" t="n">
        <f aca="false">IF(J41="","",ROUND(J41*(1+OHP),2))</f>
        <v>3120</v>
      </c>
      <c r="L41" s="76" t="n">
        <f aca="false">IF(K41="","",ROUND(K41*(1+VAT),2))</f>
        <v>3276</v>
      </c>
      <c r="M41" s="73" t="s">
        <v>89</v>
      </c>
      <c r="N41" s="71"/>
      <c r="O41" s="73"/>
      <c r="P41" s="77"/>
      <c r="Q41" s="71"/>
      <c r="R41" s="78" t="s">
        <v>2084</v>
      </c>
    </row>
    <row r="42" customFormat="false" ht="15" hidden="false" customHeight="false" outlineLevel="0" collapsed="false">
      <c r="A42" s="70" t="s">
        <v>2093</v>
      </c>
      <c r="B42" s="71" t="s">
        <v>2081</v>
      </c>
      <c r="C42" s="72" t="s">
        <v>2094</v>
      </c>
      <c r="D42" s="71" t="s">
        <v>2095</v>
      </c>
      <c r="E42" s="71" t="s">
        <v>2096</v>
      </c>
      <c r="F42" s="71" t="s">
        <v>217</v>
      </c>
      <c r="G42" s="73" t="s">
        <v>622</v>
      </c>
      <c r="H42" s="79" t="n">
        <v>950</v>
      </c>
      <c r="I42" s="75" t="n">
        <v>0</v>
      </c>
      <c r="J42" s="76" t="n">
        <f aca="false">IF(H42="","",ROUND(H42*(1+I42),2))</f>
        <v>950</v>
      </c>
      <c r="K42" s="76" t="n">
        <f aca="false">IF(J42="","",ROUND(J42*(1+OHP),2))</f>
        <v>1140</v>
      </c>
      <c r="L42" s="76" t="n">
        <f aca="false">IF(K42="","",ROUND(K42*(1+VAT),2))</f>
        <v>1197</v>
      </c>
      <c r="M42" s="73" t="s">
        <v>89</v>
      </c>
      <c r="N42" s="71"/>
      <c r="O42" s="73"/>
      <c r="P42" s="77"/>
      <c r="Q42" s="71"/>
      <c r="R42" s="78" t="s">
        <v>2097</v>
      </c>
    </row>
    <row r="43" customFormat="false" ht="15" hidden="false" customHeight="false" outlineLevel="0" collapsed="false">
      <c r="A43" s="70" t="s">
        <v>2098</v>
      </c>
      <c r="B43" s="71" t="s">
        <v>2081</v>
      </c>
      <c r="C43" s="72" t="s">
        <v>2099</v>
      </c>
      <c r="D43" s="71" t="s">
        <v>2100</v>
      </c>
      <c r="E43" s="71" t="s">
        <v>684</v>
      </c>
      <c r="F43" s="71" t="s">
        <v>217</v>
      </c>
      <c r="G43" s="73" t="s">
        <v>378</v>
      </c>
      <c r="H43" s="79" t="n">
        <v>160</v>
      </c>
      <c r="I43" s="75" t="n">
        <v>0</v>
      </c>
      <c r="J43" s="76" t="n">
        <f aca="false">IF(H43="","",ROUND(H43*(1+I43),2))</f>
        <v>160</v>
      </c>
      <c r="K43" s="76" t="n">
        <f aca="false">IF(J43="","",ROUND(J43*(1+OHP),2))</f>
        <v>192</v>
      </c>
      <c r="L43" s="76" t="n">
        <f aca="false">IF(K43="","",ROUND(K43*(1+VAT),2))</f>
        <v>201.6</v>
      </c>
      <c r="M43" s="73" t="s">
        <v>89</v>
      </c>
      <c r="N43" s="71"/>
      <c r="O43" s="73"/>
      <c r="P43" s="77"/>
      <c r="Q43" s="71"/>
      <c r="R43" s="78" t="s">
        <v>2101</v>
      </c>
    </row>
    <row r="44" customFormat="false" ht="19.4" hidden="false" customHeight="false" outlineLevel="0" collapsed="false">
      <c r="A44" s="70" t="s">
        <v>2102</v>
      </c>
      <c r="B44" s="71" t="s">
        <v>2081</v>
      </c>
      <c r="C44" s="72" t="s">
        <v>2103</v>
      </c>
      <c r="D44" s="71" t="s">
        <v>1664</v>
      </c>
      <c r="E44" s="71" t="s">
        <v>446</v>
      </c>
      <c r="F44" s="71" t="s">
        <v>349</v>
      </c>
      <c r="G44" s="73" t="s">
        <v>622</v>
      </c>
      <c r="H44" s="79" t="n">
        <v>450</v>
      </c>
      <c r="I44" s="75" t="n">
        <v>0</v>
      </c>
      <c r="J44" s="76" t="n">
        <f aca="false">IF(H44="","",ROUND(H44*(1+I44),2))</f>
        <v>450</v>
      </c>
      <c r="K44" s="76" t="n">
        <f aca="false">IF(J44="","",ROUND(J44*(1+OHP),2))</f>
        <v>540</v>
      </c>
      <c r="L44" s="76" t="n">
        <f aca="false">IF(K44="","",ROUND(K44*(1+VAT),2))</f>
        <v>567</v>
      </c>
      <c r="M44" s="73" t="s">
        <v>89</v>
      </c>
      <c r="N44" s="71"/>
      <c r="O44" s="73"/>
      <c r="P44" s="77"/>
      <c r="Q44" s="71"/>
      <c r="R44" s="78" t="s">
        <v>1665</v>
      </c>
    </row>
    <row r="45" customFormat="false" ht="23.85" hidden="false" customHeight="false" outlineLevel="0" collapsed="false">
      <c r="A45" s="70" t="s">
        <v>2104</v>
      </c>
      <c r="B45" s="71" t="s">
        <v>2105</v>
      </c>
      <c r="C45" s="72" t="s">
        <v>2106</v>
      </c>
      <c r="D45" s="71" t="s">
        <v>2107</v>
      </c>
      <c r="E45" s="71" t="s">
        <v>2108</v>
      </c>
      <c r="F45" s="71" t="s">
        <v>217</v>
      </c>
      <c r="G45" s="73" t="s">
        <v>378</v>
      </c>
      <c r="H45" s="79" t="n">
        <v>650</v>
      </c>
      <c r="I45" s="75" t="n">
        <v>0</v>
      </c>
      <c r="J45" s="76" t="n">
        <f aca="false">IF(H45="","",ROUND(H45*(1+I45),2))</f>
        <v>650</v>
      </c>
      <c r="K45" s="76" t="n">
        <f aca="false">IF(J45="","",ROUND(J45*(1+OHP),2))</f>
        <v>780</v>
      </c>
      <c r="L45" s="76" t="n">
        <f aca="false">IF(K45="","",ROUND(K45*(1+VAT),2))</f>
        <v>819</v>
      </c>
      <c r="M45" s="73" t="s">
        <v>89</v>
      </c>
      <c r="N45" s="71"/>
      <c r="O45" s="73"/>
      <c r="P45" s="77"/>
      <c r="Q45" s="71"/>
      <c r="R45" s="78" t="s">
        <v>2109</v>
      </c>
    </row>
    <row r="46" customFormat="false" ht="23.85" hidden="false" customHeight="false" outlineLevel="0" collapsed="false">
      <c r="A46" s="70" t="s">
        <v>2110</v>
      </c>
      <c r="B46" s="71" t="s">
        <v>2105</v>
      </c>
      <c r="C46" s="72" t="s">
        <v>2111</v>
      </c>
      <c r="D46" s="71" t="s">
        <v>2107</v>
      </c>
      <c r="E46" s="71" t="s">
        <v>877</v>
      </c>
      <c r="F46" s="71" t="s">
        <v>349</v>
      </c>
      <c r="G46" s="73" t="s">
        <v>378</v>
      </c>
      <c r="H46" s="79" t="n">
        <v>1500</v>
      </c>
      <c r="I46" s="75" t="n">
        <v>0</v>
      </c>
      <c r="J46" s="76" t="n">
        <f aca="false">IF(H46="","",ROUND(H46*(1+I46),2))</f>
        <v>1500</v>
      </c>
      <c r="K46" s="76" t="n">
        <f aca="false">IF(J46="","",ROUND(J46*(1+OHP),2))</f>
        <v>1800</v>
      </c>
      <c r="L46" s="76" t="n">
        <f aca="false">IF(K46="","",ROUND(K46*(1+VAT),2))</f>
        <v>1890</v>
      </c>
      <c r="M46" s="73" t="s">
        <v>89</v>
      </c>
      <c r="N46" s="71"/>
      <c r="O46" s="73"/>
      <c r="P46" s="77"/>
      <c r="Q46" s="71"/>
      <c r="R46" s="78" t="s">
        <v>2112</v>
      </c>
    </row>
    <row r="47" customFormat="false" ht="23.85" hidden="false" customHeight="false" outlineLevel="0" collapsed="false">
      <c r="A47" s="70" t="s">
        <v>2113</v>
      </c>
      <c r="B47" s="71" t="s">
        <v>2105</v>
      </c>
      <c r="C47" s="72" t="s">
        <v>2114</v>
      </c>
      <c r="D47" s="71" t="s">
        <v>2115</v>
      </c>
      <c r="E47" s="71" t="s">
        <v>2116</v>
      </c>
      <c r="F47" s="71" t="s">
        <v>217</v>
      </c>
      <c r="G47" s="73" t="s">
        <v>378</v>
      </c>
      <c r="H47" s="79" t="n">
        <v>450</v>
      </c>
      <c r="I47" s="75" t="n">
        <v>0</v>
      </c>
      <c r="J47" s="76" t="n">
        <f aca="false">IF(H47="","",ROUND(H47*(1+I47),2))</f>
        <v>450</v>
      </c>
      <c r="K47" s="76" t="n">
        <f aca="false">IF(J47="","",ROUND(J47*(1+OHP),2))</f>
        <v>540</v>
      </c>
      <c r="L47" s="76" t="n">
        <f aca="false">IF(K47="","",ROUND(K47*(1+VAT),2))</f>
        <v>567</v>
      </c>
      <c r="M47" s="73" t="s">
        <v>89</v>
      </c>
      <c r="N47" s="71"/>
      <c r="O47" s="73"/>
      <c r="P47" s="77"/>
      <c r="Q47" s="71"/>
      <c r="R47" s="78" t="s">
        <v>2117</v>
      </c>
    </row>
    <row r="48" customFormat="false" ht="23.85" hidden="false" customHeight="false" outlineLevel="0" collapsed="false">
      <c r="A48" s="70" t="s">
        <v>2118</v>
      </c>
      <c r="B48" s="71" t="s">
        <v>2105</v>
      </c>
      <c r="C48" s="72" t="s">
        <v>2119</v>
      </c>
      <c r="D48" s="71" t="s">
        <v>2120</v>
      </c>
      <c r="E48" s="71" t="s">
        <v>853</v>
      </c>
      <c r="F48" s="71" t="s">
        <v>349</v>
      </c>
      <c r="G48" s="73" t="s">
        <v>378</v>
      </c>
      <c r="H48" s="79" t="n">
        <v>1650</v>
      </c>
      <c r="I48" s="75" t="n">
        <v>0</v>
      </c>
      <c r="J48" s="76" t="n">
        <f aca="false">IF(H48="","",ROUND(H48*(1+I48),2))</f>
        <v>1650</v>
      </c>
      <c r="K48" s="76" t="n">
        <f aca="false">IF(J48="","",ROUND(J48*(1+OHP),2))</f>
        <v>1980</v>
      </c>
      <c r="L48" s="76" t="n">
        <f aca="false">IF(K48="","",ROUND(K48*(1+VAT),2))</f>
        <v>2079</v>
      </c>
      <c r="M48" s="73" t="s">
        <v>89</v>
      </c>
      <c r="N48" s="71"/>
      <c r="O48" s="73"/>
      <c r="P48" s="77"/>
      <c r="Q48" s="71"/>
      <c r="R48" s="78" t="s">
        <v>987</v>
      </c>
    </row>
    <row r="49" customFormat="false" ht="23.85" hidden="false" customHeight="false" outlineLevel="0" collapsed="false">
      <c r="A49" s="70" t="s">
        <v>2121</v>
      </c>
      <c r="B49" s="71" t="s">
        <v>2105</v>
      </c>
      <c r="C49" s="72" t="s">
        <v>2122</v>
      </c>
      <c r="D49" s="71" t="s">
        <v>2123</v>
      </c>
      <c r="E49" s="71" t="s">
        <v>877</v>
      </c>
      <c r="F49" s="71" t="s">
        <v>217</v>
      </c>
      <c r="G49" s="73" t="s">
        <v>378</v>
      </c>
      <c r="H49" s="79" t="n">
        <v>380</v>
      </c>
      <c r="I49" s="75" t="n">
        <v>0</v>
      </c>
      <c r="J49" s="76" t="n">
        <f aca="false">IF(H49="","",ROUND(H49*(1+I49),2))</f>
        <v>380</v>
      </c>
      <c r="K49" s="76" t="n">
        <f aca="false">IF(J49="","",ROUND(J49*(1+OHP),2))</f>
        <v>456</v>
      </c>
      <c r="L49" s="76" t="n">
        <f aca="false">IF(K49="","",ROUND(K49*(1+VAT),2))</f>
        <v>478.8</v>
      </c>
      <c r="M49" s="73" t="s">
        <v>89</v>
      </c>
      <c r="N49" s="71"/>
      <c r="O49" s="73"/>
      <c r="P49" s="77"/>
      <c r="Q49" s="71"/>
      <c r="R49" s="78" t="s">
        <v>2124</v>
      </c>
    </row>
    <row r="50" customFormat="false" ht="23.85" hidden="false" customHeight="false" outlineLevel="0" collapsed="false">
      <c r="A50" s="70" t="s">
        <v>2125</v>
      </c>
      <c r="B50" s="71" t="s">
        <v>2105</v>
      </c>
      <c r="C50" s="72" t="s">
        <v>2126</v>
      </c>
      <c r="D50" s="71" t="s">
        <v>2127</v>
      </c>
      <c r="E50" s="71" t="s">
        <v>877</v>
      </c>
      <c r="F50" s="71" t="s">
        <v>217</v>
      </c>
      <c r="G50" s="73" t="s">
        <v>378</v>
      </c>
      <c r="H50" s="79" t="n">
        <v>1350</v>
      </c>
      <c r="I50" s="75" t="n">
        <v>0</v>
      </c>
      <c r="J50" s="76" t="n">
        <f aca="false">IF(H50="","",ROUND(H50*(1+I50),2))</f>
        <v>1350</v>
      </c>
      <c r="K50" s="76" t="n">
        <f aca="false">IF(J50="","",ROUND(J50*(1+OHP),2))</f>
        <v>1620</v>
      </c>
      <c r="L50" s="76" t="n">
        <f aca="false">IF(K50="","",ROUND(K50*(1+VAT),2))</f>
        <v>1701</v>
      </c>
      <c r="M50" s="73" t="s">
        <v>89</v>
      </c>
      <c r="N50" s="71"/>
      <c r="O50" s="73"/>
      <c r="P50" s="77"/>
      <c r="Q50" s="71"/>
      <c r="R50" s="78" t="s">
        <v>2128</v>
      </c>
    </row>
    <row r="51" customFormat="false" ht="23.85" hidden="false" customHeight="false" outlineLevel="0" collapsed="false">
      <c r="A51" s="70" t="s">
        <v>2129</v>
      </c>
      <c r="B51" s="71" t="s">
        <v>2105</v>
      </c>
      <c r="C51" s="72" t="s">
        <v>2130</v>
      </c>
      <c r="D51" s="71" t="s">
        <v>2131</v>
      </c>
      <c r="E51" s="71" t="s">
        <v>2132</v>
      </c>
      <c r="F51" s="71" t="s">
        <v>217</v>
      </c>
      <c r="G51" s="73" t="s">
        <v>378</v>
      </c>
      <c r="H51" s="79" t="n">
        <v>2800</v>
      </c>
      <c r="I51" s="75" t="n">
        <v>0</v>
      </c>
      <c r="J51" s="76" t="n">
        <f aca="false">IF(H51="","",ROUND(H51*(1+I51),2))</f>
        <v>2800</v>
      </c>
      <c r="K51" s="76" t="n">
        <f aca="false">IF(J51="","",ROUND(J51*(1+OHP),2))</f>
        <v>3360</v>
      </c>
      <c r="L51" s="76" t="n">
        <f aca="false">IF(K51="","",ROUND(K51*(1+VAT),2))</f>
        <v>3528</v>
      </c>
      <c r="M51" s="73" t="s">
        <v>89</v>
      </c>
      <c r="N51" s="71"/>
      <c r="O51" s="73"/>
      <c r="P51" s="77"/>
      <c r="Q51" s="71"/>
      <c r="R51" s="78" t="s">
        <v>2133</v>
      </c>
    </row>
    <row r="52" customFormat="false" ht="15" hidden="false" customHeight="false" outlineLevel="0" collapsed="false">
      <c r="A52" s="70" t="s">
        <v>2134</v>
      </c>
      <c r="B52" s="71" t="s">
        <v>2135</v>
      </c>
      <c r="C52" s="72" t="s">
        <v>2136</v>
      </c>
      <c r="D52" s="71" t="s">
        <v>2137</v>
      </c>
      <c r="E52" s="71" t="s">
        <v>877</v>
      </c>
      <c r="F52" s="71" t="s">
        <v>217</v>
      </c>
      <c r="G52" s="73" t="s">
        <v>378</v>
      </c>
      <c r="H52" s="79" t="n">
        <v>420</v>
      </c>
      <c r="I52" s="75" t="n">
        <v>0</v>
      </c>
      <c r="J52" s="76" t="n">
        <f aca="false">IF(H52="","",ROUND(H52*(1+I52),2))</f>
        <v>420</v>
      </c>
      <c r="K52" s="76" t="n">
        <f aca="false">IF(J52="","",ROUND(J52*(1+OHP),2))</f>
        <v>504</v>
      </c>
      <c r="L52" s="76" t="n">
        <f aca="false">IF(K52="","",ROUND(K52*(1+VAT),2))</f>
        <v>529.2</v>
      </c>
      <c r="M52" s="73" t="s">
        <v>89</v>
      </c>
      <c r="N52" s="71"/>
      <c r="O52" s="73"/>
      <c r="P52" s="77"/>
      <c r="Q52" s="71"/>
      <c r="R52" s="78" t="s">
        <v>2138</v>
      </c>
    </row>
    <row r="53" customFormat="false" ht="15" hidden="false" customHeight="false" outlineLevel="0" collapsed="false">
      <c r="A53" s="70" t="s">
        <v>2139</v>
      </c>
      <c r="B53" s="71" t="s">
        <v>2135</v>
      </c>
      <c r="C53" s="72" t="s">
        <v>2140</v>
      </c>
      <c r="D53" s="71" t="s">
        <v>2141</v>
      </c>
      <c r="E53" s="71" t="s">
        <v>877</v>
      </c>
      <c r="F53" s="71" t="s">
        <v>453</v>
      </c>
      <c r="G53" s="73" t="s">
        <v>378</v>
      </c>
      <c r="H53" s="79" t="n">
        <v>1200</v>
      </c>
      <c r="I53" s="75" t="n">
        <v>0</v>
      </c>
      <c r="J53" s="76" t="n">
        <f aca="false">IF(H53="","",ROUND(H53*(1+I53),2))</f>
        <v>1200</v>
      </c>
      <c r="K53" s="76" t="n">
        <f aca="false">IF(J53="","",ROUND(J53*(1+OHP),2))</f>
        <v>1440</v>
      </c>
      <c r="L53" s="76" t="n">
        <f aca="false">IF(K53="","",ROUND(K53*(1+VAT),2))</f>
        <v>1512</v>
      </c>
      <c r="M53" s="73" t="s">
        <v>89</v>
      </c>
      <c r="N53" s="71"/>
      <c r="O53" s="73"/>
      <c r="P53" s="77"/>
      <c r="Q53" s="71"/>
      <c r="R53" s="78" t="s">
        <v>2138</v>
      </c>
    </row>
    <row r="54" customFormat="false" ht="15" hidden="false" customHeight="false" outlineLevel="0" collapsed="false">
      <c r="A54" s="70" t="s">
        <v>2142</v>
      </c>
      <c r="B54" s="71" t="s">
        <v>2135</v>
      </c>
      <c r="C54" s="72" t="s">
        <v>2143</v>
      </c>
      <c r="D54" s="71" t="s">
        <v>2144</v>
      </c>
      <c r="E54" s="71" t="s">
        <v>877</v>
      </c>
      <c r="F54" s="71" t="s">
        <v>217</v>
      </c>
      <c r="G54" s="73" t="s">
        <v>378</v>
      </c>
      <c r="H54" s="79" t="n">
        <v>550</v>
      </c>
      <c r="I54" s="75" t="n">
        <v>0</v>
      </c>
      <c r="J54" s="76" t="n">
        <f aca="false">IF(H54="","",ROUND(H54*(1+I54),2))</f>
        <v>550</v>
      </c>
      <c r="K54" s="76" t="n">
        <f aca="false">IF(J54="","",ROUND(J54*(1+OHP),2))</f>
        <v>660</v>
      </c>
      <c r="L54" s="76" t="n">
        <f aca="false">IF(K54="","",ROUND(K54*(1+VAT),2))</f>
        <v>693</v>
      </c>
      <c r="M54" s="73" t="s">
        <v>89</v>
      </c>
      <c r="N54" s="71"/>
      <c r="O54" s="73"/>
      <c r="P54" s="77"/>
      <c r="Q54" s="71"/>
      <c r="R54" s="78" t="s">
        <v>2145</v>
      </c>
    </row>
    <row r="55" customFormat="false" ht="15" hidden="false" customHeight="false" outlineLevel="0" collapsed="false">
      <c r="A55" s="70" t="s">
        <v>2146</v>
      </c>
      <c r="B55" s="71" t="s">
        <v>2135</v>
      </c>
      <c r="C55" s="72" t="s">
        <v>2147</v>
      </c>
      <c r="D55" s="71" t="s">
        <v>2148</v>
      </c>
      <c r="E55" s="71" t="s">
        <v>333</v>
      </c>
      <c r="F55" s="71" t="s">
        <v>217</v>
      </c>
      <c r="G55" s="73" t="s">
        <v>378</v>
      </c>
      <c r="H55" s="79" t="n">
        <v>650</v>
      </c>
      <c r="I55" s="75" t="n">
        <v>0</v>
      </c>
      <c r="J55" s="76" t="n">
        <f aca="false">IF(H55="","",ROUND(H55*(1+I55),2))</f>
        <v>650</v>
      </c>
      <c r="K55" s="76" t="n">
        <f aca="false">IF(J55="","",ROUND(J55*(1+OHP),2))</f>
        <v>780</v>
      </c>
      <c r="L55" s="76" t="n">
        <f aca="false">IF(K55="","",ROUND(K55*(1+VAT),2))</f>
        <v>819</v>
      </c>
      <c r="M55" s="73" t="s">
        <v>89</v>
      </c>
      <c r="N55" s="71"/>
      <c r="O55" s="73"/>
      <c r="P55" s="77"/>
      <c r="Q55" s="71"/>
      <c r="R55" s="78" t="s">
        <v>2149</v>
      </c>
    </row>
    <row r="56" customFormat="false" ht="15" hidden="false" customHeight="false" outlineLevel="0" collapsed="false">
      <c r="A56" s="70" t="s">
        <v>2150</v>
      </c>
      <c r="B56" s="71" t="s">
        <v>2151</v>
      </c>
      <c r="C56" s="72" t="s">
        <v>2152</v>
      </c>
      <c r="D56" s="71" t="s">
        <v>2153</v>
      </c>
      <c r="E56" s="71" t="s">
        <v>2116</v>
      </c>
      <c r="F56" s="71" t="s">
        <v>217</v>
      </c>
      <c r="G56" s="73" t="s">
        <v>198</v>
      </c>
      <c r="H56" s="79" t="n">
        <v>9.5</v>
      </c>
      <c r="I56" s="75" t="n">
        <v>0</v>
      </c>
      <c r="J56" s="76" t="n">
        <f aca="false">IF(H56="","",ROUND(H56*(1+I56),2))</f>
        <v>9.5</v>
      </c>
      <c r="K56" s="76" t="n">
        <f aca="false">IF(J56="","",ROUND(J56*(1+OHP),2))</f>
        <v>11.4</v>
      </c>
      <c r="L56" s="76" t="n">
        <f aca="false">IF(K56="","",ROUND(K56*(1+VAT),2))</f>
        <v>11.97</v>
      </c>
      <c r="M56" s="73" t="s">
        <v>89</v>
      </c>
      <c r="N56" s="71"/>
      <c r="O56" s="73"/>
      <c r="P56" s="77"/>
      <c r="Q56" s="71"/>
      <c r="R56" s="78" t="s">
        <v>2154</v>
      </c>
    </row>
    <row r="57" customFormat="false" ht="15" hidden="false" customHeight="false" outlineLevel="0" collapsed="false">
      <c r="A57" s="70" t="s">
        <v>2155</v>
      </c>
      <c r="B57" s="71" t="s">
        <v>2151</v>
      </c>
      <c r="C57" s="72" t="s">
        <v>2152</v>
      </c>
      <c r="D57" s="71" t="s">
        <v>2156</v>
      </c>
      <c r="E57" s="71" t="s">
        <v>1223</v>
      </c>
      <c r="F57" s="71" t="s">
        <v>217</v>
      </c>
      <c r="G57" s="73" t="s">
        <v>198</v>
      </c>
      <c r="H57" s="79" t="n">
        <v>11.5</v>
      </c>
      <c r="I57" s="75" t="n">
        <v>0</v>
      </c>
      <c r="J57" s="76" t="n">
        <f aca="false">IF(H57="","",ROUND(H57*(1+I57),2))</f>
        <v>11.5</v>
      </c>
      <c r="K57" s="76" t="n">
        <f aca="false">IF(J57="","",ROUND(J57*(1+OHP),2))</f>
        <v>13.8</v>
      </c>
      <c r="L57" s="76" t="n">
        <f aca="false">IF(K57="","",ROUND(K57*(1+VAT),2))</f>
        <v>14.49</v>
      </c>
      <c r="M57" s="73" t="s">
        <v>89</v>
      </c>
      <c r="N57" s="71"/>
      <c r="O57" s="73"/>
      <c r="P57" s="77"/>
      <c r="Q57" s="71"/>
      <c r="R57" s="78" t="s">
        <v>2157</v>
      </c>
    </row>
    <row r="58" customFormat="false" ht="15" hidden="false" customHeight="false" outlineLevel="0" collapsed="false">
      <c r="A58" s="70" t="s">
        <v>2158</v>
      </c>
      <c r="B58" s="71" t="s">
        <v>2151</v>
      </c>
      <c r="C58" s="72" t="s">
        <v>2159</v>
      </c>
      <c r="D58" s="71" t="s">
        <v>2160</v>
      </c>
      <c r="E58" s="71" t="s">
        <v>2116</v>
      </c>
      <c r="F58" s="71" t="s">
        <v>217</v>
      </c>
      <c r="G58" s="73" t="s">
        <v>622</v>
      </c>
      <c r="H58" s="79" t="n">
        <v>650</v>
      </c>
      <c r="I58" s="75" t="n">
        <v>0</v>
      </c>
      <c r="J58" s="76" t="n">
        <f aca="false">IF(H58="","",ROUND(H58*(1+I58),2))</f>
        <v>650</v>
      </c>
      <c r="K58" s="76" t="n">
        <f aca="false">IF(J58="","",ROUND(J58*(1+OHP),2))</f>
        <v>780</v>
      </c>
      <c r="L58" s="76" t="n">
        <f aca="false">IF(K58="","",ROUND(K58*(1+VAT),2))</f>
        <v>819</v>
      </c>
      <c r="M58" s="73" t="s">
        <v>89</v>
      </c>
      <c r="N58" s="71"/>
      <c r="O58" s="73"/>
      <c r="P58" s="77"/>
      <c r="Q58" s="71"/>
      <c r="R58" s="78" t="s">
        <v>2161</v>
      </c>
    </row>
    <row r="59" customFormat="false" ht="15" hidden="false" customHeight="false" outlineLevel="0" collapsed="false">
      <c r="A59" s="70" t="s">
        <v>2162</v>
      </c>
      <c r="B59" s="71" t="s">
        <v>2151</v>
      </c>
      <c r="C59" s="72" t="s">
        <v>2163</v>
      </c>
      <c r="D59" s="71" t="s">
        <v>2164</v>
      </c>
      <c r="E59" s="71" t="s">
        <v>2065</v>
      </c>
      <c r="F59" s="71" t="s">
        <v>217</v>
      </c>
      <c r="G59" s="73" t="s">
        <v>198</v>
      </c>
      <c r="H59" s="79" t="n">
        <v>55</v>
      </c>
      <c r="I59" s="75" t="n">
        <v>0</v>
      </c>
      <c r="J59" s="76" t="n">
        <f aca="false">IF(H59="","",ROUND(H59*(1+I59),2))</f>
        <v>55</v>
      </c>
      <c r="K59" s="76" t="n">
        <f aca="false">IF(J59="","",ROUND(J59*(1+OHP),2))</f>
        <v>66</v>
      </c>
      <c r="L59" s="76" t="n">
        <f aca="false">IF(K59="","",ROUND(K59*(1+VAT),2))</f>
        <v>69.3</v>
      </c>
      <c r="M59" s="73" t="s">
        <v>89</v>
      </c>
      <c r="N59" s="71"/>
      <c r="O59" s="73"/>
      <c r="P59" s="77"/>
      <c r="Q59" s="71"/>
      <c r="R59" s="78" t="s">
        <v>2165</v>
      </c>
    </row>
    <row r="60" customFormat="false" ht="19.4" hidden="false" customHeight="false" outlineLevel="0" collapsed="false">
      <c r="A60" s="70" t="s">
        <v>2166</v>
      </c>
      <c r="B60" s="71" t="s">
        <v>2151</v>
      </c>
      <c r="C60" s="72" t="s">
        <v>2167</v>
      </c>
      <c r="D60" s="71" t="s">
        <v>2168</v>
      </c>
      <c r="E60" s="71" t="s">
        <v>2065</v>
      </c>
      <c r="F60" s="71" t="s">
        <v>217</v>
      </c>
      <c r="G60" s="73" t="s">
        <v>378</v>
      </c>
      <c r="H60" s="79" t="n">
        <v>650</v>
      </c>
      <c r="I60" s="75" t="n">
        <v>0</v>
      </c>
      <c r="J60" s="76" t="n">
        <f aca="false">IF(H60="","",ROUND(H60*(1+I60),2))</f>
        <v>650</v>
      </c>
      <c r="K60" s="76" t="n">
        <f aca="false">IF(J60="","",ROUND(J60*(1+OHP),2))</f>
        <v>780</v>
      </c>
      <c r="L60" s="76" t="n">
        <f aca="false">IF(K60="","",ROUND(K60*(1+VAT),2))</f>
        <v>819</v>
      </c>
      <c r="M60" s="73" t="s">
        <v>89</v>
      </c>
      <c r="N60" s="71"/>
      <c r="O60" s="73"/>
      <c r="P60" s="77"/>
      <c r="Q60" s="71"/>
      <c r="R60" s="78" t="s">
        <v>2169</v>
      </c>
    </row>
    <row r="61" customFormat="false" ht="15" hidden="false" customHeight="false" outlineLevel="0" collapsed="false">
      <c r="A61" s="80" t="str">
        <f aca="false">IF(C61="","","SI-"&amp;TEXT(ROW()-4,"000"))</f>
        <v/>
      </c>
      <c r="B61" s="81"/>
      <c r="C61" s="81"/>
      <c r="D61" s="81"/>
      <c r="E61" s="81"/>
      <c r="F61" s="81"/>
      <c r="G61" s="82"/>
      <c r="H61" s="83"/>
      <c r="I61" s="84"/>
      <c r="J61" s="85" t="str">
        <f aca="false">IF(H61="","",ROUND(H61*(1+I61),2))</f>
        <v/>
      </c>
      <c r="K61" s="85" t="str">
        <f aca="false">IF(J61="","",ROUND(J61*(1+OHP),2))</f>
        <v/>
      </c>
      <c r="L61" s="85" t="str">
        <f aca="false">IF(K61="","",ROUND(K61*(1+VAT),2))</f>
        <v/>
      </c>
      <c r="M61" s="82"/>
      <c r="N61" s="81"/>
      <c r="O61" s="82"/>
      <c r="P61" s="86"/>
      <c r="Q61" s="81"/>
      <c r="R61" s="87"/>
    </row>
    <row r="62" customFormat="false" ht="15" hidden="false" customHeight="false" outlineLevel="0" collapsed="false">
      <c r="A62" s="80" t="str">
        <f aca="false">IF(C62="","","SI-"&amp;TEXT(ROW()-4,"000"))</f>
        <v/>
      </c>
      <c r="B62" s="81"/>
      <c r="C62" s="81"/>
      <c r="D62" s="81"/>
      <c r="E62" s="81"/>
      <c r="F62" s="81"/>
      <c r="G62" s="82"/>
      <c r="H62" s="83"/>
      <c r="I62" s="84"/>
      <c r="J62" s="85" t="str">
        <f aca="false">IF(H62="","",ROUND(H62*(1+I62),2))</f>
        <v/>
      </c>
      <c r="K62" s="85" t="str">
        <f aca="false">IF(J62="","",ROUND(J62*(1+OHP),2))</f>
        <v/>
      </c>
      <c r="L62" s="85" t="str">
        <f aca="false">IF(K62="","",ROUND(K62*(1+VAT),2))</f>
        <v/>
      </c>
      <c r="M62" s="82"/>
      <c r="N62" s="81"/>
      <c r="O62" s="82"/>
      <c r="P62" s="86"/>
      <c r="Q62" s="81"/>
      <c r="R62" s="87"/>
    </row>
    <row r="63" customFormat="false" ht="15" hidden="false" customHeight="false" outlineLevel="0" collapsed="false">
      <c r="A63" s="80" t="str">
        <f aca="false">IF(C63="","","SI-"&amp;TEXT(ROW()-4,"000"))</f>
        <v/>
      </c>
      <c r="B63" s="81"/>
      <c r="C63" s="81"/>
      <c r="D63" s="81"/>
      <c r="E63" s="81"/>
      <c r="F63" s="81"/>
      <c r="G63" s="82"/>
      <c r="H63" s="83"/>
      <c r="I63" s="84"/>
      <c r="J63" s="85" t="str">
        <f aca="false">IF(H63="","",ROUND(H63*(1+I63),2))</f>
        <v/>
      </c>
      <c r="K63" s="85" t="str">
        <f aca="false">IF(J63="","",ROUND(J63*(1+OHP),2))</f>
        <v/>
      </c>
      <c r="L63" s="85" t="str">
        <f aca="false">IF(K63="","",ROUND(K63*(1+VAT),2))</f>
        <v/>
      </c>
      <c r="M63" s="82"/>
      <c r="N63" s="81"/>
      <c r="O63" s="82"/>
      <c r="P63" s="86"/>
      <c r="Q63" s="81"/>
      <c r="R63" s="87"/>
    </row>
    <row r="64" customFormat="false" ht="15" hidden="false" customHeight="false" outlineLevel="0" collapsed="false">
      <c r="A64" s="80" t="str">
        <f aca="false">IF(C64="","","SI-"&amp;TEXT(ROW()-4,"000"))</f>
        <v/>
      </c>
      <c r="B64" s="81"/>
      <c r="C64" s="81"/>
      <c r="D64" s="81"/>
      <c r="E64" s="81"/>
      <c r="F64" s="81"/>
      <c r="G64" s="82"/>
      <c r="H64" s="83"/>
      <c r="I64" s="84"/>
      <c r="J64" s="85" t="str">
        <f aca="false">IF(H64="","",ROUND(H64*(1+I64),2))</f>
        <v/>
      </c>
      <c r="K64" s="85" t="str">
        <f aca="false">IF(J64="","",ROUND(J64*(1+OHP),2))</f>
        <v/>
      </c>
      <c r="L64" s="85" t="str">
        <f aca="false">IF(K64="","",ROUND(K64*(1+VAT),2))</f>
        <v/>
      </c>
      <c r="M64" s="82"/>
      <c r="N64" s="81"/>
      <c r="O64" s="82"/>
      <c r="P64" s="86"/>
      <c r="Q64" s="81"/>
      <c r="R64" s="87"/>
    </row>
    <row r="65" customFormat="false" ht="15" hidden="false" customHeight="false" outlineLevel="0" collapsed="false">
      <c r="A65" s="80" t="str">
        <f aca="false">IF(C65="","","SI-"&amp;TEXT(ROW()-4,"000"))</f>
        <v/>
      </c>
      <c r="B65" s="81"/>
      <c r="C65" s="81"/>
      <c r="D65" s="81"/>
      <c r="E65" s="81"/>
      <c r="F65" s="81"/>
      <c r="G65" s="82"/>
      <c r="H65" s="83"/>
      <c r="I65" s="84"/>
      <c r="J65" s="85" t="str">
        <f aca="false">IF(H65="","",ROUND(H65*(1+I65),2))</f>
        <v/>
      </c>
      <c r="K65" s="85" t="str">
        <f aca="false">IF(J65="","",ROUND(J65*(1+OHP),2))</f>
        <v/>
      </c>
      <c r="L65" s="85" t="str">
        <f aca="false">IF(K65="","",ROUND(K65*(1+VAT),2))</f>
        <v/>
      </c>
      <c r="M65" s="82"/>
      <c r="N65" s="81"/>
      <c r="O65" s="82"/>
      <c r="P65" s="86"/>
      <c r="Q65" s="81"/>
      <c r="R65" s="87"/>
    </row>
    <row r="66" customFormat="false" ht="15" hidden="false" customHeight="false" outlineLevel="0" collapsed="false">
      <c r="A66" s="80" t="str">
        <f aca="false">IF(C66="","","SI-"&amp;TEXT(ROW()-4,"000"))</f>
        <v/>
      </c>
      <c r="B66" s="81"/>
      <c r="C66" s="81"/>
      <c r="D66" s="81"/>
      <c r="E66" s="81"/>
      <c r="F66" s="81"/>
      <c r="G66" s="82"/>
      <c r="H66" s="83"/>
      <c r="I66" s="84"/>
      <c r="J66" s="85" t="str">
        <f aca="false">IF(H66="","",ROUND(H66*(1+I66),2))</f>
        <v/>
      </c>
      <c r="K66" s="85" t="str">
        <f aca="false">IF(J66="","",ROUND(J66*(1+OHP),2))</f>
        <v/>
      </c>
      <c r="L66" s="85" t="str">
        <f aca="false">IF(K66="","",ROUND(K66*(1+VAT),2))</f>
        <v/>
      </c>
      <c r="M66" s="82"/>
      <c r="N66" s="81"/>
      <c r="O66" s="82"/>
      <c r="P66" s="86"/>
      <c r="Q66" s="81"/>
      <c r="R66" s="87"/>
    </row>
    <row r="67" customFormat="false" ht="15" hidden="false" customHeight="false" outlineLevel="0" collapsed="false">
      <c r="A67" s="80" t="str">
        <f aca="false">IF(C67="","","SI-"&amp;TEXT(ROW()-4,"000"))</f>
        <v/>
      </c>
      <c r="B67" s="81"/>
      <c r="C67" s="81"/>
      <c r="D67" s="81"/>
      <c r="E67" s="81"/>
      <c r="F67" s="81"/>
      <c r="G67" s="82"/>
      <c r="H67" s="83"/>
      <c r="I67" s="84"/>
      <c r="J67" s="85" t="str">
        <f aca="false">IF(H67="","",ROUND(H67*(1+I67),2))</f>
        <v/>
      </c>
      <c r="K67" s="85" t="str">
        <f aca="false">IF(J67="","",ROUND(J67*(1+OHP),2))</f>
        <v/>
      </c>
      <c r="L67" s="85" t="str">
        <f aca="false">IF(K67="","",ROUND(K67*(1+VAT),2))</f>
        <v/>
      </c>
      <c r="M67" s="82"/>
      <c r="N67" s="81"/>
      <c r="O67" s="82"/>
      <c r="P67" s="86"/>
      <c r="Q67" s="81"/>
      <c r="R67" s="87"/>
    </row>
    <row r="68" customFormat="false" ht="15" hidden="false" customHeight="false" outlineLevel="0" collapsed="false">
      <c r="A68" s="80" t="str">
        <f aca="false">IF(C68="","","SI-"&amp;TEXT(ROW()-4,"000"))</f>
        <v/>
      </c>
      <c r="B68" s="81"/>
      <c r="C68" s="81"/>
      <c r="D68" s="81"/>
      <c r="E68" s="81"/>
      <c r="F68" s="81"/>
      <c r="G68" s="82"/>
      <c r="H68" s="83"/>
      <c r="I68" s="84"/>
      <c r="J68" s="85" t="str">
        <f aca="false">IF(H68="","",ROUND(H68*(1+I68),2))</f>
        <v/>
      </c>
      <c r="K68" s="85" t="str">
        <f aca="false">IF(J68="","",ROUND(J68*(1+OHP),2))</f>
        <v/>
      </c>
      <c r="L68" s="85" t="str">
        <f aca="false">IF(K68="","",ROUND(K68*(1+VAT),2))</f>
        <v/>
      </c>
      <c r="M68" s="82"/>
      <c r="N68" s="81"/>
      <c r="O68" s="82"/>
      <c r="P68" s="86"/>
      <c r="Q68" s="81"/>
      <c r="R68" s="87"/>
    </row>
    <row r="69" customFormat="false" ht="15" hidden="false" customHeight="false" outlineLevel="0" collapsed="false">
      <c r="A69" s="80" t="str">
        <f aca="false">IF(C69="","","SI-"&amp;TEXT(ROW()-4,"000"))</f>
        <v/>
      </c>
      <c r="B69" s="81"/>
      <c r="C69" s="81"/>
      <c r="D69" s="81"/>
      <c r="E69" s="81"/>
      <c r="F69" s="81"/>
      <c r="G69" s="82"/>
      <c r="H69" s="83"/>
      <c r="I69" s="84"/>
      <c r="J69" s="85" t="str">
        <f aca="false">IF(H69="","",ROUND(H69*(1+I69),2))</f>
        <v/>
      </c>
      <c r="K69" s="85" t="str">
        <f aca="false">IF(J69="","",ROUND(J69*(1+OHP),2))</f>
        <v/>
      </c>
      <c r="L69" s="85" t="str">
        <f aca="false">IF(K69="","",ROUND(K69*(1+VAT),2))</f>
        <v/>
      </c>
      <c r="M69" s="82"/>
      <c r="N69" s="81"/>
      <c r="O69" s="82"/>
      <c r="P69" s="86"/>
      <c r="Q69" s="81"/>
      <c r="R69" s="87"/>
    </row>
    <row r="70" customFormat="false" ht="15" hidden="false" customHeight="false" outlineLevel="0" collapsed="false">
      <c r="A70" s="80" t="str">
        <f aca="false">IF(C70="","","SI-"&amp;TEXT(ROW()-4,"000"))</f>
        <v/>
      </c>
      <c r="B70" s="81"/>
      <c r="C70" s="81"/>
      <c r="D70" s="81"/>
      <c r="E70" s="81"/>
      <c r="F70" s="81"/>
      <c r="G70" s="82"/>
      <c r="H70" s="83"/>
      <c r="I70" s="84"/>
      <c r="J70" s="85" t="str">
        <f aca="false">IF(H70="","",ROUND(H70*(1+I70),2))</f>
        <v/>
      </c>
      <c r="K70" s="85" t="str">
        <f aca="false">IF(J70="","",ROUND(J70*(1+OHP),2))</f>
        <v/>
      </c>
      <c r="L70" s="85" t="str">
        <f aca="false">IF(K70="","",ROUND(K70*(1+VAT),2))</f>
        <v/>
      </c>
      <c r="M70" s="82"/>
      <c r="N70" s="81"/>
      <c r="O70" s="82"/>
      <c r="P70" s="86"/>
      <c r="Q70" s="81"/>
      <c r="R70" s="87"/>
    </row>
    <row r="71" customFormat="false" ht="15" hidden="false" customHeight="false" outlineLevel="0" collapsed="false">
      <c r="A71" s="80" t="str">
        <f aca="false">IF(C71="","","SI-"&amp;TEXT(ROW()-4,"000"))</f>
        <v/>
      </c>
      <c r="B71" s="81"/>
      <c r="C71" s="81"/>
      <c r="D71" s="81"/>
      <c r="E71" s="81"/>
      <c r="F71" s="81"/>
      <c r="G71" s="82"/>
      <c r="H71" s="83"/>
      <c r="I71" s="84"/>
      <c r="J71" s="85" t="str">
        <f aca="false">IF(H71="","",ROUND(H71*(1+I71),2))</f>
        <v/>
      </c>
      <c r="K71" s="85" t="str">
        <f aca="false">IF(J71="","",ROUND(J71*(1+OHP),2))</f>
        <v/>
      </c>
      <c r="L71" s="85" t="str">
        <f aca="false">IF(K71="","",ROUND(K71*(1+VAT),2))</f>
        <v/>
      </c>
      <c r="M71" s="82"/>
      <c r="N71" s="81"/>
      <c r="O71" s="82"/>
      <c r="P71" s="86"/>
      <c r="Q71" s="81"/>
      <c r="R71" s="87"/>
    </row>
    <row r="72" customFormat="false" ht="15" hidden="false" customHeight="false" outlineLevel="0" collapsed="false">
      <c r="A72" s="80" t="str">
        <f aca="false">IF(C72="","","SI-"&amp;TEXT(ROW()-4,"000"))</f>
        <v/>
      </c>
      <c r="B72" s="81"/>
      <c r="C72" s="81"/>
      <c r="D72" s="81"/>
      <c r="E72" s="81"/>
      <c r="F72" s="81"/>
      <c r="G72" s="82"/>
      <c r="H72" s="83"/>
      <c r="I72" s="84"/>
      <c r="J72" s="85" t="str">
        <f aca="false">IF(H72="","",ROUND(H72*(1+I72),2))</f>
        <v/>
      </c>
      <c r="K72" s="85" t="str">
        <f aca="false">IF(J72="","",ROUND(J72*(1+OHP),2))</f>
        <v/>
      </c>
      <c r="L72" s="85" t="str">
        <f aca="false">IF(K72="","",ROUND(K72*(1+VAT),2))</f>
        <v/>
      </c>
      <c r="M72" s="82"/>
      <c r="N72" s="81"/>
      <c r="O72" s="82"/>
      <c r="P72" s="86"/>
      <c r="Q72" s="81"/>
      <c r="R72" s="87"/>
    </row>
    <row r="73" customFormat="false" ht="15" hidden="false" customHeight="false" outlineLevel="0" collapsed="false">
      <c r="A73" s="80" t="str">
        <f aca="false">IF(C73="","","SI-"&amp;TEXT(ROW()-4,"000"))</f>
        <v/>
      </c>
      <c r="B73" s="81"/>
      <c r="C73" s="81"/>
      <c r="D73" s="81"/>
      <c r="E73" s="81"/>
      <c r="F73" s="81"/>
      <c r="G73" s="82"/>
      <c r="H73" s="83"/>
      <c r="I73" s="84"/>
      <c r="J73" s="85" t="str">
        <f aca="false">IF(H73="","",ROUND(H73*(1+I73),2))</f>
        <v/>
      </c>
      <c r="K73" s="85" t="str">
        <f aca="false">IF(J73="","",ROUND(J73*(1+OHP),2))</f>
        <v/>
      </c>
      <c r="L73" s="85" t="str">
        <f aca="false">IF(K73="","",ROUND(K73*(1+VAT),2))</f>
        <v/>
      </c>
      <c r="M73" s="82"/>
      <c r="N73" s="81"/>
      <c r="O73" s="82"/>
      <c r="P73" s="86"/>
      <c r="Q73" s="81"/>
      <c r="R73" s="87"/>
    </row>
    <row r="74" customFormat="false" ht="15" hidden="false" customHeight="false" outlineLevel="0" collapsed="false">
      <c r="A74" s="80" t="str">
        <f aca="false">IF(C74="","","SI-"&amp;TEXT(ROW()-4,"000"))</f>
        <v/>
      </c>
      <c r="B74" s="81"/>
      <c r="C74" s="81"/>
      <c r="D74" s="81"/>
      <c r="E74" s="81"/>
      <c r="F74" s="81"/>
      <c r="G74" s="82"/>
      <c r="H74" s="83"/>
      <c r="I74" s="84"/>
      <c r="J74" s="85" t="str">
        <f aca="false">IF(H74="","",ROUND(H74*(1+I74),2))</f>
        <v/>
      </c>
      <c r="K74" s="85" t="str">
        <f aca="false">IF(J74="","",ROUND(J74*(1+OHP),2))</f>
        <v/>
      </c>
      <c r="L74" s="85" t="str">
        <f aca="false">IF(K74="","",ROUND(K74*(1+VAT),2))</f>
        <v/>
      </c>
      <c r="M74" s="82"/>
      <c r="N74" s="81"/>
      <c r="O74" s="82"/>
      <c r="P74" s="86"/>
      <c r="Q74" s="81"/>
      <c r="R74" s="87"/>
    </row>
    <row r="75" customFormat="false" ht="15" hidden="false" customHeight="false" outlineLevel="0" collapsed="false">
      <c r="A75" s="80" t="str">
        <f aca="false">IF(C75="","","SI-"&amp;TEXT(ROW()-4,"000"))</f>
        <v/>
      </c>
      <c r="B75" s="81"/>
      <c r="C75" s="81"/>
      <c r="D75" s="81"/>
      <c r="E75" s="81"/>
      <c r="F75" s="81"/>
      <c r="G75" s="82"/>
      <c r="H75" s="83"/>
      <c r="I75" s="84"/>
      <c r="J75" s="85" t="str">
        <f aca="false">IF(H75="","",ROUND(H75*(1+I75),2))</f>
        <v/>
      </c>
      <c r="K75" s="85" t="str">
        <f aca="false">IF(J75="","",ROUND(J75*(1+OHP),2))</f>
        <v/>
      </c>
      <c r="L75" s="85" t="str">
        <f aca="false">IF(K75="","",ROUND(K75*(1+VAT),2))</f>
        <v/>
      </c>
      <c r="M75" s="82"/>
      <c r="N75" s="81"/>
      <c r="O75" s="82"/>
      <c r="P75" s="86"/>
      <c r="Q75" s="81"/>
      <c r="R75" s="87"/>
    </row>
  </sheetData>
  <autoFilter ref="A4:R75"/>
  <mergeCells count="2">
    <mergeCell ref="A1:R1"/>
    <mergeCell ref="A2:R2"/>
  </mergeCells>
  <conditionalFormatting sqref="A5:R75">
    <cfRule type="expression" priority="2" aboveAverage="0" equalAverage="0" bottom="0" percent="0" rank="0" text="" dxfId="1">
      <formula>AND($C5&lt;&gt;"",MOD(ROW(),2)=0,$M5&lt;&gt;"Obsolete")</formula>
    </cfRule>
    <cfRule type="expression" priority="3" aboveAverage="0" equalAverage="0" bottom="0" percent="0" rank="0" text="" dxfId="12">
      <formula>$M5="Obsolete"</formula>
    </cfRule>
  </conditionalFormatting>
  <conditionalFormatting sqref="M5:M75">
    <cfRule type="expression" priority="4" aboveAverage="0" equalAverage="0" bottom="0" percent="0" rank="0" text="" dxfId="13">
      <formula>$M5="Indicative"</formula>
    </cfRule>
    <cfRule type="expression" priority="5" aboveAverage="0" equalAverage="0" bottom="0" percent="0" rank="0" text="" dxfId="14">
      <formula>$M5="Quoted"</formula>
    </cfRule>
    <cfRule type="expression" priority="6" aboveAverage="0" equalAverage="0" bottom="0" percent="0" rank="0" text="" dxfId="15">
      <formula>$M5="Verified"</formula>
    </cfRule>
    <cfRule type="expression" priority="7" aboveAverage="0" equalAverage="0" bottom="0" percent="0" rank="0" text="" dxfId="16">
      <formula>$M5="Obsolete"</formula>
    </cfRule>
  </conditionalFormatting>
  <dataValidations count="2">
    <dataValidation allowBlank="true" error="Enter wastage as a percentage, e.g. 5%" errorStyle="stop" operator="between" showDropDown="false" showErrorMessage="false" showInputMessage="false" sqref="I5:I75" type="decimal">
      <formula1>0</formula1>
      <formula2>1</formula2>
    </dataValidation>
    <dataValidation allowBlank="true" errorStyle="stop" operator="between" showDropDown="false" showErrorMessage="false" showInputMessage="false" sqref="M5:M75" type="list">
      <formula1>"Indicative,Quoted,Verified,Obsolete"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&amp;L&amp;8Finished Systems - Budget Supply Install Rates&amp;C&amp;8Page &amp;P of &amp;N</oddFoot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true"/>
  </sheetPr>
  <dimension ref="A1:K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4" min="3" style="0" width="40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7" min="7" style="0" width="26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24"/>
  </cols>
  <sheetData>
    <row r="1" customFormat="false" ht="27.75" hidden="false" customHeight="true" outlineLevel="0" collapsed="false">
      <c r="A1" s="102" t="s">
        <v>2170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</row>
    <row r="3" customFormat="false" ht="23.85" hidden="false" customHeight="false" outlineLevel="0" collapsed="false">
      <c r="A3" s="8" t="s">
        <v>2171</v>
      </c>
      <c r="B3" s="8" t="s">
        <v>7</v>
      </c>
      <c r="C3" s="8" t="s">
        <v>187</v>
      </c>
      <c r="D3" s="8" t="s">
        <v>2172</v>
      </c>
      <c r="E3" s="8" t="s">
        <v>2173</v>
      </c>
      <c r="F3" s="8" t="s">
        <v>2174</v>
      </c>
      <c r="G3" s="8" t="s">
        <v>2175</v>
      </c>
      <c r="H3" s="8" t="s">
        <v>2176</v>
      </c>
      <c r="I3" s="8" t="s">
        <v>2177</v>
      </c>
      <c r="J3" s="8" t="s">
        <v>2178</v>
      </c>
      <c r="K3" s="8" t="s">
        <v>190</v>
      </c>
    </row>
    <row r="4" customFormat="false" ht="15" hidden="false" customHeight="false" outlineLevel="0" collapsed="false">
      <c r="A4" s="103" t="n">
        <f aca="false">IF(C4="","",ROW()-3)</f>
        <v>1</v>
      </c>
      <c r="B4" s="71" t="s">
        <v>2179</v>
      </c>
      <c r="C4" s="71" t="s">
        <v>2180</v>
      </c>
      <c r="D4" s="71" t="s">
        <v>2181</v>
      </c>
      <c r="E4" s="81"/>
      <c r="F4" s="81"/>
      <c r="G4" s="81"/>
      <c r="H4" s="81"/>
      <c r="I4" s="81"/>
      <c r="J4" s="81"/>
      <c r="K4" s="81"/>
    </row>
    <row r="5" customFormat="false" ht="15" hidden="false" customHeight="false" outlineLevel="0" collapsed="false">
      <c r="A5" s="103" t="n">
        <f aca="false">IF(C5="","",ROW()-3)</f>
        <v>2</v>
      </c>
      <c r="B5" s="71" t="s">
        <v>2179</v>
      </c>
      <c r="C5" s="71" t="s">
        <v>2182</v>
      </c>
      <c r="D5" s="71" t="s">
        <v>2183</v>
      </c>
      <c r="E5" s="81"/>
      <c r="F5" s="81"/>
      <c r="G5" s="81"/>
      <c r="H5" s="81"/>
      <c r="I5" s="81"/>
      <c r="J5" s="81"/>
      <c r="K5" s="81"/>
    </row>
    <row r="6" customFormat="false" ht="15" hidden="false" customHeight="false" outlineLevel="0" collapsed="false">
      <c r="A6" s="103" t="n">
        <f aca="false">IF(C6="","",ROW()-3)</f>
        <v>3</v>
      </c>
      <c r="B6" s="71" t="s">
        <v>2179</v>
      </c>
      <c r="C6" s="71" t="s">
        <v>2184</v>
      </c>
      <c r="D6" s="71" t="s">
        <v>2185</v>
      </c>
      <c r="E6" s="81"/>
      <c r="F6" s="81"/>
      <c r="G6" s="81"/>
      <c r="H6" s="81"/>
      <c r="I6" s="81"/>
      <c r="J6" s="81"/>
      <c r="K6" s="81"/>
    </row>
    <row r="7" customFormat="false" ht="15" hidden="false" customHeight="false" outlineLevel="0" collapsed="false">
      <c r="A7" s="103" t="n">
        <f aca="false">IF(C7="","",ROW()-3)</f>
        <v>4</v>
      </c>
      <c r="B7" s="71" t="s">
        <v>2186</v>
      </c>
      <c r="C7" s="71" t="s">
        <v>2187</v>
      </c>
      <c r="D7" s="71" t="s">
        <v>2188</v>
      </c>
      <c r="E7" s="81"/>
      <c r="F7" s="81"/>
      <c r="G7" s="81"/>
      <c r="H7" s="81"/>
      <c r="I7" s="81"/>
      <c r="J7" s="81"/>
      <c r="K7" s="81"/>
    </row>
    <row r="8" customFormat="false" ht="15" hidden="false" customHeight="false" outlineLevel="0" collapsed="false">
      <c r="A8" s="103" t="n">
        <f aca="false">IF(C8="","",ROW()-3)</f>
        <v>5</v>
      </c>
      <c r="B8" s="71" t="s">
        <v>2189</v>
      </c>
      <c r="C8" s="71" t="s">
        <v>2190</v>
      </c>
      <c r="D8" s="71" t="s">
        <v>2191</v>
      </c>
      <c r="E8" s="81"/>
      <c r="F8" s="81"/>
      <c r="G8" s="81"/>
      <c r="H8" s="81"/>
      <c r="I8" s="81"/>
      <c r="J8" s="81"/>
      <c r="K8" s="81"/>
    </row>
    <row r="9" customFormat="false" ht="15" hidden="false" customHeight="false" outlineLevel="0" collapsed="false">
      <c r="A9" s="103" t="n">
        <f aca="false">IF(C9="","",ROW()-3)</f>
        <v>6</v>
      </c>
      <c r="B9" s="71" t="s">
        <v>2192</v>
      </c>
      <c r="C9" s="71" t="s">
        <v>2193</v>
      </c>
      <c r="D9" s="71" t="s">
        <v>2194</v>
      </c>
      <c r="E9" s="81"/>
      <c r="F9" s="81"/>
      <c r="G9" s="81"/>
      <c r="H9" s="81"/>
      <c r="I9" s="81"/>
      <c r="J9" s="81"/>
      <c r="K9" s="81"/>
    </row>
    <row r="10" customFormat="false" ht="15" hidden="false" customHeight="false" outlineLevel="0" collapsed="false">
      <c r="A10" s="103" t="n">
        <f aca="false">IF(C10="","",ROW()-3)</f>
        <v>7</v>
      </c>
      <c r="B10" s="71" t="s">
        <v>2195</v>
      </c>
      <c r="C10" s="71" t="s">
        <v>2196</v>
      </c>
      <c r="D10" s="71" t="s">
        <v>2197</v>
      </c>
      <c r="E10" s="81"/>
      <c r="F10" s="81"/>
      <c r="G10" s="81"/>
      <c r="H10" s="81"/>
      <c r="I10" s="81"/>
      <c r="J10" s="81"/>
      <c r="K10" s="81"/>
    </row>
    <row r="11" customFormat="false" ht="15" hidden="false" customHeight="false" outlineLevel="0" collapsed="false">
      <c r="A11" s="103" t="n">
        <f aca="false">IF(C11="","",ROW()-3)</f>
        <v>8</v>
      </c>
      <c r="B11" s="71" t="s">
        <v>2195</v>
      </c>
      <c r="C11" s="71" t="s">
        <v>2198</v>
      </c>
      <c r="D11" s="71" t="s">
        <v>2199</v>
      </c>
      <c r="E11" s="81"/>
      <c r="F11" s="81"/>
      <c r="G11" s="81"/>
      <c r="H11" s="81"/>
      <c r="I11" s="81"/>
      <c r="J11" s="81"/>
      <c r="K11" s="81"/>
    </row>
    <row r="12" customFormat="false" ht="23.85" hidden="false" customHeight="false" outlineLevel="0" collapsed="false">
      <c r="A12" s="103" t="n">
        <f aca="false">IF(C12="","",ROW()-3)</f>
        <v>9</v>
      </c>
      <c r="B12" s="71" t="s">
        <v>2200</v>
      </c>
      <c r="C12" s="71" t="s">
        <v>2201</v>
      </c>
      <c r="D12" s="71" t="s">
        <v>2202</v>
      </c>
      <c r="E12" s="81"/>
      <c r="F12" s="81"/>
      <c r="G12" s="81"/>
      <c r="H12" s="81"/>
      <c r="I12" s="81"/>
      <c r="J12" s="81"/>
      <c r="K12" s="81"/>
    </row>
    <row r="13" customFormat="false" ht="15" hidden="false" customHeight="false" outlineLevel="0" collapsed="false">
      <c r="A13" s="103" t="n">
        <f aca="false">IF(C13="","",ROW()-3)</f>
        <v>10</v>
      </c>
      <c r="B13" s="71" t="s">
        <v>2200</v>
      </c>
      <c r="C13" s="71" t="s">
        <v>2203</v>
      </c>
      <c r="D13" s="71" t="s">
        <v>2204</v>
      </c>
      <c r="E13" s="81"/>
      <c r="F13" s="81"/>
      <c r="G13" s="81"/>
      <c r="H13" s="81"/>
      <c r="I13" s="81"/>
      <c r="J13" s="81"/>
      <c r="K13" s="81"/>
    </row>
    <row r="14" customFormat="false" ht="15" hidden="false" customHeight="false" outlineLevel="0" collapsed="false">
      <c r="A14" s="103" t="n">
        <f aca="false">IF(C14="","",ROW()-3)</f>
        <v>11</v>
      </c>
      <c r="B14" s="71" t="s">
        <v>2205</v>
      </c>
      <c r="C14" s="71" t="s">
        <v>2206</v>
      </c>
      <c r="D14" s="71" t="s">
        <v>2207</v>
      </c>
      <c r="E14" s="81"/>
      <c r="F14" s="81"/>
      <c r="G14" s="81"/>
      <c r="H14" s="81"/>
      <c r="I14" s="81"/>
      <c r="J14" s="81"/>
      <c r="K14" s="81"/>
    </row>
    <row r="15" customFormat="false" ht="15" hidden="false" customHeight="false" outlineLevel="0" collapsed="false">
      <c r="A15" s="103" t="n">
        <f aca="false">IF(C15="","",ROW()-3)</f>
        <v>12</v>
      </c>
      <c r="B15" s="71" t="s">
        <v>846</v>
      </c>
      <c r="C15" s="71" t="s">
        <v>2208</v>
      </c>
      <c r="D15" s="71" t="s">
        <v>2209</v>
      </c>
      <c r="E15" s="81"/>
      <c r="F15" s="81"/>
      <c r="G15" s="81"/>
      <c r="H15" s="81"/>
      <c r="I15" s="81"/>
      <c r="J15" s="81"/>
      <c r="K15" s="81"/>
    </row>
    <row r="16" customFormat="false" ht="15" hidden="false" customHeight="false" outlineLevel="0" collapsed="false">
      <c r="A16" s="103" t="n">
        <f aca="false">IF(C16="","",ROW()-3)</f>
        <v>13</v>
      </c>
      <c r="B16" s="71" t="s">
        <v>2210</v>
      </c>
      <c r="C16" s="71" t="s">
        <v>2211</v>
      </c>
      <c r="D16" s="71" t="s">
        <v>2212</v>
      </c>
      <c r="E16" s="81"/>
      <c r="F16" s="81"/>
      <c r="G16" s="81"/>
      <c r="H16" s="81"/>
      <c r="I16" s="81"/>
      <c r="J16" s="81"/>
      <c r="K16" s="81"/>
    </row>
    <row r="17" customFormat="false" ht="15" hidden="false" customHeight="false" outlineLevel="0" collapsed="false">
      <c r="A17" s="103" t="n">
        <f aca="false">IF(C17="","",ROW()-3)</f>
        <v>14</v>
      </c>
      <c r="B17" s="71" t="s">
        <v>2210</v>
      </c>
      <c r="C17" s="71" t="s">
        <v>2213</v>
      </c>
      <c r="D17" s="71" t="s">
        <v>2214</v>
      </c>
      <c r="E17" s="81"/>
      <c r="F17" s="81"/>
      <c r="G17" s="81"/>
      <c r="H17" s="81"/>
      <c r="I17" s="81"/>
      <c r="J17" s="81"/>
      <c r="K17" s="81"/>
    </row>
    <row r="18" customFormat="false" ht="15" hidden="false" customHeight="false" outlineLevel="0" collapsed="false">
      <c r="A18" s="103" t="n">
        <f aca="false">IF(C18="","",ROW()-3)</f>
        <v>15</v>
      </c>
      <c r="B18" s="71" t="s">
        <v>2215</v>
      </c>
      <c r="C18" s="71" t="s">
        <v>2216</v>
      </c>
      <c r="D18" s="71" t="s">
        <v>2217</v>
      </c>
      <c r="E18" s="81"/>
      <c r="F18" s="81"/>
      <c r="G18" s="81"/>
      <c r="H18" s="81"/>
      <c r="I18" s="81"/>
      <c r="J18" s="81"/>
      <c r="K18" s="81"/>
    </row>
    <row r="19" customFormat="false" ht="15" hidden="false" customHeight="false" outlineLevel="0" collapsed="false">
      <c r="A19" s="103" t="n">
        <f aca="false">IF(C19="","",ROW()-3)</f>
        <v>16</v>
      </c>
      <c r="B19" s="71" t="s">
        <v>2218</v>
      </c>
      <c r="C19" s="71" t="s">
        <v>2219</v>
      </c>
      <c r="D19" s="71" t="s">
        <v>2220</v>
      </c>
      <c r="E19" s="81"/>
      <c r="F19" s="81"/>
      <c r="G19" s="81"/>
      <c r="H19" s="81"/>
      <c r="I19" s="81"/>
      <c r="J19" s="81"/>
      <c r="K19" s="81"/>
    </row>
    <row r="20" customFormat="false" ht="15" hidden="false" customHeight="false" outlineLevel="0" collapsed="false">
      <c r="A20" s="103" t="n">
        <f aca="false">IF(C20="","",ROW()-3)</f>
        <v>17</v>
      </c>
      <c r="B20" s="71" t="s">
        <v>2218</v>
      </c>
      <c r="C20" s="71" t="s">
        <v>2221</v>
      </c>
      <c r="D20" s="71" t="s">
        <v>2222</v>
      </c>
      <c r="E20" s="81"/>
      <c r="F20" s="81"/>
      <c r="G20" s="81"/>
      <c r="H20" s="81"/>
      <c r="I20" s="81"/>
      <c r="J20" s="81"/>
      <c r="K20" s="81"/>
    </row>
    <row r="21" customFormat="false" ht="15" hidden="false" customHeight="false" outlineLevel="0" collapsed="false">
      <c r="A21" s="103" t="n">
        <f aca="false">IF(C21="","",ROW()-3)</f>
        <v>18</v>
      </c>
      <c r="B21" s="71" t="s">
        <v>2223</v>
      </c>
      <c r="C21" s="71" t="s">
        <v>2224</v>
      </c>
      <c r="D21" s="71" t="s">
        <v>2225</v>
      </c>
      <c r="E21" s="81"/>
      <c r="F21" s="81"/>
      <c r="G21" s="81"/>
      <c r="H21" s="81"/>
      <c r="I21" s="81"/>
      <c r="J21" s="81"/>
      <c r="K21" s="81"/>
    </row>
    <row r="22" customFormat="false" ht="15" hidden="false" customHeight="false" outlineLevel="0" collapsed="false">
      <c r="A22" s="103" t="n">
        <f aca="false">IF(C22="","",ROW()-3)</f>
        <v>19</v>
      </c>
      <c r="B22" s="71" t="s">
        <v>2226</v>
      </c>
      <c r="C22" s="71" t="s">
        <v>2227</v>
      </c>
      <c r="D22" s="71" t="s">
        <v>2228</v>
      </c>
      <c r="E22" s="81"/>
      <c r="F22" s="81"/>
      <c r="G22" s="81"/>
      <c r="H22" s="81"/>
      <c r="I22" s="81"/>
      <c r="J22" s="81"/>
      <c r="K22" s="81"/>
    </row>
    <row r="23" customFormat="false" ht="15" hidden="false" customHeight="false" outlineLevel="0" collapsed="false">
      <c r="A23" s="103" t="n">
        <f aca="false">IF(C23="","",ROW()-3)</f>
        <v>20</v>
      </c>
      <c r="B23" s="71" t="s">
        <v>2229</v>
      </c>
      <c r="C23" s="71" t="s">
        <v>2230</v>
      </c>
      <c r="D23" s="71" t="s">
        <v>2231</v>
      </c>
      <c r="E23" s="81"/>
      <c r="F23" s="81"/>
      <c r="G23" s="81"/>
      <c r="H23" s="81"/>
      <c r="I23" s="81"/>
      <c r="J23" s="81"/>
      <c r="K23" s="81"/>
    </row>
    <row r="24" customFormat="false" ht="15" hidden="false" customHeight="false" outlineLevel="0" collapsed="false">
      <c r="A24" s="103" t="n">
        <f aca="false">IF(C24="","",ROW()-3)</f>
        <v>21</v>
      </c>
      <c r="B24" s="71" t="s">
        <v>2232</v>
      </c>
      <c r="C24" s="71" t="s">
        <v>2233</v>
      </c>
      <c r="D24" s="71" t="s">
        <v>1786</v>
      </c>
      <c r="E24" s="81"/>
      <c r="F24" s="81"/>
      <c r="G24" s="81"/>
      <c r="H24" s="81"/>
      <c r="I24" s="81"/>
      <c r="J24" s="81"/>
      <c r="K24" s="81"/>
    </row>
    <row r="25" customFormat="false" ht="15" hidden="false" customHeight="false" outlineLevel="0" collapsed="false">
      <c r="A25" s="103" t="n">
        <f aca="false">IF(C25="","",ROW()-3)</f>
        <v>22</v>
      </c>
      <c r="B25" s="71" t="s">
        <v>2234</v>
      </c>
      <c r="C25" s="71" t="s">
        <v>2235</v>
      </c>
      <c r="D25" s="71" t="s">
        <v>2236</v>
      </c>
      <c r="E25" s="81"/>
      <c r="F25" s="81"/>
      <c r="G25" s="81"/>
      <c r="H25" s="81"/>
      <c r="I25" s="81"/>
      <c r="J25" s="81"/>
      <c r="K25" s="81"/>
    </row>
    <row r="26" customFormat="false" ht="15" hidden="false" customHeight="false" outlineLevel="0" collapsed="false">
      <c r="A26" s="103" t="str">
        <f aca="false">IF(C26="","",ROW()-3)</f>
        <v/>
      </c>
      <c r="B26" s="81"/>
      <c r="C26" s="81"/>
      <c r="D26" s="81"/>
      <c r="E26" s="81"/>
      <c r="F26" s="81"/>
      <c r="G26" s="81"/>
      <c r="H26" s="81"/>
      <c r="I26" s="81"/>
      <c r="J26" s="81"/>
      <c r="K26" s="81"/>
    </row>
    <row r="27" customFormat="false" ht="15" hidden="false" customHeight="false" outlineLevel="0" collapsed="false">
      <c r="A27" s="103" t="str">
        <f aca="false">IF(C27="","",ROW()-3)</f>
        <v/>
      </c>
      <c r="B27" s="81"/>
      <c r="C27" s="81"/>
      <c r="D27" s="81"/>
      <c r="E27" s="81"/>
      <c r="F27" s="81"/>
      <c r="G27" s="81"/>
      <c r="H27" s="81"/>
      <c r="I27" s="81"/>
      <c r="J27" s="81"/>
      <c r="K27" s="81"/>
    </row>
    <row r="28" customFormat="false" ht="15" hidden="false" customHeight="false" outlineLevel="0" collapsed="false">
      <c r="A28" s="103" t="str">
        <f aca="false">IF(C28="","",ROW()-3)</f>
        <v/>
      </c>
      <c r="B28" s="81"/>
      <c r="C28" s="81"/>
      <c r="D28" s="81"/>
      <c r="E28" s="81"/>
      <c r="F28" s="81"/>
      <c r="G28" s="81"/>
      <c r="H28" s="81"/>
      <c r="I28" s="81"/>
      <c r="J28" s="81"/>
      <c r="K28" s="81"/>
    </row>
    <row r="29" customFormat="false" ht="15" hidden="false" customHeight="false" outlineLevel="0" collapsed="false">
      <c r="A29" s="103" t="str">
        <f aca="false">IF(C29="","",ROW()-3)</f>
        <v/>
      </c>
      <c r="B29" s="81"/>
      <c r="C29" s="81"/>
      <c r="D29" s="81"/>
      <c r="E29" s="81"/>
      <c r="F29" s="81"/>
      <c r="G29" s="81"/>
      <c r="H29" s="81"/>
      <c r="I29" s="81"/>
      <c r="J29" s="81"/>
      <c r="K29" s="81"/>
    </row>
    <row r="30" customFormat="false" ht="15" hidden="false" customHeight="false" outlineLevel="0" collapsed="false">
      <c r="A30" s="103" t="str">
        <f aca="false">IF(C30="","",ROW()-3)</f>
        <v/>
      </c>
      <c r="B30" s="81"/>
      <c r="C30" s="81"/>
      <c r="D30" s="81"/>
      <c r="E30" s="81"/>
      <c r="F30" s="81"/>
      <c r="G30" s="81"/>
      <c r="H30" s="81"/>
      <c r="I30" s="81"/>
      <c r="J30" s="81"/>
      <c r="K30" s="81"/>
    </row>
    <row r="31" customFormat="false" ht="15" hidden="false" customHeight="false" outlineLevel="0" collapsed="false">
      <c r="A31" s="103" t="str">
        <f aca="false">IF(C31="","",ROW()-3)</f>
        <v/>
      </c>
      <c r="B31" s="81"/>
      <c r="C31" s="81"/>
      <c r="D31" s="81"/>
      <c r="E31" s="81"/>
      <c r="F31" s="81"/>
      <c r="G31" s="81"/>
      <c r="H31" s="81"/>
      <c r="I31" s="81"/>
      <c r="J31" s="81"/>
      <c r="K31" s="81"/>
    </row>
    <row r="32" customFormat="false" ht="15" hidden="false" customHeight="false" outlineLevel="0" collapsed="false">
      <c r="A32" s="103" t="str">
        <f aca="false">IF(C32="","",ROW()-3)</f>
        <v/>
      </c>
      <c r="B32" s="81"/>
      <c r="C32" s="81"/>
      <c r="D32" s="81"/>
      <c r="E32" s="81"/>
      <c r="F32" s="81"/>
      <c r="G32" s="81"/>
      <c r="H32" s="81"/>
      <c r="I32" s="81"/>
      <c r="J32" s="81"/>
      <c r="K32" s="81"/>
    </row>
    <row r="33" customFormat="false" ht="15" hidden="false" customHeight="false" outlineLevel="0" collapsed="false">
      <c r="A33" s="103" t="str">
        <f aca="false">IF(C33="","",ROW()-3)</f>
        <v/>
      </c>
      <c r="B33" s="81"/>
      <c r="C33" s="81"/>
      <c r="D33" s="81"/>
      <c r="E33" s="81"/>
      <c r="F33" s="81"/>
      <c r="G33" s="81"/>
      <c r="H33" s="81"/>
      <c r="I33" s="81"/>
      <c r="J33" s="81"/>
      <c r="K33" s="81"/>
    </row>
    <row r="34" customFormat="false" ht="15" hidden="false" customHeight="false" outlineLevel="0" collapsed="false">
      <c r="A34" s="103" t="str">
        <f aca="false">IF(C34="","",ROW()-3)</f>
        <v/>
      </c>
      <c r="B34" s="81"/>
      <c r="C34" s="81"/>
      <c r="D34" s="81"/>
      <c r="E34" s="81"/>
      <c r="F34" s="81"/>
      <c r="G34" s="81"/>
      <c r="H34" s="81"/>
      <c r="I34" s="81"/>
      <c r="J34" s="81"/>
      <c r="K34" s="81"/>
    </row>
    <row r="35" customFormat="false" ht="15" hidden="false" customHeight="false" outlineLevel="0" collapsed="false">
      <c r="A35" s="103" t="str">
        <f aca="false">IF(C35="","",ROW()-3)</f>
        <v/>
      </c>
      <c r="B35" s="81"/>
      <c r="C35" s="81"/>
      <c r="D35" s="81"/>
      <c r="E35" s="81"/>
      <c r="F35" s="81"/>
      <c r="G35" s="81"/>
      <c r="H35" s="81"/>
      <c r="I35" s="81"/>
      <c r="J35" s="81"/>
      <c r="K35" s="81"/>
    </row>
    <row r="36" customFormat="false" ht="15" hidden="false" customHeight="false" outlineLevel="0" collapsed="false">
      <c r="A36" s="103" t="str">
        <f aca="false">IF(C36="","",ROW()-3)</f>
        <v/>
      </c>
      <c r="B36" s="81"/>
      <c r="C36" s="81"/>
      <c r="D36" s="81"/>
      <c r="E36" s="81"/>
      <c r="F36" s="81"/>
      <c r="G36" s="81"/>
      <c r="H36" s="81"/>
      <c r="I36" s="81"/>
      <c r="J36" s="81"/>
      <c r="K36" s="81"/>
    </row>
    <row r="37" customFormat="false" ht="15" hidden="false" customHeight="false" outlineLevel="0" collapsed="false">
      <c r="A37" s="103" t="str">
        <f aca="false">IF(C37="","",ROW()-3)</f>
        <v/>
      </c>
      <c r="B37" s="81"/>
      <c r="C37" s="81"/>
      <c r="D37" s="81"/>
      <c r="E37" s="81"/>
      <c r="F37" s="81"/>
      <c r="G37" s="81"/>
      <c r="H37" s="81"/>
      <c r="I37" s="81"/>
      <c r="J37" s="81"/>
      <c r="K37" s="81"/>
    </row>
    <row r="38" customFormat="false" ht="15" hidden="false" customHeight="false" outlineLevel="0" collapsed="false">
      <c r="A38" s="103" t="str">
        <f aca="false">IF(C38="","",ROW()-3)</f>
        <v/>
      </c>
      <c r="B38" s="81"/>
      <c r="C38" s="81"/>
      <c r="D38" s="81"/>
      <c r="E38" s="81"/>
      <c r="F38" s="81"/>
      <c r="G38" s="81"/>
      <c r="H38" s="81"/>
      <c r="I38" s="81"/>
      <c r="J38" s="81"/>
      <c r="K38" s="81"/>
    </row>
    <row r="39" customFormat="false" ht="15" hidden="false" customHeight="false" outlineLevel="0" collapsed="false">
      <c r="A39" s="103" t="str">
        <f aca="false">IF(C39="","",ROW()-3)</f>
        <v/>
      </c>
      <c r="B39" s="81"/>
      <c r="C39" s="81"/>
      <c r="D39" s="81"/>
      <c r="E39" s="81"/>
      <c r="F39" s="81"/>
      <c r="G39" s="81"/>
      <c r="H39" s="81"/>
      <c r="I39" s="81"/>
      <c r="J39" s="81"/>
      <c r="K39" s="81"/>
    </row>
    <row r="40" customFormat="false" ht="15" hidden="false" customHeight="false" outlineLevel="0" collapsed="false">
      <c r="A40" s="103" t="str">
        <f aca="false">IF(C40="","",ROW()-3)</f>
        <v/>
      </c>
      <c r="B40" s="81"/>
      <c r="C40" s="81"/>
      <c r="D40" s="81"/>
      <c r="E40" s="81"/>
      <c r="F40" s="81"/>
      <c r="G40" s="81"/>
      <c r="H40" s="81"/>
      <c r="I40" s="81"/>
      <c r="J40" s="81"/>
      <c r="K40" s="81"/>
    </row>
    <row r="41" customFormat="false" ht="15" hidden="false" customHeight="false" outlineLevel="0" collapsed="false">
      <c r="A41" s="103" t="str">
        <f aca="false">IF(C41="","",ROW()-3)</f>
        <v/>
      </c>
      <c r="B41" s="81"/>
      <c r="C41" s="81"/>
      <c r="D41" s="81"/>
      <c r="E41" s="81"/>
      <c r="F41" s="81"/>
      <c r="G41" s="81"/>
      <c r="H41" s="81"/>
      <c r="I41" s="81"/>
      <c r="J41" s="81"/>
      <c r="K41" s="81"/>
    </row>
    <row r="42" customFormat="false" ht="15" hidden="false" customHeight="false" outlineLevel="0" collapsed="false">
      <c r="A42" s="103" t="str">
        <f aca="false">IF(C42="","",ROW()-3)</f>
        <v/>
      </c>
      <c r="B42" s="81"/>
      <c r="C42" s="81"/>
      <c r="D42" s="81"/>
      <c r="E42" s="81"/>
      <c r="F42" s="81"/>
      <c r="G42" s="81"/>
      <c r="H42" s="81"/>
      <c r="I42" s="81"/>
      <c r="J42" s="81"/>
      <c r="K42" s="81"/>
    </row>
    <row r="43" customFormat="false" ht="15" hidden="false" customHeight="false" outlineLevel="0" collapsed="false">
      <c r="A43" s="103" t="str">
        <f aca="false">IF(C43="","",ROW()-3)</f>
        <v/>
      </c>
      <c r="B43" s="81"/>
      <c r="C43" s="81"/>
      <c r="D43" s="81"/>
      <c r="E43" s="81"/>
      <c r="F43" s="81"/>
      <c r="G43" s="81"/>
      <c r="H43" s="81"/>
      <c r="I43" s="81"/>
      <c r="J43" s="81"/>
      <c r="K43" s="81"/>
    </row>
    <row r="44" customFormat="false" ht="15" hidden="false" customHeight="false" outlineLevel="0" collapsed="false">
      <c r="A44" s="103" t="str">
        <f aca="false">IF(C44="","",ROW()-3)</f>
        <v/>
      </c>
      <c r="B44" s="81"/>
      <c r="C44" s="81"/>
      <c r="D44" s="81"/>
      <c r="E44" s="81"/>
      <c r="F44" s="81"/>
      <c r="G44" s="81"/>
      <c r="H44" s="81"/>
      <c r="I44" s="81"/>
      <c r="J44" s="81"/>
      <c r="K44" s="81"/>
    </row>
    <row r="45" customFormat="false" ht="15" hidden="false" customHeight="false" outlineLevel="0" collapsed="false">
      <c r="A45" s="103" t="str">
        <f aca="false">IF(C45="","",ROW()-3)</f>
        <v/>
      </c>
      <c r="B45" s="81"/>
      <c r="C45" s="81"/>
      <c r="D45" s="81"/>
      <c r="E45" s="81"/>
      <c r="F45" s="81"/>
      <c r="G45" s="81"/>
      <c r="H45" s="81"/>
      <c r="I45" s="81"/>
      <c r="J45" s="81"/>
      <c r="K45" s="81"/>
    </row>
  </sheetData>
  <autoFilter ref="A3:K45"/>
  <mergeCells count="1">
    <mergeCell ref="A1:K1"/>
  </mergeCells>
  <dataValidations count="1">
    <dataValidation allowBlank="true" errorStyle="stop" operator="between" showDropDown="false" showErrorMessage="false" showInputMessage="false" sqref="J4:J45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K1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40"/>
    <col collapsed="false" customWidth="true" hidden="false" outlineLevel="0" max="5" min="4" style="0" width="13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13"/>
    <col collapsed="false" customWidth="true" hidden="false" outlineLevel="0" max="9" min="9" style="0" width="30"/>
    <col collapsed="false" customWidth="true" hidden="false" outlineLevel="0" max="11" min="10" style="0" width="14"/>
  </cols>
  <sheetData>
    <row r="1" customFormat="false" ht="27.75" hidden="false" customHeight="true" outlineLevel="0" collapsed="false">
      <c r="A1" s="102" t="s">
        <v>2237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</row>
    <row r="3" customFormat="false" ht="23.85" hidden="false" customHeight="false" outlineLevel="0" collapsed="false">
      <c r="A3" s="8" t="s">
        <v>2238</v>
      </c>
      <c r="B3" s="8" t="s">
        <v>110</v>
      </c>
      <c r="C3" s="8" t="s">
        <v>2239</v>
      </c>
      <c r="D3" s="8" t="s">
        <v>2240</v>
      </c>
      <c r="E3" s="8" t="s">
        <v>2241</v>
      </c>
      <c r="F3" s="8" t="s">
        <v>2242</v>
      </c>
      <c r="G3" s="8" t="s">
        <v>187</v>
      </c>
      <c r="H3" s="8" t="s">
        <v>188</v>
      </c>
      <c r="I3" s="8" t="s">
        <v>2243</v>
      </c>
      <c r="J3" s="8" t="s">
        <v>2244</v>
      </c>
      <c r="K3" s="8" t="s">
        <v>2245</v>
      </c>
    </row>
    <row r="4" customFormat="false" ht="15" hidden="false" customHeight="false" outlineLevel="0" collapsed="false">
      <c r="A4" s="77" t="s">
        <v>174</v>
      </c>
      <c r="B4" s="73" t="s">
        <v>423</v>
      </c>
      <c r="C4" s="104" t="str">
        <f aca="false">IF(B4="","",IFERROR(INDEX('ALL ITEMS'!$D$3:$D$764,MATCH(B4,'ALL ITEMS'!$B$3:$B$764,0)),"Code not found"))</f>
        <v>Clear tempered glass</v>
      </c>
      <c r="D4" s="79" t="n">
        <v>115</v>
      </c>
      <c r="E4" s="79" t="n">
        <v>120</v>
      </c>
      <c r="F4" s="105" t="n">
        <f aca="false">IF(OR(D4="",E4="",D4=0),"",(E4-D4)/D4)</f>
        <v>0.0434782608695652</v>
      </c>
      <c r="G4" s="71" t="s">
        <v>2246</v>
      </c>
      <c r="H4" s="73" t="s">
        <v>2247</v>
      </c>
      <c r="I4" s="71" t="s">
        <v>2248</v>
      </c>
      <c r="J4" s="73" t="s">
        <v>2249</v>
      </c>
      <c r="K4" s="73"/>
    </row>
    <row r="5" customFormat="false" ht="15" hidden="false" customHeight="false" outlineLevel="0" collapsed="false">
      <c r="A5" s="77"/>
      <c r="B5" s="73"/>
      <c r="C5" s="104" t="str">
        <f aca="false">IF(B5="","",IFERROR(INDEX('ALL ITEMS'!$D$3:$D$764,MATCH(B5,'ALL ITEMS'!$B$3:$B$764,0)),"Code not found"))</f>
        <v/>
      </c>
      <c r="D5" s="79"/>
      <c r="E5" s="79"/>
      <c r="F5" s="105" t="str">
        <f aca="false">IF(OR(D5="",E5="",D5=0),"",(E5-D5)/D5)</f>
        <v/>
      </c>
      <c r="G5" s="71"/>
      <c r="H5" s="73"/>
      <c r="I5" s="71"/>
      <c r="J5" s="73"/>
      <c r="K5" s="73"/>
    </row>
    <row r="6" customFormat="false" ht="15" hidden="false" customHeight="false" outlineLevel="0" collapsed="false">
      <c r="A6" s="77"/>
      <c r="B6" s="73"/>
      <c r="C6" s="104" t="str">
        <f aca="false">IF(B6="","",IFERROR(INDEX('ALL ITEMS'!$D$3:$D$764,MATCH(B6,'ALL ITEMS'!$B$3:$B$764,0)),"Code not found"))</f>
        <v/>
      </c>
      <c r="D6" s="79"/>
      <c r="E6" s="79"/>
      <c r="F6" s="105" t="str">
        <f aca="false">IF(OR(D6="",E6="",D6=0),"",(E6-D6)/D6)</f>
        <v/>
      </c>
      <c r="G6" s="71"/>
      <c r="H6" s="73"/>
      <c r="I6" s="71"/>
      <c r="J6" s="73"/>
      <c r="K6" s="73"/>
    </row>
    <row r="7" customFormat="false" ht="15" hidden="false" customHeight="false" outlineLevel="0" collapsed="false">
      <c r="A7" s="77"/>
      <c r="B7" s="73"/>
      <c r="C7" s="104" t="str">
        <f aca="false">IF(B7="","",IFERROR(INDEX('ALL ITEMS'!$D$3:$D$764,MATCH(B7,'ALL ITEMS'!$B$3:$B$764,0)),"Code not found"))</f>
        <v/>
      </c>
      <c r="D7" s="79"/>
      <c r="E7" s="79"/>
      <c r="F7" s="105" t="str">
        <f aca="false">IF(OR(D7="",E7="",D7=0),"",(E7-D7)/D7)</f>
        <v/>
      </c>
      <c r="G7" s="71"/>
      <c r="H7" s="73"/>
      <c r="I7" s="71"/>
      <c r="J7" s="73"/>
      <c r="K7" s="73"/>
    </row>
    <row r="8" customFormat="false" ht="15" hidden="false" customHeight="false" outlineLevel="0" collapsed="false">
      <c r="A8" s="77"/>
      <c r="B8" s="73"/>
      <c r="C8" s="104" t="str">
        <f aca="false">IF(B8="","",IFERROR(INDEX('ALL ITEMS'!$D$3:$D$764,MATCH(B8,'ALL ITEMS'!$B$3:$B$764,0)),"Code not found"))</f>
        <v/>
      </c>
      <c r="D8" s="79"/>
      <c r="E8" s="79"/>
      <c r="F8" s="105" t="str">
        <f aca="false">IF(OR(D8="",E8="",D8=0),"",(E8-D8)/D8)</f>
        <v/>
      </c>
      <c r="G8" s="71"/>
      <c r="H8" s="73"/>
      <c r="I8" s="71"/>
      <c r="J8" s="73"/>
      <c r="K8" s="73"/>
    </row>
    <row r="9" customFormat="false" ht="15" hidden="false" customHeight="false" outlineLevel="0" collapsed="false">
      <c r="A9" s="77"/>
      <c r="B9" s="73"/>
      <c r="C9" s="104" t="str">
        <f aca="false">IF(B9="","",IFERROR(INDEX('ALL ITEMS'!$D$3:$D$764,MATCH(B9,'ALL ITEMS'!$B$3:$B$764,0)),"Code not found"))</f>
        <v/>
      </c>
      <c r="D9" s="79"/>
      <c r="E9" s="79"/>
      <c r="F9" s="105" t="str">
        <f aca="false">IF(OR(D9="",E9="",D9=0),"",(E9-D9)/D9)</f>
        <v/>
      </c>
      <c r="G9" s="71"/>
      <c r="H9" s="73"/>
      <c r="I9" s="71"/>
      <c r="J9" s="73"/>
      <c r="K9" s="73"/>
    </row>
    <row r="10" customFormat="false" ht="15" hidden="false" customHeight="false" outlineLevel="0" collapsed="false">
      <c r="A10" s="77"/>
      <c r="B10" s="73"/>
      <c r="C10" s="104" t="str">
        <f aca="false">IF(B10="","",IFERROR(INDEX('ALL ITEMS'!$D$3:$D$764,MATCH(B10,'ALL ITEMS'!$B$3:$B$764,0)),"Code not found"))</f>
        <v/>
      </c>
      <c r="D10" s="79"/>
      <c r="E10" s="79"/>
      <c r="F10" s="105" t="str">
        <f aca="false">IF(OR(D10="",E10="",D10=0),"",(E10-D10)/D10)</f>
        <v/>
      </c>
      <c r="G10" s="71"/>
      <c r="H10" s="73"/>
      <c r="I10" s="71"/>
      <c r="J10" s="73"/>
      <c r="K10" s="73"/>
    </row>
    <row r="11" customFormat="false" ht="15" hidden="false" customHeight="false" outlineLevel="0" collapsed="false">
      <c r="A11" s="77"/>
      <c r="B11" s="73"/>
      <c r="C11" s="104" t="str">
        <f aca="false">IF(B11="","",IFERROR(INDEX('ALL ITEMS'!$D$3:$D$764,MATCH(B11,'ALL ITEMS'!$B$3:$B$764,0)),"Code not found"))</f>
        <v/>
      </c>
      <c r="D11" s="79"/>
      <c r="E11" s="79"/>
      <c r="F11" s="105" t="str">
        <f aca="false">IF(OR(D11="",E11="",D11=0),"",(E11-D11)/D11)</f>
        <v/>
      </c>
      <c r="G11" s="71"/>
      <c r="H11" s="73"/>
      <c r="I11" s="71"/>
      <c r="J11" s="73"/>
      <c r="K11" s="73"/>
    </row>
    <row r="12" customFormat="false" ht="15" hidden="false" customHeight="false" outlineLevel="0" collapsed="false">
      <c r="A12" s="77"/>
      <c r="B12" s="73"/>
      <c r="C12" s="104" t="str">
        <f aca="false">IF(B12="","",IFERROR(INDEX('ALL ITEMS'!$D$3:$D$764,MATCH(B12,'ALL ITEMS'!$B$3:$B$764,0)),"Code not found"))</f>
        <v/>
      </c>
      <c r="D12" s="79"/>
      <c r="E12" s="79"/>
      <c r="F12" s="105" t="str">
        <f aca="false">IF(OR(D12="",E12="",D12=0),"",(E12-D12)/D12)</f>
        <v/>
      </c>
      <c r="G12" s="71"/>
      <c r="H12" s="73"/>
      <c r="I12" s="71"/>
      <c r="J12" s="73"/>
      <c r="K12" s="73"/>
    </row>
    <row r="13" customFormat="false" ht="15" hidden="false" customHeight="false" outlineLevel="0" collapsed="false">
      <c r="A13" s="77"/>
      <c r="B13" s="73"/>
      <c r="C13" s="104" t="str">
        <f aca="false">IF(B13="","",IFERROR(INDEX('ALL ITEMS'!$D$3:$D$764,MATCH(B13,'ALL ITEMS'!$B$3:$B$764,0)),"Code not found"))</f>
        <v/>
      </c>
      <c r="D13" s="79"/>
      <c r="E13" s="79"/>
      <c r="F13" s="105" t="str">
        <f aca="false">IF(OR(D13="",E13="",D13=0),"",(E13-D13)/D13)</f>
        <v/>
      </c>
      <c r="G13" s="71"/>
      <c r="H13" s="73"/>
      <c r="I13" s="71"/>
      <c r="J13" s="73"/>
      <c r="K13" s="73"/>
    </row>
    <row r="14" customFormat="false" ht="15" hidden="false" customHeight="false" outlineLevel="0" collapsed="false">
      <c r="A14" s="77"/>
      <c r="B14" s="73"/>
      <c r="C14" s="104" t="str">
        <f aca="false">IF(B14="","",IFERROR(INDEX('ALL ITEMS'!$D$3:$D$764,MATCH(B14,'ALL ITEMS'!$B$3:$B$764,0)),"Code not found"))</f>
        <v/>
      </c>
      <c r="D14" s="79"/>
      <c r="E14" s="79"/>
      <c r="F14" s="105" t="str">
        <f aca="false">IF(OR(D14="",E14="",D14=0),"",(E14-D14)/D14)</f>
        <v/>
      </c>
      <c r="G14" s="71"/>
      <c r="H14" s="73"/>
      <c r="I14" s="71"/>
      <c r="J14" s="73"/>
      <c r="K14" s="73"/>
    </row>
    <row r="15" customFormat="false" ht="15" hidden="false" customHeight="false" outlineLevel="0" collapsed="false">
      <c r="A15" s="77"/>
      <c r="B15" s="73"/>
      <c r="C15" s="104" t="str">
        <f aca="false">IF(B15="","",IFERROR(INDEX('ALL ITEMS'!$D$3:$D$764,MATCH(B15,'ALL ITEMS'!$B$3:$B$764,0)),"Code not found"))</f>
        <v/>
      </c>
      <c r="D15" s="79"/>
      <c r="E15" s="79"/>
      <c r="F15" s="105" t="str">
        <f aca="false">IF(OR(D15="",E15="",D15=0),"",(E15-D15)/D15)</f>
        <v/>
      </c>
      <c r="G15" s="71"/>
      <c r="H15" s="73"/>
      <c r="I15" s="71"/>
      <c r="J15" s="73"/>
      <c r="K15" s="73"/>
    </row>
    <row r="16" customFormat="false" ht="15" hidden="false" customHeight="false" outlineLevel="0" collapsed="false">
      <c r="A16" s="77"/>
      <c r="B16" s="73"/>
      <c r="C16" s="104" t="str">
        <f aca="false">IF(B16="","",IFERROR(INDEX('ALL ITEMS'!$D$3:$D$764,MATCH(B16,'ALL ITEMS'!$B$3:$B$764,0)),"Code not found"))</f>
        <v/>
      </c>
      <c r="D16" s="79"/>
      <c r="E16" s="79"/>
      <c r="F16" s="105" t="str">
        <f aca="false">IF(OR(D16="",E16="",D16=0),"",(E16-D16)/D16)</f>
        <v/>
      </c>
      <c r="G16" s="71"/>
      <c r="H16" s="73"/>
      <c r="I16" s="71"/>
      <c r="J16" s="73"/>
      <c r="K16" s="73"/>
    </row>
    <row r="17" customFormat="false" ht="15" hidden="false" customHeight="false" outlineLevel="0" collapsed="false">
      <c r="A17" s="77"/>
      <c r="B17" s="73"/>
      <c r="C17" s="104" t="str">
        <f aca="false">IF(B17="","",IFERROR(INDEX('ALL ITEMS'!$D$3:$D$764,MATCH(B17,'ALL ITEMS'!$B$3:$B$764,0)),"Code not found"))</f>
        <v/>
      </c>
      <c r="D17" s="79"/>
      <c r="E17" s="79"/>
      <c r="F17" s="105" t="str">
        <f aca="false">IF(OR(D17="",E17="",D17=0),"",(E17-D17)/D17)</f>
        <v/>
      </c>
      <c r="G17" s="71"/>
      <c r="H17" s="73"/>
      <c r="I17" s="71"/>
      <c r="J17" s="73"/>
      <c r="K17" s="73"/>
    </row>
    <row r="18" customFormat="false" ht="15" hidden="false" customHeight="false" outlineLevel="0" collapsed="false">
      <c r="A18" s="77"/>
      <c r="B18" s="73"/>
      <c r="C18" s="104" t="str">
        <f aca="false">IF(B18="","",IFERROR(INDEX('ALL ITEMS'!$D$3:$D$764,MATCH(B18,'ALL ITEMS'!$B$3:$B$764,0)),"Code not found"))</f>
        <v/>
      </c>
      <c r="D18" s="79"/>
      <c r="E18" s="79"/>
      <c r="F18" s="105" t="str">
        <f aca="false">IF(OR(D18="",E18="",D18=0),"",(E18-D18)/D18)</f>
        <v/>
      </c>
      <c r="G18" s="71"/>
      <c r="H18" s="73"/>
      <c r="I18" s="71"/>
      <c r="J18" s="73"/>
      <c r="K18" s="73"/>
    </row>
    <row r="19" customFormat="false" ht="15" hidden="false" customHeight="false" outlineLevel="0" collapsed="false">
      <c r="A19" s="77"/>
      <c r="B19" s="73"/>
      <c r="C19" s="104" t="str">
        <f aca="false">IF(B19="","",IFERROR(INDEX('ALL ITEMS'!$D$3:$D$764,MATCH(B19,'ALL ITEMS'!$B$3:$B$764,0)),"Code not found"))</f>
        <v/>
      </c>
      <c r="D19" s="79"/>
      <c r="E19" s="79"/>
      <c r="F19" s="105" t="str">
        <f aca="false">IF(OR(D19="",E19="",D19=0),"",(E19-D19)/D19)</f>
        <v/>
      </c>
      <c r="G19" s="71"/>
      <c r="H19" s="73"/>
      <c r="I19" s="71"/>
      <c r="J19" s="73"/>
      <c r="K19" s="73"/>
    </row>
    <row r="20" customFormat="false" ht="15" hidden="false" customHeight="false" outlineLevel="0" collapsed="false">
      <c r="A20" s="77"/>
      <c r="B20" s="73"/>
      <c r="C20" s="104" t="str">
        <f aca="false">IF(B20="","",IFERROR(INDEX('ALL ITEMS'!$D$3:$D$764,MATCH(B20,'ALL ITEMS'!$B$3:$B$764,0)),"Code not found"))</f>
        <v/>
      </c>
      <c r="D20" s="79"/>
      <c r="E20" s="79"/>
      <c r="F20" s="105" t="str">
        <f aca="false">IF(OR(D20="",E20="",D20=0),"",(E20-D20)/D20)</f>
        <v/>
      </c>
      <c r="G20" s="71"/>
      <c r="H20" s="73"/>
      <c r="I20" s="71"/>
      <c r="J20" s="73"/>
      <c r="K20" s="73"/>
    </row>
    <row r="21" customFormat="false" ht="15" hidden="false" customHeight="false" outlineLevel="0" collapsed="false">
      <c r="A21" s="77"/>
      <c r="B21" s="73"/>
      <c r="C21" s="104" t="str">
        <f aca="false">IF(B21="","",IFERROR(INDEX('ALL ITEMS'!$D$3:$D$764,MATCH(B21,'ALL ITEMS'!$B$3:$B$764,0)),"Code not found"))</f>
        <v/>
      </c>
      <c r="D21" s="79"/>
      <c r="E21" s="79"/>
      <c r="F21" s="105" t="str">
        <f aca="false">IF(OR(D21="",E21="",D21=0),"",(E21-D21)/D21)</f>
        <v/>
      </c>
      <c r="G21" s="71"/>
      <c r="H21" s="73"/>
      <c r="I21" s="71"/>
      <c r="J21" s="73"/>
      <c r="K21" s="73"/>
    </row>
    <row r="22" customFormat="false" ht="15" hidden="false" customHeight="false" outlineLevel="0" collapsed="false">
      <c r="A22" s="77"/>
      <c r="B22" s="73"/>
      <c r="C22" s="104" t="str">
        <f aca="false">IF(B22="","",IFERROR(INDEX('ALL ITEMS'!$D$3:$D$764,MATCH(B22,'ALL ITEMS'!$B$3:$B$764,0)),"Code not found"))</f>
        <v/>
      </c>
      <c r="D22" s="79"/>
      <c r="E22" s="79"/>
      <c r="F22" s="105" t="str">
        <f aca="false">IF(OR(D22="",E22="",D22=0),"",(E22-D22)/D22)</f>
        <v/>
      </c>
      <c r="G22" s="71"/>
      <c r="H22" s="73"/>
      <c r="I22" s="71"/>
      <c r="J22" s="73"/>
      <c r="K22" s="73"/>
    </row>
    <row r="23" customFormat="false" ht="15" hidden="false" customHeight="false" outlineLevel="0" collapsed="false">
      <c r="A23" s="77"/>
      <c r="B23" s="73"/>
      <c r="C23" s="104" t="str">
        <f aca="false">IF(B23="","",IFERROR(INDEX('ALL ITEMS'!$D$3:$D$764,MATCH(B23,'ALL ITEMS'!$B$3:$B$764,0)),"Code not found"))</f>
        <v/>
      </c>
      <c r="D23" s="79"/>
      <c r="E23" s="79"/>
      <c r="F23" s="105" t="str">
        <f aca="false">IF(OR(D23="",E23="",D23=0),"",(E23-D23)/D23)</f>
        <v/>
      </c>
      <c r="G23" s="71"/>
      <c r="H23" s="73"/>
      <c r="I23" s="71"/>
      <c r="J23" s="73"/>
      <c r="K23" s="73"/>
    </row>
    <row r="24" customFormat="false" ht="15" hidden="false" customHeight="false" outlineLevel="0" collapsed="false">
      <c r="A24" s="77"/>
      <c r="B24" s="73"/>
      <c r="C24" s="104" t="str">
        <f aca="false">IF(B24="","",IFERROR(INDEX('ALL ITEMS'!$D$3:$D$764,MATCH(B24,'ALL ITEMS'!$B$3:$B$764,0)),"Code not found"))</f>
        <v/>
      </c>
      <c r="D24" s="79"/>
      <c r="E24" s="79"/>
      <c r="F24" s="105" t="str">
        <f aca="false">IF(OR(D24="",E24="",D24=0),"",(E24-D24)/D24)</f>
        <v/>
      </c>
      <c r="G24" s="71"/>
      <c r="H24" s="73"/>
      <c r="I24" s="71"/>
      <c r="J24" s="73"/>
      <c r="K24" s="73"/>
    </row>
    <row r="25" customFormat="false" ht="15" hidden="false" customHeight="false" outlineLevel="0" collapsed="false">
      <c r="A25" s="77"/>
      <c r="B25" s="73"/>
      <c r="C25" s="104" t="str">
        <f aca="false">IF(B25="","",IFERROR(INDEX('ALL ITEMS'!$D$3:$D$764,MATCH(B25,'ALL ITEMS'!$B$3:$B$764,0)),"Code not found"))</f>
        <v/>
      </c>
      <c r="D25" s="79"/>
      <c r="E25" s="79"/>
      <c r="F25" s="105" t="str">
        <f aca="false">IF(OR(D25="",E25="",D25=0),"",(E25-D25)/D25)</f>
        <v/>
      </c>
      <c r="G25" s="71"/>
      <c r="H25" s="73"/>
      <c r="I25" s="71"/>
      <c r="J25" s="73"/>
      <c r="K25" s="73"/>
    </row>
    <row r="26" customFormat="false" ht="15" hidden="false" customHeight="false" outlineLevel="0" collapsed="false">
      <c r="A26" s="77"/>
      <c r="B26" s="73"/>
      <c r="C26" s="104" t="str">
        <f aca="false">IF(B26="","",IFERROR(INDEX('ALL ITEMS'!$D$3:$D$764,MATCH(B26,'ALL ITEMS'!$B$3:$B$764,0)),"Code not found"))</f>
        <v/>
      </c>
      <c r="D26" s="79"/>
      <c r="E26" s="79"/>
      <c r="F26" s="105" t="str">
        <f aca="false">IF(OR(D26="",E26="",D26=0),"",(E26-D26)/D26)</f>
        <v/>
      </c>
      <c r="G26" s="71"/>
      <c r="H26" s="73"/>
      <c r="I26" s="71"/>
      <c r="J26" s="73"/>
      <c r="K26" s="73"/>
    </row>
    <row r="27" customFormat="false" ht="15" hidden="false" customHeight="false" outlineLevel="0" collapsed="false">
      <c r="A27" s="77"/>
      <c r="B27" s="73"/>
      <c r="C27" s="104" t="str">
        <f aca="false">IF(B27="","",IFERROR(INDEX('ALL ITEMS'!$D$3:$D$764,MATCH(B27,'ALL ITEMS'!$B$3:$B$764,0)),"Code not found"))</f>
        <v/>
      </c>
      <c r="D27" s="79"/>
      <c r="E27" s="79"/>
      <c r="F27" s="105" t="str">
        <f aca="false">IF(OR(D27="",E27="",D27=0),"",(E27-D27)/D27)</f>
        <v/>
      </c>
      <c r="G27" s="71"/>
      <c r="H27" s="73"/>
      <c r="I27" s="71"/>
      <c r="J27" s="73"/>
      <c r="K27" s="73"/>
    </row>
    <row r="28" customFormat="false" ht="15" hidden="false" customHeight="false" outlineLevel="0" collapsed="false">
      <c r="A28" s="77"/>
      <c r="B28" s="73"/>
      <c r="C28" s="104" t="str">
        <f aca="false">IF(B28="","",IFERROR(INDEX('ALL ITEMS'!$D$3:$D$764,MATCH(B28,'ALL ITEMS'!$B$3:$B$764,0)),"Code not found"))</f>
        <v/>
      </c>
      <c r="D28" s="79"/>
      <c r="E28" s="79"/>
      <c r="F28" s="105" t="str">
        <f aca="false">IF(OR(D28="",E28="",D28=0),"",(E28-D28)/D28)</f>
        <v/>
      </c>
      <c r="G28" s="71"/>
      <c r="H28" s="73"/>
      <c r="I28" s="71"/>
      <c r="J28" s="73"/>
      <c r="K28" s="73"/>
    </row>
    <row r="29" customFormat="false" ht="15" hidden="false" customHeight="false" outlineLevel="0" collapsed="false">
      <c r="A29" s="77"/>
      <c r="B29" s="73"/>
      <c r="C29" s="104" t="str">
        <f aca="false">IF(B29="","",IFERROR(INDEX('ALL ITEMS'!$D$3:$D$764,MATCH(B29,'ALL ITEMS'!$B$3:$B$764,0)),"Code not found"))</f>
        <v/>
      </c>
      <c r="D29" s="79"/>
      <c r="E29" s="79"/>
      <c r="F29" s="105" t="str">
        <f aca="false">IF(OR(D29="",E29="",D29=0),"",(E29-D29)/D29)</f>
        <v/>
      </c>
      <c r="G29" s="71"/>
      <c r="H29" s="73"/>
      <c r="I29" s="71"/>
      <c r="J29" s="73"/>
      <c r="K29" s="73"/>
    </row>
    <row r="30" customFormat="false" ht="15" hidden="false" customHeight="false" outlineLevel="0" collapsed="false">
      <c r="A30" s="77"/>
      <c r="B30" s="73"/>
      <c r="C30" s="104" t="str">
        <f aca="false">IF(B30="","",IFERROR(INDEX('ALL ITEMS'!$D$3:$D$764,MATCH(B30,'ALL ITEMS'!$B$3:$B$764,0)),"Code not found"))</f>
        <v/>
      </c>
      <c r="D30" s="79"/>
      <c r="E30" s="79"/>
      <c r="F30" s="105" t="str">
        <f aca="false">IF(OR(D30="",E30="",D30=0),"",(E30-D30)/D30)</f>
        <v/>
      </c>
      <c r="G30" s="71"/>
      <c r="H30" s="73"/>
      <c r="I30" s="71"/>
      <c r="J30" s="73"/>
      <c r="K30" s="73"/>
    </row>
    <row r="31" customFormat="false" ht="15" hidden="false" customHeight="false" outlineLevel="0" collapsed="false">
      <c r="A31" s="77"/>
      <c r="B31" s="73"/>
      <c r="C31" s="104" t="str">
        <f aca="false">IF(B31="","",IFERROR(INDEX('ALL ITEMS'!$D$3:$D$764,MATCH(B31,'ALL ITEMS'!$B$3:$B$764,0)),"Code not found"))</f>
        <v/>
      </c>
      <c r="D31" s="79"/>
      <c r="E31" s="79"/>
      <c r="F31" s="105" t="str">
        <f aca="false">IF(OR(D31="",E31="",D31=0),"",(E31-D31)/D31)</f>
        <v/>
      </c>
      <c r="G31" s="71"/>
      <c r="H31" s="73"/>
      <c r="I31" s="71"/>
      <c r="J31" s="73"/>
      <c r="K31" s="73"/>
    </row>
    <row r="32" customFormat="false" ht="15" hidden="false" customHeight="false" outlineLevel="0" collapsed="false">
      <c r="A32" s="77"/>
      <c r="B32" s="73"/>
      <c r="C32" s="104" t="str">
        <f aca="false">IF(B32="","",IFERROR(INDEX('ALL ITEMS'!$D$3:$D$764,MATCH(B32,'ALL ITEMS'!$B$3:$B$764,0)),"Code not found"))</f>
        <v/>
      </c>
      <c r="D32" s="79"/>
      <c r="E32" s="79"/>
      <c r="F32" s="105" t="str">
        <f aca="false">IF(OR(D32="",E32="",D32=0),"",(E32-D32)/D32)</f>
        <v/>
      </c>
      <c r="G32" s="71"/>
      <c r="H32" s="73"/>
      <c r="I32" s="71"/>
      <c r="J32" s="73"/>
      <c r="K32" s="73"/>
    </row>
    <row r="33" customFormat="false" ht="15" hidden="false" customHeight="false" outlineLevel="0" collapsed="false">
      <c r="A33" s="77"/>
      <c r="B33" s="73"/>
      <c r="C33" s="104" t="str">
        <f aca="false">IF(B33="","",IFERROR(INDEX('ALL ITEMS'!$D$3:$D$764,MATCH(B33,'ALL ITEMS'!$B$3:$B$764,0)),"Code not found"))</f>
        <v/>
      </c>
      <c r="D33" s="79"/>
      <c r="E33" s="79"/>
      <c r="F33" s="105" t="str">
        <f aca="false">IF(OR(D33="",E33="",D33=0),"",(E33-D33)/D33)</f>
        <v/>
      </c>
      <c r="G33" s="71"/>
      <c r="H33" s="73"/>
      <c r="I33" s="71"/>
      <c r="J33" s="73"/>
      <c r="K33" s="73"/>
    </row>
    <row r="34" customFormat="false" ht="15" hidden="false" customHeight="false" outlineLevel="0" collapsed="false">
      <c r="A34" s="77"/>
      <c r="B34" s="73"/>
      <c r="C34" s="104" t="str">
        <f aca="false">IF(B34="","",IFERROR(INDEX('ALL ITEMS'!$D$3:$D$764,MATCH(B34,'ALL ITEMS'!$B$3:$B$764,0)),"Code not found"))</f>
        <v/>
      </c>
      <c r="D34" s="79"/>
      <c r="E34" s="79"/>
      <c r="F34" s="105" t="str">
        <f aca="false">IF(OR(D34="",E34="",D34=0),"",(E34-D34)/D34)</f>
        <v/>
      </c>
      <c r="G34" s="71"/>
      <c r="H34" s="73"/>
      <c r="I34" s="71"/>
      <c r="J34" s="73"/>
      <c r="K34" s="73"/>
    </row>
    <row r="35" customFormat="false" ht="15" hidden="false" customHeight="false" outlineLevel="0" collapsed="false">
      <c r="A35" s="77"/>
      <c r="B35" s="73"/>
      <c r="C35" s="104" t="str">
        <f aca="false">IF(B35="","",IFERROR(INDEX('ALL ITEMS'!$D$3:$D$764,MATCH(B35,'ALL ITEMS'!$B$3:$B$764,0)),"Code not found"))</f>
        <v/>
      </c>
      <c r="D35" s="79"/>
      <c r="E35" s="79"/>
      <c r="F35" s="105" t="str">
        <f aca="false">IF(OR(D35="",E35="",D35=0),"",(E35-D35)/D35)</f>
        <v/>
      </c>
      <c r="G35" s="71"/>
      <c r="H35" s="73"/>
      <c r="I35" s="71"/>
      <c r="J35" s="73"/>
      <c r="K35" s="73"/>
    </row>
    <row r="36" customFormat="false" ht="15" hidden="false" customHeight="false" outlineLevel="0" collapsed="false">
      <c r="A36" s="77"/>
      <c r="B36" s="73"/>
      <c r="C36" s="104" t="str">
        <f aca="false">IF(B36="","",IFERROR(INDEX('ALL ITEMS'!$D$3:$D$764,MATCH(B36,'ALL ITEMS'!$B$3:$B$764,0)),"Code not found"))</f>
        <v/>
      </c>
      <c r="D36" s="79"/>
      <c r="E36" s="79"/>
      <c r="F36" s="105" t="str">
        <f aca="false">IF(OR(D36="",E36="",D36=0),"",(E36-D36)/D36)</f>
        <v/>
      </c>
      <c r="G36" s="71"/>
      <c r="H36" s="73"/>
      <c r="I36" s="71"/>
      <c r="J36" s="73"/>
      <c r="K36" s="73"/>
    </row>
    <row r="37" customFormat="false" ht="15" hidden="false" customHeight="false" outlineLevel="0" collapsed="false">
      <c r="A37" s="77"/>
      <c r="B37" s="73"/>
      <c r="C37" s="104" t="str">
        <f aca="false">IF(B37="","",IFERROR(INDEX('ALL ITEMS'!$D$3:$D$764,MATCH(B37,'ALL ITEMS'!$B$3:$B$764,0)),"Code not found"))</f>
        <v/>
      </c>
      <c r="D37" s="79"/>
      <c r="E37" s="79"/>
      <c r="F37" s="105" t="str">
        <f aca="false">IF(OR(D37="",E37="",D37=0),"",(E37-D37)/D37)</f>
        <v/>
      </c>
      <c r="G37" s="71"/>
      <c r="H37" s="73"/>
      <c r="I37" s="71"/>
      <c r="J37" s="73"/>
      <c r="K37" s="73"/>
    </row>
    <row r="38" customFormat="false" ht="15" hidden="false" customHeight="false" outlineLevel="0" collapsed="false">
      <c r="A38" s="77"/>
      <c r="B38" s="73"/>
      <c r="C38" s="104" t="str">
        <f aca="false">IF(B38="","",IFERROR(INDEX('ALL ITEMS'!$D$3:$D$764,MATCH(B38,'ALL ITEMS'!$B$3:$B$764,0)),"Code not found"))</f>
        <v/>
      </c>
      <c r="D38" s="79"/>
      <c r="E38" s="79"/>
      <c r="F38" s="105" t="str">
        <f aca="false">IF(OR(D38="",E38="",D38=0),"",(E38-D38)/D38)</f>
        <v/>
      </c>
      <c r="G38" s="71"/>
      <c r="H38" s="73"/>
      <c r="I38" s="71"/>
      <c r="J38" s="73"/>
      <c r="K38" s="73"/>
    </row>
    <row r="39" customFormat="false" ht="15" hidden="false" customHeight="false" outlineLevel="0" collapsed="false">
      <c r="A39" s="77"/>
      <c r="B39" s="73"/>
      <c r="C39" s="104" t="str">
        <f aca="false">IF(B39="","",IFERROR(INDEX('ALL ITEMS'!$D$3:$D$764,MATCH(B39,'ALL ITEMS'!$B$3:$B$764,0)),"Code not found"))</f>
        <v/>
      </c>
      <c r="D39" s="79"/>
      <c r="E39" s="79"/>
      <c r="F39" s="105" t="str">
        <f aca="false">IF(OR(D39="",E39="",D39=0),"",(E39-D39)/D39)</f>
        <v/>
      </c>
      <c r="G39" s="71"/>
      <c r="H39" s="73"/>
      <c r="I39" s="71"/>
      <c r="J39" s="73"/>
      <c r="K39" s="73"/>
    </row>
    <row r="40" customFormat="false" ht="15" hidden="false" customHeight="false" outlineLevel="0" collapsed="false">
      <c r="A40" s="77"/>
      <c r="B40" s="73"/>
      <c r="C40" s="104" t="str">
        <f aca="false">IF(B40="","",IFERROR(INDEX('ALL ITEMS'!$D$3:$D$764,MATCH(B40,'ALL ITEMS'!$B$3:$B$764,0)),"Code not found"))</f>
        <v/>
      </c>
      <c r="D40" s="79"/>
      <c r="E40" s="79"/>
      <c r="F40" s="105" t="str">
        <f aca="false">IF(OR(D40="",E40="",D40=0),"",(E40-D40)/D40)</f>
        <v/>
      </c>
      <c r="G40" s="71"/>
      <c r="H40" s="73"/>
      <c r="I40" s="71"/>
      <c r="J40" s="73"/>
      <c r="K40" s="73"/>
    </row>
    <row r="41" customFormat="false" ht="15" hidden="false" customHeight="false" outlineLevel="0" collapsed="false">
      <c r="A41" s="77"/>
      <c r="B41" s="73"/>
      <c r="C41" s="104" t="str">
        <f aca="false">IF(B41="","",IFERROR(INDEX('ALL ITEMS'!$D$3:$D$764,MATCH(B41,'ALL ITEMS'!$B$3:$B$764,0)),"Code not found"))</f>
        <v/>
      </c>
      <c r="D41" s="79"/>
      <c r="E41" s="79"/>
      <c r="F41" s="105" t="str">
        <f aca="false">IF(OR(D41="",E41="",D41=0),"",(E41-D41)/D41)</f>
        <v/>
      </c>
      <c r="G41" s="71"/>
      <c r="H41" s="73"/>
      <c r="I41" s="71"/>
      <c r="J41" s="73"/>
      <c r="K41" s="73"/>
    </row>
    <row r="42" customFormat="false" ht="15" hidden="false" customHeight="false" outlineLevel="0" collapsed="false">
      <c r="A42" s="77"/>
      <c r="B42" s="73"/>
      <c r="C42" s="104" t="str">
        <f aca="false">IF(B42="","",IFERROR(INDEX('ALL ITEMS'!$D$3:$D$764,MATCH(B42,'ALL ITEMS'!$B$3:$B$764,0)),"Code not found"))</f>
        <v/>
      </c>
      <c r="D42" s="79"/>
      <c r="E42" s="79"/>
      <c r="F42" s="105" t="str">
        <f aca="false">IF(OR(D42="",E42="",D42=0),"",(E42-D42)/D42)</f>
        <v/>
      </c>
      <c r="G42" s="71"/>
      <c r="H42" s="73"/>
      <c r="I42" s="71"/>
      <c r="J42" s="73"/>
      <c r="K42" s="73"/>
    </row>
    <row r="43" customFormat="false" ht="15" hidden="false" customHeight="false" outlineLevel="0" collapsed="false">
      <c r="A43" s="77"/>
      <c r="B43" s="73"/>
      <c r="C43" s="104" t="str">
        <f aca="false">IF(B43="","",IFERROR(INDEX('ALL ITEMS'!$D$3:$D$764,MATCH(B43,'ALL ITEMS'!$B$3:$B$764,0)),"Code not found"))</f>
        <v/>
      </c>
      <c r="D43" s="79"/>
      <c r="E43" s="79"/>
      <c r="F43" s="105" t="str">
        <f aca="false">IF(OR(D43="",E43="",D43=0),"",(E43-D43)/D43)</f>
        <v/>
      </c>
      <c r="G43" s="71"/>
      <c r="H43" s="73"/>
      <c r="I43" s="71"/>
      <c r="J43" s="73"/>
      <c r="K43" s="73"/>
    </row>
    <row r="44" customFormat="false" ht="15" hidden="false" customHeight="false" outlineLevel="0" collapsed="false">
      <c r="A44" s="77"/>
      <c r="B44" s="73"/>
      <c r="C44" s="104" t="str">
        <f aca="false">IF(B44="","",IFERROR(INDEX('ALL ITEMS'!$D$3:$D$764,MATCH(B44,'ALL ITEMS'!$B$3:$B$764,0)),"Code not found"))</f>
        <v/>
      </c>
      <c r="D44" s="79"/>
      <c r="E44" s="79"/>
      <c r="F44" s="105" t="str">
        <f aca="false">IF(OR(D44="",E44="",D44=0),"",(E44-D44)/D44)</f>
        <v/>
      </c>
      <c r="G44" s="71"/>
      <c r="H44" s="73"/>
      <c r="I44" s="71"/>
      <c r="J44" s="73"/>
      <c r="K44" s="73"/>
    </row>
    <row r="45" customFormat="false" ht="15" hidden="false" customHeight="false" outlineLevel="0" collapsed="false">
      <c r="A45" s="77"/>
      <c r="B45" s="73"/>
      <c r="C45" s="104" t="str">
        <f aca="false">IF(B45="","",IFERROR(INDEX('ALL ITEMS'!$D$3:$D$764,MATCH(B45,'ALL ITEMS'!$B$3:$B$764,0)),"Code not found"))</f>
        <v/>
      </c>
      <c r="D45" s="79"/>
      <c r="E45" s="79"/>
      <c r="F45" s="105" t="str">
        <f aca="false">IF(OR(D45="",E45="",D45=0),"",(E45-D45)/D45)</f>
        <v/>
      </c>
      <c r="G45" s="71"/>
      <c r="H45" s="73"/>
      <c r="I45" s="71"/>
      <c r="J45" s="73"/>
      <c r="K45" s="73"/>
    </row>
    <row r="46" customFormat="false" ht="15" hidden="false" customHeight="false" outlineLevel="0" collapsed="false">
      <c r="A46" s="77"/>
      <c r="B46" s="73"/>
      <c r="C46" s="104" t="str">
        <f aca="false">IF(B46="","",IFERROR(INDEX('ALL ITEMS'!$D$3:$D$764,MATCH(B46,'ALL ITEMS'!$B$3:$B$764,0)),"Code not found"))</f>
        <v/>
      </c>
      <c r="D46" s="79"/>
      <c r="E46" s="79"/>
      <c r="F46" s="105" t="str">
        <f aca="false">IF(OR(D46="",E46="",D46=0),"",(E46-D46)/D46)</f>
        <v/>
      </c>
      <c r="G46" s="71"/>
      <c r="H46" s="73"/>
      <c r="I46" s="71"/>
      <c r="J46" s="73"/>
      <c r="K46" s="73"/>
    </row>
    <row r="47" customFormat="false" ht="15" hidden="false" customHeight="false" outlineLevel="0" collapsed="false">
      <c r="A47" s="77"/>
      <c r="B47" s="73"/>
      <c r="C47" s="104" t="str">
        <f aca="false">IF(B47="","",IFERROR(INDEX('ALL ITEMS'!$D$3:$D$764,MATCH(B47,'ALL ITEMS'!$B$3:$B$764,0)),"Code not found"))</f>
        <v/>
      </c>
      <c r="D47" s="79"/>
      <c r="E47" s="79"/>
      <c r="F47" s="105" t="str">
        <f aca="false">IF(OR(D47="",E47="",D47=0),"",(E47-D47)/D47)</f>
        <v/>
      </c>
      <c r="G47" s="71"/>
      <c r="H47" s="73"/>
      <c r="I47" s="71"/>
      <c r="J47" s="73"/>
      <c r="K47" s="73"/>
    </row>
    <row r="48" customFormat="false" ht="15" hidden="false" customHeight="false" outlineLevel="0" collapsed="false">
      <c r="A48" s="77"/>
      <c r="B48" s="73"/>
      <c r="C48" s="104" t="str">
        <f aca="false">IF(B48="","",IFERROR(INDEX('ALL ITEMS'!$D$3:$D$764,MATCH(B48,'ALL ITEMS'!$B$3:$B$764,0)),"Code not found"))</f>
        <v/>
      </c>
      <c r="D48" s="79"/>
      <c r="E48" s="79"/>
      <c r="F48" s="105" t="str">
        <f aca="false">IF(OR(D48="",E48="",D48=0),"",(E48-D48)/D48)</f>
        <v/>
      </c>
      <c r="G48" s="71"/>
      <c r="H48" s="73"/>
      <c r="I48" s="71"/>
      <c r="J48" s="73"/>
      <c r="K48" s="73"/>
    </row>
    <row r="49" customFormat="false" ht="15" hidden="false" customHeight="false" outlineLevel="0" collapsed="false">
      <c r="A49" s="77"/>
      <c r="B49" s="73"/>
      <c r="C49" s="104" t="str">
        <f aca="false">IF(B49="","",IFERROR(INDEX('ALL ITEMS'!$D$3:$D$764,MATCH(B49,'ALL ITEMS'!$B$3:$B$764,0)),"Code not found"))</f>
        <v/>
      </c>
      <c r="D49" s="79"/>
      <c r="E49" s="79"/>
      <c r="F49" s="105" t="str">
        <f aca="false">IF(OR(D49="",E49="",D49=0),"",(E49-D49)/D49)</f>
        <v/>
      </c>
      <c r="G49" s="71"/>
      <c r="H49" s="73"/>
      <c r="I49" s="71"/>
      <c r="J49" s="73"/>
      <c r="K49" s="73"/>
    </row>
    <row r="50" customFormat="false" ht="15" hidden="false" customHeight="false" outlineLevel="0" collapsed="false">
      <c r="A50" s="77"/>
      <c r="B50" s="73"/>
      <c r="C50" s="104" t="str">
        <f aca="false">IF(B50="","",IFERROR(INDEX('ALL ITEMS'!$D$3:$D$764,MATCH(B50,'ALL ITEMS'!$B$3:$B$764,0)),"Code not found"))</f>
        <v/>
      </c>
      <c r="D50" s="79"/>
      <c r="E50" s="79"/>
      <c r="F50" s="105" t="str">
        <f aca="false">IF(OR(D50="",E50="",D50=0),"",(E50-D50)/D50)</f>
        <v/>
      </c>
      <c r="G50" s="71"/>
      <c r="H50" s="73"/>
      <c r="I50" s="71"/>
      <c r="J50" s="73"/>
      <c r="K50" s="73"/>
    </row>
    <row r="51" customFormat="false" ht="15" hidden="false" customHeight="false" outlineLevel="0" collapsed="false">
      <c r="A51" s="77"/>
      <c r="B51" s="73"/>
      <c r="C51" s="104" t="str">
        <f aca="false">IF(B51="","",IFERROR(INDEX('ALL ITEMS'!$D$3:$D$764,MATCH(B51,'ALL ITEMS'!$B$3:$B$764,0)),"Code not found"))</f>
        <v/>
      </c>
      <c r="D51" s="79"/>
      <c r="E51" s="79"/>
      <c r="F51" s="105" t="str">
        <f aca="false">IF(OR(D51="",E51="",D51=0),"",(E51-D51)/D51)</f>
        <v/>
      </c>
      <c r="G51" s="71"/>
      <c r="H51" s="73"/>
      <c r="I51" s="71"/>
      <c r="J51" s="73"/>
      <c r="K51" s="73"/>
    </row>
    <row r="52" customFormat="false" ht="15" hidden="false" customHeight="false" outlineLevel="0" collapsed="false">
      <c r="A52" s="77"/>
      <c r="B52" s="73"/>
      <c r="C52" s="104" t="str">
        <f aca="false">IF(B52="","",IFERROR(INDEX('ALL ITEMS'!$D$3:$D$764,MATCH(B52,'ALL ITEMS'!$B$3:$B$764,0)),"Code not found"))</f>
        <v/>
      </c>
      <c r="D52" s="79"/>
      <c r="E52" s="79"/>
      <c r="F52" s="105" t="str">
        <f aca="false">IF(OR(D52="",E52="",D52=0),"",(E52-D52)/D52)</f>
        <v/>
      </c>
      <c r="G52" s="71"/>
      <c r="H52" s="73"/>
      <c r="I52" s="71"/>
      <c r="J52" s="73"/>
      <c r="K52" s="73"/>
    </row>
    <row r="53" customFormat="false" ht="15" hidden="false" customHeight="false" outlineLevel="0" collapsed="false">
      <c r="A53" s="77"/>
      <c r="B53" s="73"/>
      <c r="C53" s="104" t="str">
        <f aca="false">IF(B53="","",IFERROR(INDEX('ALL ITEMS'!$D$3:$D$764,MATCH(B53,'ALL ITEMS'!$B$3:$B$764,0)),"Code not found"))</f>
        <v/>
      </c>
      <c r="D53" s="79"/>
      <c r="E53" s="79"/>
      <c r="F53" s="105" t="str">
        <f aca="false">IF(OR(D53="",E53="",D53=0),"",(E53-D53)/D53)</f>
        <v/>
      </c>
      <c r="G53" s="71"/>
      <c r="H53" s="73"/>
      <c r="I53" s="71"/>
      <c r="J53" s="73"/>
      <c r="K53" s="73"/>
    </row>
    <row r="54" customFormat="false" ht="15" hidden="false" customHeight="false" outlineLevel="0" collapsed="false">
      <c r="A54" s="77"/>
      <c r="B54" s="73"/>
      <c r="C54" s="104" t="str">
        <f aca="false">IF(B54="","",IFERROR(INDEX('ALL ITEMS'!$D$3:$D$764,MATCH(B54,'ALL ITEMS'!$B$3:$B$764,0)),"Code not found"))</f>
        <v/>
      </c>
      <c r="D54" s="79"/>
      <c r="E54" s="79"/>
      <c r="F54" s="105" t="str">
        <f aca="false">IF(OR(D54="",E54="",D54=0),"",(E54-D54)/D54)</f>
        <v/>
      </c>
      <c r="G54" s="71"/>
      <c r="H54" s="73"/>
      <c r="I54" s="71"/>
      <c r="J54" s="73"/>
      <c r="K54" s="73"/>
    </row>
    <row r="55" customFormat="false" ht="15" hidden="false" customHeight="false" outlineLevel="0" collapsed="false">
      <c r="A55" s="77"/>
      <c r="B55" s="73"/>
      <c r="C55" s="104" t="str">
        <f aca="false">IF(B55="","",IFERROR(INDEX('ALL ITEMS'!$D$3:$D$764,MATCH(B55,'ALL ITEMS'!$B$3:$B$764,0)),"Code not found"))</f>
        <v/>
      </c>
      <c r="D55" s="79"/>
      <c r="E55" s="79"/>
      <c r="F55" s="105" t="str">
        <f aca="false">IF(OR(D55="",E55="",D55=0),"",(E55-D55)/D55)</f>
        <v/>
      </c>
      <c r="G55" s="71"/>
      <c r="H55" s="73"/>
      <c r="I55" s="71"/>
      <c r="J55" s="73"/>
      <c r="K55" s="73"/>
    </row>
    <row r="56" customFormat="false" ht="15" hidden="false" customHeight="false" outlineLevel="0" collapsed="false">
      <c r="A56" s="77"/>
      <c r="B56" s="73"/>
      <c r="C56" s="104" t="str">
        <f aca="false">IF(B56="","",IFERROR(INDEX('ALL ITEMS'!$D$3:$D$764,MATCH(B56,'ALL ITEMS'!$B$3:$B$764,0)),"Code not found"))</f>
        <v/>
      </c>
      <c r="D56" s="79"/>
      <c r="E56" s="79"/>
      <c r="F56" s="105" t="str">
        <f aca="false">IF(OR(D56="",E56="",D56=0),"",(E56-D56)/D56)</f>
        <v/>
      </c>
      <c r="G56" s="71"/>
      <c r="H56" s="73"/>
      <c r="I56" s="71"/>
      <c r="J56" s="73"/>
      <c r="K56" s="73"/>
    </row>
    <row r="57" customFormat="false" ht="15" hidden="false" customHeight="false" outlineLevel="0" collapsed="false">
      <c r="A57" s="77"/>
      <c r="B57" s="73"/>
      <c r="C57" s="104" t="str">
        <f aca="false">IF(B57="","",IFERROR(INDEX('ALL ITEMS'!$D$3:$D$764,MATCH(B57,'ALL ITEMS'!$B$3:$B$764,0)),"Code not found"))</f>
        <v/>
      </c>
      <c r="D57" s="79"/>
      <c r="E57" s="79"/>
      <c r="F57" s="105" t="str">
        <f aca="false">IF(OR(D57="",E57="",D57=0),"",(E57-D57)/D57)</f>
        <v/>
      </c>
      <c r="G57" s="71"/>
      <c r="H57" s="73"/>
      <c r="I57" s="71"/>
      <c r="J57" s="73"/>
      <c r="K57" s="73"/>
    </row>
    <row r="58" customFormat="false" ht="15" hidden="false" customHeight="false" outlineLevel="0" collapsed="false">
      <c r="A58" s="77"/>
      <c r="B58" s="73"/>
      <c r="C58" s="104" t="str">
        <f aca="false">IF(B58="","",IFERROR(INDEX('ALL ITEMS'!$D$3:$D$764,MATCH(B58,'ALL ITEMS'!$B$3:$B$764,0)),"Code not found"))</f>
        <v/>
      </c>
      <c r="D58" s="79"/>
      <c r="E58" s="79"/>
      <c r="F58" s="105" t="str">
        <f aca="false">IF(OR(D58="",E58="",D58=0),"",(E58-D58)/D58)</f>
        <v/>
      </c>
      <c r="G58" s="71"/>
      <c r="H58" s="73"/>
      <c r="I58" s="71"/>
      <c r="J58" s="73"/>
      <c r="K58" s="73"/>
    </row>
    <row r="59" customFormat="false" ht="15" hidden="false" customHeight="false" outlineLevel="0" collapsed="false">
      <c r="A59" s="77"/>
      <c r="B59" s="73"/>
      <c r="C59" s="104" t="str">
        <f aca="false">IF(B59="","",IFERROR(INDEX('ALL ITEMS'!$D$3:$D$764,MATCH(B59,'ALL ITEMS'!$B$3:$B$764,0)),"Code not found"))</f>
        <v/>
      </c>
      <c r="D59" s="79"/>
      <c r="E59" s="79"/>
      <c r="F59" s="105" t="str">
        <f aca="false">IF(OR(D59="",E59="",D59=0),"",(E59-D59)/D59)</f>
        <v/>
      </c>
      <c r="G59" s="71"/>
      <c r="H59" s="73"/>
      <c r="I59" s="71"/>
      <c r="J59" s="73"/>
      <c r="K59" s="73"/>
    </row>
    <row r="60" customFormat="false" ht="15" hidden="false" customHeight="false" outlineLevel="0" collapsed="false">
      <c r="A60" s="77"/>
      <c r="B60" s="73"/>
      <c r="C60" s="104" t="str">
        <f aca="false">IF(B60="","",IFERROR(INDEX('ALL ITEMS'!$D$3:$D$764,MATCH(B60,'ALL ITEMS'!$B$3:$B$764,0)),"Code not found"))</f>
        <v/>
      </c>
      <c r="D60" s="79"/>
      <c r="E60" s="79"/>
      <c r="F60" s="105" t="str">
        <f aca="false">IF(OR(D60="",E60="",D60=0),"",(E60-D60)/D60)</f>
        <v/>
      </c>
      <c r="G60" s="71"/>
      <c r="H60" s="73"/>
      <c r="I60" s="71"/>
      <c r="J60" s="73"/>
      <c r="K60" s="73"/>
    </row>
    <row r="61" customFormat="false" ht="15" hidden="false" customHeight="false" outlineLevel="0" collapsed="false">
      <c r="A61" s="77"/>
      <c r="B61" s="73"/>
      <c r="C61" s="104" t="str">
        <f aca="false">IF(B61="","",IFERROR(INDEX('ALL ITEMS'!$D$3:$D$764,MATCH(B61,'ALL ITEMS'!$B$3:$B$764,0)),"Code not found"))</f>
        <v/>
      </c>
      <c r="D61" s="79"/>
      <c r="E61" s="79"/>
      <c r="F61" s="105" t="str">
        <f aca="false">IF(OR(D61="",E61="",D61=0),"",(E61-D61)/D61)</f>
        <v/>
      </c>
      <c r="G61" s="71"/>
      <c r="H61" s="73"/>
      <c r="I61" s="71"/>
      <c r="J61" s="73"/>
      <c r="K61" s="73"/>
    </row>
    <row r="62" customFormat="false" ht="15" hidden="false" customHeight="false" outlineLevel="0" collapsed="false">
      <c r="A62" s="77"/>
      <c r="B62" s="73"/>
      <c r="C62" s="104" t="str">
        <f aca="false">IF(B62="","",IFERROR(INDEX('ALL ITEMS'!$D$3:$D$764,MATCH(B62,'ALL ITEMS'!$B$3:$B$764,0)),"Code not found"))</f>
        <v/>
      </c>
      <c r="D62" s="79"/>
      <c r="E62" s="79"/>
      <c r="F62" s="105" t="str">
        <f aca="false">IF(OR(D62="",E62="",D62=0),"",(E62-D62)/D62)</f>
        <v/>
      </c>
      <c r="G62" s="71"/>
      <c r="H62" s="73"/>
      <c r="I62" s="71"/>
      <c r="J62" s="73"/>
      <c r="K62" s="73"/>
    </row>
    <row r="63" customFormat="false" ht="15" hidden="false" customHeight="false" outlineLevel="0" collapsed="false">
      <c r="A63" s="77"/>
      <c r="B63" s="73"/>
      <c r="C63" s="104" t="str">
        <f aca="false">IF(B63="","",IFERROR(INDEX('ALL ITEMS'!$D$3:$D$764,MATCH(B63,'ALL ITEMS'!$B$3:$B$764,0)),"Code not found"))</f>
        <v/>
      </c>
      <c r="D63" s="79"/>
      <c r="E63" s="79"/>
      <c r="F63" s="105" t="str">
        <f aca="false">IF(OR(D63="",E63="",D63=0),"",(E63-D63)/D63)</f>
        <v/>
      </c>
      <c r="G63" s="71"/>
      <c r="H63" s="73"/>
      <c r="I63" s="71"/>
      <c r="J63" s="73"/>
      <c r="K63" s="73"/>
    </row>
    <row r="64" customFormat="false" ht="15" hidden="false" customHeight="false" outlineLevel="0" collapsed="false">
      <c r="A64" s="77"/>
      <c r="B64" s="73"/>
      <c r="C64" s="104" t="str">
        <f aca="false">IF(B64="","",IFERROR(INDEX('ALL ITEMS'!$D$3:$D$764,MATCH(B64,'ALL ITEMS'!$B$3:$B$764,0)),"Code not found"))</f>
        <v/>
      </c>
      <c r="D64" s="79"/>
      <c r="E64" s="79"/>
      <c r="F64" s="105" t="str">
        <f aca="false">IF(OR(D64="",E64="",D64=0),"",(E64-D64)/D64)</f>
        <v/>
      </c>
      <c r="G64" s="71"/>
      <c r="H64" s="73"/>
      <c r="I64" s="71"/>
      <c r="J64" s="73"/>
      <c r="K64" s="73"/>
    </row>
    <row r="65" customFormat="false" ht="15" hidden="false" customHeight="false" outlineLevel="0" collapsed="false">
      <c r="A65" s="77"/>
      <c r="B65" s="73"/>
      <c r="C65" s="104" t="str">
        <f aca="false">IF(B65="","",IFERROR(INDEX('ALL ITEMS'!$D$3:$D$764,MATCH(B65,'ALL ITEMS'!$B$3:$B$764,0)),"Code not found"))</f>
        <v/>
      </c>
      <c r="D65" s="79"/>
      <c r="E65" s="79"/>
      <c r="F65" s="105" t="str">
        <f aca="false">IF(OR(D65="",E65="",D65=0),"",(E65-D65)/D65)</f>
        <v/>
      </c>
      <c r="G65" s="71"/>
      <c r="H65" s="73"/>
      <c r="I65" s="71"/>
      <c r="J65" s="73"/>
      <c r="K65" s="73"/>
    </row>
    <row r="66" customFormat="false" ht="15" hidden="false" customHeight="false" outlineLevel="0" collapsed="false">
      <c r="A66" s="77"/>
      <c r="B66" s="73"/>
      <c r="C66" s="104" t="str">
        <f aca="false">IF(B66="","",IFERROR(INDEX('ALL ITEMS'!$D$3:$D$764,MATCH(B66,'ALL ITEMS'!$B$3:$B$764,0)),"Code not found"))</f>
        <v/>
      </c>
      <c r="D66" s="79"/>
      <c r="E66" s="79"/>
      <c r="F66" s="105" t="str">
        <f aca="false">IF(OR(D66="",E66="",D66=0),"",(E66-D66)/D66)</f>
        <v/>
      </c>
      <c r="G66" s="71"/>
      <c r="H66" s="73"/>
      <c r="I66" s="71"/>
      <c r="J66" s="73"/>
      <c r="K66" s="73"/>
    </row>
    <row r="67" customFormat="false" ht="15" hidden="false" customHeight="false" outlineLevel="0" collapsed="false">
      <c r="A67" s="77"/>
      <c r="B67" s="73"/>
      <c r="C67" s="104" t="str">
        <f aca="false">IF(B67="","",IFERROR(INDEX('ALL ITEMS'!$D$3:$D$764,MATCH(B67,'ALL ITEMS'!$B$3:$B$764,0)),"Code not found"))</f>
        <v/>
      </c>
      <c r="D67" s="79"/>
      <c r="E67" s="79"/>
      <c r="F67" s="105" t="str">
        <f aca="false">IF(OR(D67="",E67="",D67=0),"",(E67-D67)/D67)</f>
        <v/>
      </c>
      <c r="G67" s="71"/>
      <c r="H67" s="73"/>
      <c r="I67" s="71"/>
      <c r="J67" s="73"/>
      <c r="K67" s="73"/>
    </row>
    <row r="68" customFormat="false" ht="15" hidden="false" customHeight="false" outlineLevel="0" collapsed="false">
      <c r="A68" s="77"/>
      <c r="B68" s="73"/>
      <c r="C68" s="104" t="str">
        <f aca="false">IF(B68="","",IFERROR(INDEX('ALL ITEMS'!$D$3:$D$764,MATCH(B68,'ALL ITEMS'!$B$3:$B$764,0)),"Code not found"))</f>
        <v/>
      </c>
      <c r="D68" s="79"/>
      <c r="E68" s="79"/>
      <c r="F68" s="105" t="str">
        <f aca="false">IF(OR(D68="",E68="",D68=0),"",(E68-D68)/D68)</f>
        <v/>
      </c>
      <c r="G68" s="71"/>
      <c r="H68" s="73"/>
      <c r="I68" s="71"/>
      <c r="J68" s="73"/>
      <c r="K68" s="73"/>
    </row>
    <row r="69" customFormat="false" ht="15" hidden="false" customHeight="false" outlineLevel="0" collapsed="false">
      <c r="A69" s="77"/>
      <c r="B69" s="73"/>
      <c r="C69" s="104" t="str">
        <f aca="false">IF(B69="","",IFERROR(INDEX('ALL ITEMS'!$D$3:$D$764,MATCH(B69,'ALL ITEMS'!$B$3:$B$764,0)),"Code not found"))</f>
        <v/>
      </c>
      <c r="D69" s="79"/>
      <c r="E69" s="79"/>
      <c r="F69" s="105" t="str">
        <f aca="false">IF(OR(D69="",E69="",D69=0),"",(E69-D69)/D69)</f>
        <v/>
      </c>
      <c r="G69" s="71"/>
      <c r="H69" s="73"/>
      <c r="I69" s="71"/>
      <c r="J69" s="73"/>
      <c r="K69" s="73"/>
    </row>
    <row r="70" customFormat="false" ht="15" hidden="false" customHeight="false" outlineLevel="0" collapsed="false">
      <c r="A70" s="77"/>
      <c r="B70" s="73"/>
      <c r="C70" s="104" t="str">
        <f aca="false">IF(B70="","",IFERROR(INDEX('ALL ITEMS'!$D$3:$D$764,MATCH(B70,'ALL ITEMS'!$B$3:$B$764,0)),"Code not found"))</f>
        <v/>
      </c>
      <c r="D70" s="79"/>
      <c r="E70" s="79"/>
      <c r="F70" s="105" t="str">
        <f aca="false">IF(OR(D70="",E70="",D70=0),"",(E70-D70)/D70)</f>
        <v/>
      </c>
      <c r="G70" s="71"/>
      <c r="H70" s="73"/>
      <c r="I70" s="71"/>
      <c r="J70" s="73"/>
      <c r="K70" s="73"/>
    </row>
    <row r="71" customFormat="false" ht="15" hidden="false" customHeight="false" outlineLevel="0" collapsed="false">
      <c r="A71" s="77"/>
      <c r="B71" s="73"/>
      <c r="C71" s="104" t="str">
        <f aca="false">IF(B71="","",IFERROR(INDEX('ALL ITEMS'!$D$3:$D$764,MATCH(B71,'ALL ITEMS'!$B$3:$B$764,0)),"Code not found"))</f>
        <v/>
      </c>
      <c r="D71" s="79"/>
      <c r="E71" s="79"/>
      <c r="F71" s="105" t="str">
        <f aca="false">IF(OR(D71="",E71="",D71=0),"",(E71-D71)/D71)</f>
        <v/>
      </c>
      <c r="G71" s="71"/>
      <c r="H71" s="73"/>
      <c r="I71" s="71"/>
      <c r="J71" s="73"/>
      <c r="K71" s="73"/>
    </row>
    <row r="72" customFormat="false" ht="15" hidden="false" customHeight="false" outlineLevel="0" collapsed="false">
      <c r="A72" s="77"/>
      <c r="B72" s="73"/>
      <c r="C72" s="104" t="str">
        <f aca="false">IF(B72="","",IFERROR(INDEX('ALL ITEMS'!$D$3:$D$764,MATCH(B72,'ALL ITEMS'!$B$3:$B$764,0)),"Code not found"))</f>
        <v/>
      </c>
      <c r="D72" s="79"/>
      <c r="E72" s="79"/>
      <c r="F72" s="105" t="str">
        <f aca="false">IF(OR(D72="",E72="",D72=0),"",(E72-D72)/D72)</f>
        <v/>
      </c>
      <c r="G72" s="71"/>
      <c r="H72" s="73"/>
      <c r="I72" s="71"/>
      <c r="J72" s="73"/>
      <c r="K72" s="73"/>
    </row>
    <row r="73" customFormat="false" ht="15" hidden="false" customHeight="false" outlineLevel="0" collapsed="false">
      <c r="A73" s="77"/>
      <c r="B73" s="73"/>
      <c r="C73" s="104" t="str">
        <f aca="false">IF(B73="","",IFERROR(INDEX('ALL ITEMS'!$D$3:$D$764,MATCH(B73,'ALL ITEMS'!$B$3:$B$764,0)),"Code not found"))</f>
        <v/>
      </c>
      <c r="D73" s="79"/>
      <c r="E73" s="79"/>
      <c r="F73" s="105" t="str">
        <f aca="false">IF(OR(D73="",E73="",D73=0),"",(E73-D73)/D73)</f>
        <v/>
      </c>
      <c r="G73" s="71"/>
      <c r="H73" s="73"/>
      <c r="I73" s="71"/>
      <c r="J73" s="73"/>
      <c r="K73" s="73"/>
    </row>
    <row r="74" customFormat="false" ht="15" hidden="false" customHeight="false" outlineLevel="0" collapsed="false">
      <c r="A74" s="77"/>
      <c r="B74" s="73"/>
      <c r="C74" s="104" t="str">
        <f aca="false">IF(B74="","",IFERROR(INDEX('ALL ITEMS'!$D$3:$D$764,MATCH(B74,'ALL ITEMS'!$B$3:$B$764,0)),"Code not found"))</f>
        <v/>
      </c>
      <c r="D74" s="79"/>
      <c r="E74" s="79"/>
      <c r="F74" s="105" t="str">
        <f aca="false">IF(OR(D74="",E74="",D74=0),"",(E74-D74)/D74)</f>
        <v/>
      </c>
      <c r="G74" s="71"/>
      <c r="H74" s="73"/>
      <c r="I74" s="71"/>
      <c r="J74" s="73"/>
      <c r="K74" s="73"/>
    </row>
    <row r="75" customFormat="false" ht="15" hidden="false" customHeight="false" outlineLevel="0" collapsed="false">
      <c r="A75" s="77"/>
      <c r="B75" s="73"/>
      <c r="C75" s="104" t="str">
        <f aca="false">IF(B75="","",IFERROR(INDEX('ALL ITEMS'!$D$3:$D$764,MATCH(B75,'ALL ITEMS'!$B$3:$B$764,0)),"Code not found"))</f>
        <v/>
      </c>
      <c r="D75" s="79"/>
      <c r="E75" s="79"/>
      <c r="F75" s="105" t="str">
        <f aca="false">IF(OR(D75="",E75="",D75=0),"",(E75-D75)/D75)</f>
        <v/>
      </c>
      <c r="G75" s="71"/>
      <c r="H75" s="73"/>
      <c r="I75" s="71"/>
      <c r="J75" s="73"/>
      <c r="K75" s="73"/>
    </row>
    <row r="76" customFormat="false" ht="15" hidden="false" customHeight="false" outlineLevel="0" collapsed="false">
      <c r="A76" s="77"/>
      <c r="B76" s="73"/>
      <c r="C76" s="104" t="str">
        <f aca="false">IF(B76="","",IFERROR(INDEX('ALL ITEMS'!$D$3:$D$764,MATCH(B76,'ALL ITEMS'!$B$3:$B$764,0)),"Code not found"))</f>
        <v/>
      </c>
      <c r="D76" s="79"/>
      <c r="E76" s="79"/>
      <c r="F76" s="105" t="str">
        <f aca="false">IF(OR(D76="",E76="",D76=0),"",(E76-D76)/D76)</f>
        <v/>
      </c>
      <c r="G76" s="71"/>
      <c r="H76" s="73"/>
      <c r="I76" s="71"/>
      <c r="J76" s="73"/>
      <c r="K76" s="73"/>
    </row>
    <row r="77" customFormat="false" ht="15" hidden="false" customHeight="false" outlineLevel="0" collapsed="false">
      <c r="A77" s="77"/>
      <c r="B77" s="73"/>
      <c r="C77" s="104" t="str">
        <f aca="false">IF(B77="","",IFERROR(INDEX('ALL ITEMS'!$D$3:$D$764,MATCH(B77,'ALL ITEMS'!$B$3:$B$764,0)),"Code not found"))</f>
        <v/>
      </c>
      <c r="D77" s="79"/>
      <c r="E77" s="79"/>
      <c r="F77" s="105" t="str">
        <f aca="false">IF(OR(D77="",E77="",D77=0),"",(E77-D77)/D77)</f>
        <v/>
      </c>
      <c r="G77" s="71"/>
      <c r="H77" s="73"/>
      <c r="I77" s="71"/>
      <c r="J77" s="73"/>
      <c r="K77" s="73"/>
    </row>
    <row r="78" customFormat="false" ht="15" hidden="false" customHeight="false" outlineLevel="0" collapsed="false">
      <c r="A78" s="77"/>
      <c r="B78" s="73"/>
      <c r="C78" s="104" t="str">
        <f aca="false">IF(B78="","",IFERROR(INDEX('ALL ITEMS'!$D$3:$D$764,MATCH(B78,'ALL ITEMS'!$B$3:$B$764,0)),"Code not found"))</f>
        <v/>
      </c>
      <c r="D78" s="79"/>
      <c r="E78" s="79"/>
      <c r="F78" s="105" t="str">
        <f aca="false">IF(OR(D78="",E78="",D78=0),"",(E78-D78)/D78)</f>
        <v/>
      </c>
      <c r="G78" s="71"/>
      <c r="H78" s="73"/>
      <c r="I78" s="71"/>
      <c r="J78" s="73"/>
      <c r="K78" s="73"/>
    </row>
    <row r="79" customFormat="false" ht="15" hidden="false" customHeight="false" outlineLevel="0" collapsed="false">
      <c r="A79" s="77"/>
      <c r="B79" s="73"/>
      <c r="C79" s="104" t="str">
        <f aca="false">IF(B79="","",IFERROR(INDEX('ALL ITEMS'!$D$3:$D$764,MATCH(B79,'ALL ITEMS'!$B$3:$B$764,0)),"Code not found"))</f>
        <v/>
      </c>
      <c r="D79" s="79"/>
      <c r="E79" s="79"/>
      <c r="F79" s="105" t="str">
        <f aca="false">IF(OR(D79="",E79="",D79=0),"",(E79-D79)/D79)</f>
        <v/>
      </c>
      <c r="G79" s="71"/>
      <c r="H79" s="73"/>
      <c r="I79" s="71"/>
      <c r="J79" s="73"/>
      <c r="K79" s="73"/>
    </row>
    <row r="80" customFormat="false" ht="15" hidden="false" customHeight="false" outlineLevel="0" collapsed="false">
      <c r="A80" s="77"/>
      <c r="B80" s="73"/>
      <c r="C80" s="104" t="str">
        <f aca="false">IF(B80="","",IFERROR(INDEX('ALL ITEMS'!$D$3:$D$764,MATCH(B80,'ALL ITEMS'!$B$3:$B$764,0)),"Code not found"))</f>
        <v/>
      </c>
      <c r="D80" s="79"/>
      <c r="E80" s="79"/>
      <c r="F80" s="105" t="str">
        <f aca="false">IF(OR(D80="",E80="",D80=0),"",(E80-D80)/D80)</f>
        <v/>
      </c>
      <c r="G80" s="71"/>
      <c r="H80" s="73"/>
      <c r="I80" s="71"/>
      <c r="J80" s="73"/>
      <c r="K80" s="73"/>
    </row>
    <row r="81" customFormat="false" ht="15" hidden="false" customHeight="false" outlineLevel="0" collapsed="false">
      <c r="A81" s="77"/>
      <c r="B81" s="73"/>
      <c r="C81" s="104" t="str">
        <f aca="false">IF(B81="","",IFERROR(INDEX('ALL ITEMS'!$D$3:$D$764,MATCH(B81,'ALL ITEMS'!$B$3:$B$764,0)),"Code not found"))</f>
        <v/>
      </c>
      <c r="D81" s="79"/>
      <c r="E81" s="79"/>
      <c r="F81" s="105" t="str">
        <f aca="false">IF(OR(D81="",E81="",D81=0),"",(E81-D81)/D81)</f>
        <v/>
      </c>
      <c r="G81" s="71"/>
      <c r="H81" s="73"/>
      <c r="I81" s="71"/>
      <c r="J81" s="73"/>
      <c r="K81" s="73"/>
    </row>
    <row r="82" customFormat="false" ht="15" hidden="false" customHeight="false" outlineLevel="0" collapsed="false">
      <c r="A82" s="77"/>
      <c r="B82" s="73"/>
      <c r="C82" s="104" t="str">
        <f aca="false">IF(B82="","",IFERROR(INDEX('ALL ITEMS'!$D$3:$D$764,MATCH(B82,'ALL ITEMS'!$B$3:$B$764,0)),"Code not found"))</f>
        <v/>
      </c>
      <c r="D82" s="79"/>
      <c r="E82" s="79"/>
      <c r="F82" s="105" t="str">
        <f aca="false">IF(OR(D82="",E82="",D82=0),"",(E82-D82)/D82)</f>
        <v/>
      </c>
      <c r="G82" s="71"/>
      <c r="H82" s="73"/>
      <c r="I82" s="71"/>
      <c r="J82" s="73"/>
      <c r="K82" s="73"/>
    </row>
    <row r="83" customFormat="false" ht="15" hidden="false" customHeight="false" outlineLevel="0" collapsed="false">
      <c r="A83" s="77"/>
      <c r="B83" s="73"/>
      <c r="C83" s="104" t="str">
        <f aca="false">IF(B83="","",IFERROR(INDEX('ALL ITEMS'!$D$3:$D$764,MATCH(B83,'ALL ITEMS'!$B$3:$B$764,0)),"Code not found"))</f>
        <v/>
      </c>
      <c r="D83" s="79"/>
      <c r="E83" s="79"/>
      <c r="F83" s="105" t="str">
        <f aca="false">IF(OR(D83="",E83="",D83=0),"",(E83-D83)/D83)</f>
        <v/>
      </c>
      <c r="G83" s="71"/>
      <c r="H83" s="73"/>
      <c r="I83" s="71"/>
      <c r="J83" s="73"/>
      <c r="K83" s="73"/>
    </row>
    <row r="84" customFormat="false" ht="15" hidden="false" customHeight="false" outlineLevel="0" collapsed="false">
      <c r="A84" s="77"/>
      <c r="B84" s="73"/>
      <c r="C84" s="104" t="str">
        <f aca="false">IF(B84="","",IFERROR(INDEX('ALL ITEMS'!$D$3:$D$764,MATCH(B84,'ALL ITEMS'!$B$3:$B$764,0)),"Code not found"))</f>
        <v/>
      </c>
      <c r="D84" s="79"/>
      <c r="E84" s="79"/>
      <c r="F84" s="105" t="str">
        <f aca="false">IF(OR(D84="",E84="",D84=0),"",(E84-D84)/D84)</f>
        <v/>
      </c>
      <c r="G84" s="71"/>
      <c r="H84" s="73"/>
      <c r="I84" s="71"/>
      <c r="J84" s="73"/>
      <c r="K84" s="73"/>
    </row>
    <row r="85" customFormat="false" ht="15" hidden="false" customHeight="false" outlineLevel="0" collapsed="false">
      <c r="A85" s="77"/>
      <c r="B85" s="73"/>
      <c r="C85" s="104" t="str">
        <f aca="false">IF(B85="","",IFERROR(INDEX('ALL ITEMS'!$D$3:$D$764,MATCH(B85,'ALL ITEMS'!$B$3:$B$764,0)),"Code not found"))</f>
        <v/>
      </c>
      <c r="D85" s="79"/>
      <c r="E85" s="79"/>
      <c r="F85" s="105" t="str">
        <f aca="false">IF(OR(D85="",E85="",D85=0),"",(E85-D85)/D85)</f>
        <v/>
      </c>
      <c r="G85" s="71"/>
      <c r="H85" s="73"/>
      <c r="I85" s="71"/>
      <c r="J85" s="73"/>
      <c r="K85" s="73"/>
    </row>
    <row r="86" customFormat="false" ht="15" hidden="false" customHeight="false" outlineLevel="0" collapsed="false">
      <c r="A86" s="77"/>
      <c r="B86" s="73"/>
      <c r="C86" s="104" t="str">
        <f aca="false">IF(B86="","",IFERROR(INDEX('ALL ITEMS'!$D$3:$D$764,MATCH(B86,'ALL ITEMS'!$B$3:$B$764,0)),"Code not found"))</f>
        <v/>
      </c>
      <c r="D86" s="79"/>
      <c r="E86" s="79"/>
      <c r="F86" s="105" t="str">
        <f aca="false">IF(OR(D86="",E86="",D86=0),"",(E86-D86)/D86)</f>
        <v/>
      </c>
      <c r="G86" s="71"/>
      <c r="H86" s="73"/>
      <c r="I86" s="71"/>
      <c r="J86" s="73"/>
      <c r="K86" s="73"/>
    </row>
    <row r="87" customFormat="false" ht="15" hidden="false" customHeight="false" outlineLevel="0" collapsed="false">
      <c r="A87" s="77"/>
      <c r="B87" s="73"/>
      <c r="C87" s="104" t="str">
        <f aca="false">IF(B87="","",IFERROR(INDEX('ALL ITEMS'!$D$3:$D$764,MATCH(B87,'ALL ITEMS'!$B$3:$B$764,0)),"Code not found"))</f>
        <v/>
      </c>
      <c r="D87" s="79"/>
      <c r="E87" s="79"/>
      <c r="F87" s="105" t="str">
        <f aca="false">IF(OR(D87="",E87="",D87=0),"",(E87-D87)/D87)</f>
        <v/>
      </c>
      <c r="G87" s="71"/>
      <c r="H87" s="73"/>
      <c r="I87" s="71"/>
      <c r="J87" s="73"/>
      <c r="K87" s="73"/>
    </row>
    <row r="88" customFormat="false" ht="15" hidden="false" customHeight="false" outlineLevel="0" collapsed="false">
      <c r="A88" s="77"/>
      <c r="B88" s="73"/>
      <c r="C88" s="104" t="str">
        <f aca="false">IF(B88="","",IFERROR(INDEX('ALL ITEMS'!$D$3:$D$764,MATCH(B88,'ALL ITEMS'!$B$3:$B$764,0)),"Code not found"))</f>
        <v/>
      </c>
      <c r="D88" s="79"/>
      <c r="E88" s="79"/>
      <c r="F88" s="105" t="str">
        <f aca="false">IF(OR(D88="",E88="",D88=0),"",(E88-D88)/D88)</f>
        <v/>
      </c>
      <c r="G88" s="71"/>
      <c r="H88" s="73"/>
      <c r="I88" s="71"/>
      <c r="J88" s="73"/>
      <c r="K88" s="73"/>
    </row>
    <row r="89" customFormat="false" ht="15" hidden="false" customHeight="false" outlineLevel="0" collapsed="false">
      <c r="A89" s="77"/>
      <c r="B89" s="73"/>
      <c r="C89" s="104" t="str">
        <f aca="false">IF(B89="","",IFERROR(INDEX('ALL ITEMS'!$D$3:$D$764,MATCH(B89,'ALL ITEMS'!$B$3:$B$764,0)),"Code not found"))</f>
        <v/>
      </c>
      <c r="D89" s="79"/>
      <c r="E89" s="79"/>
      <c r="F89" s="105" t="str">
        <f aca="false">IF(OR(D89="",E89="",D89=0),"",(E89-D89)/D89)</f>
        <v/>
      </c>
      <c r="G89" s="71"/>
      <c r="H89" s="73"/>
      <c r="I89" s="71"/>
      <c r="J89" s="73"/>
      <c r="K89" s="73"/>
    </row>
    <row r="90" customFormat="false" ht="15" hidden="false" customHeight="false" outlineLevel="0" collapsed="false">
      <c r="A90" s="77"/>
      <c r="B90" s="73"/>
      <c r="C90" s="104" t="str">
        <f aca="false">IF(B90="","",IFERROR(INDEX('ALL ITEMS'!$D$3:$D$764,MATCH(B90,'ALL ITEMS'!$B$3:$B$764,0)),"Code not found"))</f>
        <v/>
      </c>
      <c r="D90" s="79"/>
      <c r="E90" s="79"/>
      <c r="F90" s="105" t="str">
        <f aca="false">IF(OR(D90="",E90="",D90=0),"",(E90-D90)/D90)</f>
        <v/>
      </c>
      <c r="G90" s="71"/>
      <c r="H90" s="73"/>
      <c r="I90" s="71"/>
      <c r="J90" s="73"/>
      <c r="K90" s="73"/>
    </row>
    <row r="91" customFormat="false" ht="15" hidden="false" customHeight="false" outlineLevel="0" collapsed="false">
      <c r="A91" s="77"/>
      <c r="B91" s="73"/>
      <c r="C91" s="104" t="str">
        <f aca="false">IF(B91="","",IFERROR(INDEX('ALL ITEMS'!$D$3:$D$764,MATCH(B91,'ALL ITEMS'!$B$3:$B$764,0)),"Code not found"))</f>
        <v/>
      </c>
      <c r="D91" s="79"/>
      <c r="E91" s="79"/>
      <c r="F91" s="105" t="str">
        <f aca="false">IF(OR(D91="",E91="",D91=0),"",(E91-D91)/D91)</f>
        <v/>
      </c>
      <c r="G91" s="71"/>
      <c r="H91" s="73"/>
      <c r="I91" s="71"/>
      <c r="J91" s="73"/>
      <c r="K91" s="73"/>
    </row>
    <row r="92" customFormat="false" ht="15" hidden="false" customHeight="false" outlineLevel="0" collapsed="false">
      <c r="A92" s="77"/>
      <c r="B92" s="73"/>
      <c r="C92" s="104" t="str">
        <f aca="false">IF(B92="","",IFERROR(INDEX('ALL ITEMS'!$D$3:$D$764,MATCH(B92,'ALL ITEMS'!$B$3:$B$764,0)),"Code not found"))</f>
        <v/>
      </c>
      <c r="D92" s="79"/>
      <c r="E92" s="79"/>
      <c r="F92" s="105" t="str">
        <f aca="false">IF(OR(D92="",E92="",D92=0),"",(E92-D92)/D92)</f>
        <v/>
      </c>
      <c r="G92" s="71"/>
      <c r="H92" s="73"/>
      <c r="I92" s="71"/>
      <c r="J92" s="73"/>
      <c r="K92" s="73"/>
    </row>
    <row r="93" customFormat="false" ht="15" hidden="false" customHeight="false" outlineLevel="0" collapsed="false">
      <c r="A93" s="77"/>
      <c r="B93" s="73"/>
      <c r="C93" s="104" t="str">
        <f aca="false">IF(B93="","",IFERROR(INDEX('ALL ITEMS'!$D$3:$D$764,MATCH(B93,'ALL ITEMS'!$B$3:$B$764,0)),"Code not found"))</f>
        <v/>
      </c>
      <c r="D93" s="79"/>
      <c r="E93" s="79"/>
      <c r="F93" s="105" t="str">
        <f aca="false">IF(OR(D93="",E93="",D93=0),"",(E93-D93)/D93)</f>
        <v/>
      </c>
      <c r="G93" s="71"/>
      <c r="H93" s="73"/>
      <c r="I93" s="71"/>
      <c r="J93" s="73"/>
      <c r="K93" s="73"/>
    </row>
    <row r="94" customFormat="false" ht="15" hidden="false" customHeight="false" outlineLevel="0" collapsed="false">
      <c r="A94" s="77"/>
      <c r="B94" s="73"/>
      <c r="C94" s="104" t="str">
        <f aca="false">IF(B94="","",IFERROR(INDEX('ALL ITEMS'!$D$3:$D$764,MATCH(B94,'ALL ITEMS'!$B$3:$B$764,0)),"Code not found"))</f>
        <v/>
      </c>
      <c r="D94" s="79"/>
      <c r="E94" s="79"/>
      <c r="F94" s="105" t="str">
        <f aca="false">IF(OR(D94="",E94="",D94=0),"",(E94-D94)/D94)</f>
        <v/>
      </c>
      <c r="G94" s="71"/>
      <c r="H94" s="73"/>
      <c r="I94" s="71"/>
      <c r="J94" s="73"/>
      <c r="K94" s="73"/>
    </row>
    <row r="95" customFormat="false" ht="15" hidden="false" customHeight="false" outlineLevel="0" collapsed="false">
      <c r="A95" s="77"/>
      <c r="B95" s="73"/>
      <c r="C95" s="104" t="str">
        <f aca="false">IF(B95="","",IFERROR(INDEX('ALL ITEMS'!$D$3:$D$764,MATCH(B95,'ALL ITEMS'!$B$3:$B$764,0)),"Code not found"))</f>
        <v/>
      </c>
      <c r="D95" s="79"/>
      <c r="E95" s="79"/>
      <c r="F95" s="105" t="str">
        <f aca="false">IF(OR(D95="",E95="",D95=0),"",(E95-D95)/D95)</f>
        <v/>
      </c>
      <c r="G95" s="71"/>
      <c r="H95" s="73"/>
      <c r="I95" s="71"/>
      <c r="J95" s="73"/>
      <c r="K95" s="73"/>
    </row>
    <row r="96" customFormat="false" ht="15" hidden="false" customHeight="false" outlineLevel="0" collapsed="false">
      <c r="A96" s="77"/>
      <c r="B96" s="73"/>
      <c r="C96" s="104" t="str">
        <f aca="false">IF(B96="","",IFERROR(INDEX('ALL ITEMS'!$D$3:$D$764,MATCH(B96,'ALL ITEMS'!$B$3:$B$764,0)),"Code not found"))</f>
        <v/>
      </c>
      <c r="D96" s="79"/>
      <c r="E96" s="79"/>
      <c r="F96" s="105" t="str">
        <f aca="false">IF(OR(D96="",E96="",D96=0),"",(E96-D96)/D96)</f>
        <v/>
      </c>
      <c r="G96" s="71"/>
      <c r="H96" s="73"/>
      <c r="I96" s="71"/>
      <c r="J96" s="73"/>
      <c r="K96" s="73"/>
    </row>
    <row r="97" customFormat="false" ht="15" hidden="false" customHeight="false" outlineLevel="0" collapsed="false">
      <c r="A97" s="77"/>
      <c r="B97" s="73"/>
      <c r="C97" s="104" t="str">
        <f aca="false">IF(B97="","",IFERROR(INDEX('ALL ITEMS'!$D$3:$D$764,MATCH(B97,'ALL ITEMS'!$B$3:$B$764,0)),"Code not found"))</f>
        <v/>
      </c>
      <c r="D97" s="79"/>
      <c r="E97" s="79"/>
      <c r="F97" s="105" t="str">
        <f aca="false">IF(OR(D97="",E97="",D97=0),"",(E97-D97)/D97)</f>
        <v/>
      </c>
      <c r="G97" s="71"/>
      <c r="H97" s="73"/>
      <c r="I97" s="71"/>
      <c r="J97" s="73"/>
      <c r="K97" s="73"/>
    </row>
    <row r="98" customFormat="false" ht="15" hidden="false" customHeight="false" outlineLevel="0" collapsed="false">
      <c r="A98" s="77"/>
      <c r="B98" s="73"/>
      <c r="C98" s="104" t="str">
        <f aca="false">IF(B98="","",IFERROR(INDEX('ALL ITEMS'!$D$3:$D$764,MATCH(B98,'ALL ITEMS'!$B$3:$B$764,0)),"Code not found"))</f>
        <v/>
      </c>
      <c r="D98" s="79"/>
      <c r="E98" s="79"/>
      <c r="F98" s="105" t="str">
        <f aca="false">IF(OR(D98="",E98="",D98=0),"",(E98-D98)/D98)</f>
        <v/>
      </c>
      <c r="G98" s="71"/>
      <c r="H98" s="73"/>
      <c r="I98" s="71"/>
      <c r="J98" s="73"/>
      <c r="K98" s="73"/>
    </row>
    <row r="99" customFormat="false" ht="15" hidden="false" customHeight="false" outlineLevel="0" collapsed="false">
      <c r="A99" s="77"/>
      <c r="B99" s="73"/>
      <c r="C99" s="104" t="str">
        <f aca="false">IF(B99="","",IFERROR(INDEX('ALL ITEMS'!$D$3:$D$764,MATCH(B99,'ALL ITEMS'!$B$3:$B$764,0)),"Code not found"))</f>
        <v/>
      </c>
      <c r="D99" s="79"/>
      <c r="E99" s="79"/>
      <c r="F99" s="105" t="str">
        <f aca="false">IF(OR(D99="",E99="",D99=0),"",(E99-D99)/D99)</f>
        <v/>
      </c>
      <c r="G99" s="71"/>
      <c r="H99" s="73"/>
      <c r="I99" s="71"/>
      <c r="J99" s="73"/>
      <c r="K99" s="73"/>
    </row>
    <row r="100" customFormat="false" ht="15" hidden="false" customHeight="false" outlineLevel="0" collapsed="false">
      <c r="A100" s="77"/>
      <c r="B100" s="73"/>
      <c r="C100" s="104" t="str">
        <f aca="false">IF(B100="","",IFERROR(INDEX('ALL ITEMS'!$D$3:$D$764,MATCH(B100,'ALL ITEMS'!$B$3:$B$764,0)),"Code not found"))</f>
        <v/>
      </c>
      <c r="D100" s="79"/>
      <c r="E100" s="79"/>
      <c r="F100" s="105" t="str">
        <f aca="false">IF(OR(D100="",E100="",D100=0),"",(E100-D100)/D100)</f>
        <v/>
      </c>
      <c r="G100" s="71"/>
      <c r="H100" s="73"/>
      <c r="I100" s="71"/>
      <c r="J100" s="73"/>
      <c r="K100" s="73"/>
    </row>
    <row r="101" customFormat="false" ht="15" hidden="false" customHeight="false" outlineLevel="0" collapsed="false">
      <c r="A101" s="77"/>
      <c r="B101" s="73"/>
      <c r="C101" s="104" t="str">
        <f aca="false">IF(B101="","",IFERROR(INDEX('ALL ITEMS'!$D$3:$D$764,MATCH(B101,'ALL ITEMS'!$B$3:$B$764,0)),"Code not found"))</f>
        <v/>
      </c>
      <c r="D101" s="79"/>
      <c r="E101" s="79"/>
      <c r="F101" s="105" t="str">
        <f aca="false">IF(OR(D101="",E101="",D101=0),"",(E101-D101)/D101)</f>
        <v/>
      </c>
      <c r="G101" s="71"/>
      <c r="H101" s="73"/>
      <c r="I101" s="71"/>
      <c r="J101" s="73"/>
      <c r="K101" s="73"/>
    </row>
    <row r="102" customFormat="false" ht="15" hidden="false" customHeight="false" outlineLevel="0" collapsed="false">
      <c r="A102" s="77"/>
      <c r="B102" s="73"/>
      <c r="C102" s="104" t="str">
        <f aca="false">IF(B102="","",IFERROR(INDEX('ALL ITEMS'!$D$3:$D$764,MATCH(B102,'ALL ITEMS'!$B$3:$B$764,0)),"Code not found"))</f>
        <v/>
      </c>
      <c r="D102" s="79"/>
      <c r="E102" s="79"/>
      <c r="F102" s="105" t="str">
        <f aca="false">IF(OR(D102="",E102="",D102=0),"",(E102-D102)/D102)</f>
        <v/>
      </c>
      <c r="G102" s="71"/>
      <c r="H102" s="73"/>
      <c r="I102" s="71"/>
      <c r="J102" s="73"/>
      <c r="K102" s="73"/>
    </row>
    <row r="103" customFormat="false" ht="15" hidden="false" customHeight="false" outlineLevel="0" collapsed="false">
      <c r="A103" s="77"/>
      <c r="B103" s="73"/>
      <c r="C103" s="104" t="str">
        <f aca="false">IF(B103="","",IFERROR(INDEX('ALL ITEMS'!$D$3:$D$764,MATCH(B103,'ALL ITEMS'!$B$3:$B$764,0)),"Code not found"))</f>
        <v/>
      </c>
      <c r="D103" s="79"/>
      <c r="E103" s="79"/>
      <c r="F103" s="105" t="str">
        <f aca="false">IF(OR(D103="",E103="",D103=0),"",(E103-D103)/D103)</f>
        <v/>
      </c>
      <c r="G103" s="71"/>
      <c r="H103" s="73"/>
      <c r="I103" s="71"/>
      <c r="J103" s="73"/>
      <c r="K103" s="73"/>
    </row>
  </sheetData>
  <mergeCells count="1">
    <mergeCell ref="A1:K1"/>
  </mergeCells>
  <conditionalFormatting sqref="F4:F103">
    <cfRule type="expression" priority="2" aboveAverage="0" equalAverage="0" bottom="0" percent="0" rank="0" text="" dxfId="17">
      <formula>AND(F4&lt;&gt;"",F4&gt;0)</formula>
    </cfRule>
    <cfRule type="expression" priority="3" aboveAverage="0" equalAverage="0" bottom="0" percent="0" rank="0" text="" dxfId="18">
      <formula>AND(F4&lt;&gt;"",F4&lt;0)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2026-10-09T11:04:29Z</dcterms:created>
  <dc:creator>openpyxl</dc:creator>
  <dc:description/>
  <dc:language>en-US</dc:language>
  <cp:lastModifiedBy/>
  <dcterms:modified xsi:type="dcterms:W3CDTF">2026-10-09T11:04:32Z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